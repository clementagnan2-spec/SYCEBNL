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tables/table1.xml" ContentType="application/vnd.openxmlformats-officedocument.spreadsheetml.table+xml"/>
  <Override PartName="/xl/drawings/drawing3.xml" ContentType="application/vnd.openxmlformats-officedocument.drawing+xml"/>
  <Override PartName="/xl/tables/table2.xml" ContentType="application/vnd.openxmlformats-officedocument.spreadsheetml.table+xml"/>
  <Override PartName="/xl/drawings/drawing4.xml" ContentType="application/vnd.openxmlformats-officedocument.drawing+xml"/>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ctrlProps/ctrlProp4.xml" ContentType="application/vnd.ms-excel.controlproperties+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drawings/drawing19.xml" ContentType="application/vnd.openxmlformats-officedocument.drawing+xml"/>
  <Override PartName="/xl/drawings/drawing20.xml" ContentType="application/vnd.openxmlformats-officedocument.drawing+xml"/>
  <Override PartName="/xl/drawings/drawing21.xml" ContentType="application/vnd.openxmlformats-officedocument.drawing+xml"/>
  <Override PartName="/xl/drawings/drawing22.xml" ContentType="application/vnd.openxmlformats-officedocument.drawing+xml"/>
  <Override PartName="/xl/drawings/drawing23.xml" ContentType="application/vnd.openxmlformats-officedocument.drawing+xml"/>
  <Override PartName="/xl/drawings/drawing24.xml" ContentType="application/vnd.openxmlformats-officedocument.drawing+xml"/>
  <Override PartName="/xl/drawings/drawing25.xml" ContentType="application/vnd.openxmlformats-officedocument.drawing+xml"/>
  <Override PartName="/xl/drawings/drawing26.xml" ContentType="application/vnd.openxmlformats-officedocument.drawing+xml"/>
  <Override PartName="/xl/drawings/drawing27.xml" ContentType="application/vnd.openxmlformats-officedocument.drawing+xml"/>
  <Override PartName="/xl/drawings/drawing28.xml" ContentType="application/vnd.openxmlformats-officedocument.drawing+xml"/>
  <Override PartName="/xl/drawings/drawing29.xml" ContentType="application/vnd.openxmlformats-officedocument.drawing+xml"/>
  <Override PartName="/xl/drawings/drawing30.xml" ContentType="application/vnd.openxmlformats-officedocument.drawing+xml"/>
  <Override PartName="/xl/drawings/drawing31.xml" ContentType="application/vnd.openxmlformats-officedocument.drawing+xml"/>
  <Override PartName="/xl/drawings/drawing32.xml" ContentType="application/vnd.openxmlformats-officedocument.drawing+xml"/>
  <Override PartName="/xl/drawings/drawing33.xml" ContentType="application/vnd.openxmlformats-officedocument.drawing+xml"/>
  <Override PartName="/xl/drawings/drawing34.xml" ContentType="application/vnd.openxmlformats-officedocument.drawing+xml"/>
  <Override PartName="/xl/drawings/drawing35.xml" ContentType="application/vnd.openxmlformats-officedocument.drawing+xml"/>
  <Override PartName="/xl/drawings/drawing36.xml" ContentType="application/vnd.openxmlformats-officedocument.drawing+xml"/>
  <Override PartName="/xl/drawings/drawing37.xml" ContentType="application/vnd.openxmlformats-officedocument.drawing+xml"/>
  <Override PartName="/xl/drawings/drawing38.xml" ContentType="application/vnd.openxmlformats-officedocument.drawing+xml"/>
  <Override PartName="/xl/drawings/drawing39.xml" ContentType="application/vnd.openxmlformats-officedocument.drawing+xml"/>
  <Override PartName="/xl/drawings/drawing40.xml" ContentType="application/vnd.openxmlformats-officedocument.drawing+xml"/>
  <Override PartName="/xl/drawings/drawing41.xml" ContentType="application/vnd.openxmlformats-officedocument.drawing+xml"/>
  <Override PartName="/xl/drawings/drawing42.xml" ContentType="application/vnd.openxmlformats-officedocument.drawing+xml"/>
  <Override PartName="/xl/drawings/drawing43.xml" ContentType="application/vnd.openxmlformats-officedocument.drawing+xml"/>
  <Override PartName="/xl/drawings/drawing44.xml" ContentType="application/vnd.openxmlformats-officedocument.drawing+xml"/>
  <Override PartName="/xl/drawings/drawing45.xml" ContentType="application/vnd.openxmlformats-officedocument.drawing+xml"/>
  <Override PartName="/xl/drawings/drawing46.xml" ContentType="application/vnd.openxmlformats-officedocument.drawing+xml"/>
  <Override PartName="/xl/drawings/drawing47.xml" ContentType="application/vnd.openxmlformats-officedocument.drawing+xml"/>
  <Override PartName="/xl/drawings/drawing48.xml" ContentType="application/vnd.openxmlformats-officedocument.drawing+xml"/>
  <Override PartName="/xl/drawings/drawing49.xml" ContentType="application/vnd.openxmlformats-officedocument.drawing+xml"/>
  <Override PartName="/xl/drawings/drawing50.xml" ContentType="application/vnd.openxmlformats-officedocument.drawing+xml"/>
  <Override PartName="/xl/drawings/drawing51.xml" ContentType="application/vnd.openxmlformats-officedocument.drawing+xml"/>
  <Override PartName="/xl/drawings/drawing52.xml" ContentType="application/vnd.openxmlformats-officedocument.drawing+xml"/>
  <Override PartName="/xl/drawings/drawing53.xml" ContentType="application/vnd.openxmlformats-officedocument.drawing+xml"/>
  <Override PartName="/xl/drawings/drawing54.xml" ContentType="application/vnd.openxmlformats-officedocument.drawing+xml"/>
  <Override PartName="/xl/drawings/drawing55.xml" ContentType="application/vnd.openxmlformats-officedocument.drawing+xml"/>
  <Override PartName="/xl/drawings/drawing56.xml" ContentType="application/vnd.openxmlformats-officedocument.drawing+xml"/>
  <Override PartName="/xl/drawings/drawing57.xml" ContentType="application/vnd.openxmlformats-officedocument.drawing+xml"/>
  <Override PartName="/xl/drawings/drawing58.xml" ContentType="application/vnd.openxmlformats-officedocument.drawing+xml"/>
  <Override PartName="/xl/drawings/drawing59.xml" ContentType="application/vnd.openxmlformats-officedocument.drawing+xml"/>
  <Override PartName="/xl/drawings/drawing60.xml" ContentType="application/vnd.openxmlformats-officedocument.drawing+xml"/>
  <Override PartName="/xl/drawings/drawing61.xml" ContentType="application/vnd.openxmlformats-officedocument.drawing+xml"/>
  <Override PartName="/xl/drawings/drawing62.xml" ContentType="application/vnd.openxmlformats-officedocument.drawing+xml"/>
  <Override PartName="/xl/drawings/drawing63.xml" ContentType="application/vnd.openxmlformats-officedocument.drawing+xml"/>
  <Override PartName="/xl/drawings/drawing64.xml" ContentType="application/vnd.openxmlformats-officedocument.drawing+xml"/>
  <Override PartName="/xl/drawings/drawing65.xml" ContentType="application/vnd.openxmlformats-officedocument.drawing+xml"/>
  <Override PartName="/xl/drawings/drawing66.xml" ContentType="application/vnd.openxmlformats-officedocument.drawing+xml"/>
  <Override PartName="/xl/drawings/drawing67.xml" ContentType="application/vnd.openxmlformats-officedocument.drawing+xml"/>
  <Override PartName="/xl/drawings/drawing68.xml" ContentType="application/vnd.openxmlformats-officedocument.drawing+xml"/>
  <Override PartName="/xl/drawings/drawing69.xml" ContentType="application/vnd.openxmlformats-officedocument.drawing+xml"/>
  <Override PartName="/xl/drawings/drawing70.xml" ContentType="application/vnd.openxmlformats-officedocument.drawing+xml"/>
  <Override PartName="/xl/drawings/drawing71.xml" ContentType="application/vnd.openxmlformats-officedocument.drawing+xml"/>
  <Override PartName="/xl/drawings/drawing72.xml" ContentType="application/vnd.openxmlformats-officedocument.drawing+xml"/>
  <Override PartName="/xl/drawings/drawing73.xml" ContentType="application/vnd.openxmlformats-officedocument.drawing+xml"/>
  <Override PartName="/xl/drawings/drawing74.xml" ContentType="application/vnd.openxmlformats-officedocument.drawing+xml"/>
  <Override PartName="/xl/drawings/drawing75.xml" ContentType="application/vnd.openxmlformats-officedocument.drawing+xml"/>
  <Override PartName="/xl/drawings/drawing76.xml" ContentType="application/vnd.openxmlformats-officedocument.drawing+xml"/>
  <Override PartName="/xl/drawings/drawing77.xml" ContentType="application/vnd.openxmlformats-officedocument.drawing+xml"/>
  <Override PartName="/xl/drawings/drawing78.xml" ContentType="application/vnd.openxmlformats-officedocument.drawing+xml"/>
  <Override PartName="/xl/drawings/drawing79.xml" ContentType="application/vnd.openxmlformats-officedocument.drawing+xml"/>
  <Override PartName="/xl/drawings/drawing80.xml" ContentType="application/vnd.openxmlformats-officedocument.drawing+xml"/>
  <Override PartName="/xl/drawings/drawing81.xml" ContentType="application/vnd.openxmlformats-officedocument.drawing+xml"/>
  <Override PartName="/xl/drawings/drawing82.xml" ContentType="application/vnd.openxmlformats-officedocument.drawing+xml"/>
  <Override PartName="/xl/drawings/drawing83.xml" ContentType="application/vnd.openxmlformats-officedocument.drawing+xml"/>
  <Override PartName="/xl/drawings/drawing84.xml" ContentType="application/vnd.openxmlformats-officedocument.drawing+xml"/>
  <Override PartName="/xl/drawings/drawing85.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LENOVO\Desktop\"/>
    </mc:Choice>
  </mc:AlternateContent>
  <xr:revisionPtr revIDLastSave="0" documentId="13_ncr:1_{E9515CC5-DAC1-4357-AB25-7CB3E3A6A69C}" xr6:coauthVersionLast="47" xr6:coauthVersionMax="47" xr10:uidLastSave="{00000000-0000-0000-0000-000000000000}"/>
  <bookViews>
    <workbookView xWindow="-435" yWindow="510" windowWidth="11850" windowHeight="10005" tabRatio="851" firstSheet="18" activeTab="23" xr2:uid="{00000000-000D-0000-FFFF-FFFF00000000}"/>
  </bookViews>
  <sheets>
    <sheet name="IDENTIFICATION" sheetId="20" r:id="rId1"/>
    <sheet name="Navugation" sheetId="21" r:id="rId2"/>
    <sheet name="BALANCE N" sheetId="22" r:id="rId3"/>
    <sheet name="FeuiBALANCE N-1" sheetId="23" r:id="rId4"/>
    <sheet name="PAGE GARDE" sheetId="24" r:id="rId5"/>
    <sheet name="CONDITIONS" sheetId="25" r:id="rId6"/>
    <sheet name="CODES" sheetId="26" r:id="rId7"/>
    <sheet name="R1" sheetId="27" r:id="rId8"/>
    <sheet name="R2" sheetId="28" r:id="rId9"/>
    <sheet name="R3" sheetId="29" r:id="rId10"/>
    <sheet name="PG BILAN" sheetId="30" r:id="rId11"/>
    <sheet name="BILAN" sheetId="31" r:id="rId12"/>
    <sheet name="PG COMPTE-RESULTAT" sheetId="32" r:id="rId13"/>
    <sheet name="COMPTE-RESULTAT" sheetId="33" r:id="rId14"/>
    <sheet name="PG TFT" sheetId="34" r:id="rId15"/>
    <sheet name="TFT" sheetId="35" r:id="rId16"/>
    <sheet name="PG -NOTES" sheetId="36" r:id="rId17"/>
    <sheet name="NOTES" sheetId="37" r:id="rId18"/>
    <sheet name="NOTE 1" sheetId="38" r:id="rId19"/>
    <sheet name="NOTE 2" sheetId="39" r:id="rId20"/>
    <sheet name="NOTE 3" sheetId="40" r:id="rId21"/>
    <sheet name="NOTE 4" sheetId="41" r:id="rId22"/>
    <sheet name="NOTE 5A" sheetId="42" r:id="rId23"/>
    <sheet name="NOTE 5B" sheetId="43" r:id="rId24"/>
    <sheet name="NOTE 5C" sheetId="44" r:id="rId25"/>
    <sheet name="NOTE 5D" sheetId="45" r:id="rId26"/>
    <sheet name="NOTE 5E" sheetId="46" r:id="rId27"/>
    <sheet name="NOTE 5F" sheetId="47" r:id="rId28"/>
    <sheet name="NOTE 5G" sheetId="48" r:id="rId29"/>
    <sheet name="NOTE 5H" sheetId="49" r:id="rId30"/>
    <sheet name="NOTE 6" sheetId="50" r:id="rId31"/>
    <sheet name="NOTE 7" sheetId="51" r:id="rId32"/>
    <sheet name="NOTE 8" sheetId="52" r:id="rId33"/>
    <sheet name="NOTE 9" sheetId="53" r:id="rId34"/>
    <sheet name="NOTE 10" sheetId="54" r:id="rId35"/>
    <sheet name="NOTE 11" sheetId="55" r:id="rId36"/>
    <sheet name="NOTE 12" sheetId="56" r:id="rId37"/>
    <sheet name="NOTE 13" sheetId="57" r:id="rId38"/>
    <sheet name="NOTE 14" sheetId="58" r:id="rId39"/>
    <sheet name="NOTE 15" sheetId="59" r:id="rId40"/>
    <sheet name="NOTE 16" sheetId="60" r:id="rId41"/>
    <sheet name="NOTE 17A" sheetId="61" r:id="rId42"/>
    <sheet name="NOTE 17B" sheetId="62" r:id="rId43"/>
    <sheet name="NOTE 18A" sheetId="63" r:id="rId44"/>
    <sheet name="NOTE 18B" sheetId="64" r:id="rId45"/>
    <sheet name="NOTE 19" sheetId="65" r:id="rId46"/>
    <sheet name="NOTE 20" sheetId="66" r:id="rId47"/>
    <sheet name="NOTE 21" sheetId="67" r:id="rId48"/>
    <sheet name="NOTE 22" sheetId="68" r:id="rId49"/>
    <sheet name="NOTE 23" sheetId="69" r:id="rId50"/>
    <sheet name="NOTE 24" sheetId="70" r:id="rId51"/>
    <sheet name="NOTE 25" sheetId="71" r:id="rId52"/>
    <sheet name="NOTE 26" sheetId="72" r:id="rId53"/>
    <sheet name="NOTE 27" sheetId="73" r:id="rId54"/>
    <sheet name="NOTE 28" sheetId="75" r:id="rId55"/>
    <sheet name="NOTE 29A" sheetId="76" r:id="rId56"/>
    <sheet name="NOTE 29B" sheetId="77" r:id="rId57"/>
    <sheet name="NOTE 30" sheetId="78" r:id="rId58"/>
    <sheet name="NOTE 31" sheetId="79" r:id="rId59"/>
    <sheet name="NOTE 32" sheetId="80" r:id="rId60"/>
    <sheet name="NOTE 33" sheetId="81" r:id="rId61"/>
    <sheet name="NOTE 34" sheetId="82" r:id="rId62"/>
    <sheet name="NOTE 35" sheetId="83" r:id="rId63"/>
    <sheet name="PG-sup" sheetId="84" r:id="rId64"/>
    <sheet name="LISTE DGI" sheetId="85" r:id="rId65"/>
    <sheet name="CHARGES 1" sheetId="86" r:id="rId66"/>
    <sheet name="CHARFGES 2" sheetId="74" r:id="rId67"/>
    <sheet name="CHARGES 3" sheetId="87" r:id="rId68"/>
    <sheet name="CHARGES 4" sheetId="89" r:id="rId69"/>
    <sheet name="PRODUITS 1" sheetId="88" r:id="rId70"/>
    <sheet name="PRODUITS 2" sheetId="90" r:id="rId71"/>
    <sheet name="TVA" sheetId="91" r:id="rId72"/>
    <sheet name="STAT UEMOA" sheetId="92" r:id="rId73"/>
    <sheet name="IMMO AMORT" sheetId="93" r:id="rId74"/>
    <sheet name="FRAIS ACCES ACHATS" sheetId="94" r:id="rId75"/>
    <sheet name="AVANTAGES NATURE" sheetId="95" r:id="rId76"/>
    <sheet name="CREANCES" sheetId="96" r:id="rId77"/>
    <sheet name="DEB_MOB_MAT_LOG" sheetId="97" r:id="rId78"/>
    <sheet name="DETTES" sheetId="98" r:id="rId79"/>
    <sheet name="CRED_DIV_IMPOT-" sheetId="99" r:id="rId80"/>
    <sheet name="ETAT ANNUEL SALAIRES" sheetId="100" r:id="rId81"/>
    <sheet name="COMM_VACATIONS" sheetId="101" r:id="rId82"/>
    <sheet name="LOYERS" sheetId="102" r:id="rId83"/>
    <sheet name="PRINCIPAUX CLIENTS" sheetId="103" r:id="rId84"/>
    <sheet name="PRINCIPAUX FRS" sheetId="104" r:id="rId85"/>
    <sheet name="PRINCIPAUX DONATEURS" sheetId="105" r:id="rId86"/>
    <sheet name="SOMMES_VERSES_CA" sheetId="106" r:id="rId87"/>
    <sheet name="Feuil88" sheetId="107" r:id="rId88"/>
    <sheet name="Feuil89" sheetId="108" r:id="rId89"/>
    <sheet name="Feuil90" sheetId="109" r:id="rId90"/>
    <sheet name="Feuil91" sheetId="110" r:id="rId91"/>
    <sheet name="Feuil92" sheetId="111" r:id="rId92"/>
  </sheets>
  <externalReferences>
    <externalReference r:id="rId93"/>
  </externalReferences>
  <definedNames>
    <definedName name="CodeNomenclature">[1]Referentiels!$G$3:$G$98</definedName>
    <definedName name="CodePaysSiege">[1]Referentiels!$E$3:$E$33</definedName>
    <definedName name="ControleEntite">[1]Referentiels!$F$3:$F$5</definedName>
    <definedName name="FormesJuridiques">[1]Referentiels!$C$3:$C$12</definedName>
    <definedName name="LOCAL_MYSQL_DATE_FORMAT"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RegimeFiscal">[1]Referentiels!$D$3:$D$7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I29" i="95" l="1"/>
  <c r="H29" i="95"/>
  <c r="I22" i="94"/>
  <c r="G22" i="94"/>
  <c r="F22" i="94"/>
  <c r="E22" i="94"/>
  <c r="D22" i="94"/>
  <c r="C22" i="94"/>
  <c r="N47" i="93"/>
  <c r="M47" i="93"/>
  <c r="L47" i="93"/>
  <c r="K47" i="93"/>
  <c r="I47" i="93"/>
  <c r="H47" i="93"/>
  <c r="G47" i="93"/>
  <c r="J46" i="93"/>
  <c r="J45" i="93"/>
  <c r="J44" i="93"/>
  <c r="J43" i="93"/>
  <c r="J42" i="93"/>
  <c r="J41" i="93"/>
  <c r="J40" i="93"/>
  <c r="J39" i="93"/>
  <c r="J38" i="93"/>
  <c r="J37" i="93"/>
  <c r="J36" i="93"/>
  <c r="J35" i="93"/>
  <c r="J34" i="93"/>
  <c r="J33" i="93"/>
  <c r="J32" i="93"/>
  <c r="J31" i="93"/>
  <c r="J30" i="93"/>
  <c r="J29" i="93"/>
  <c r="J28" i="93"/>
  <c r="J27" i="93"/>
  <c r="J26" i="93"/>
  <c r="J25" i="93"/>
  <c r="J24" i="93"/>
  <c r="J23" i="93"/>
  <c r="J22" i="93"/>
  <c r="J21" i="93"/>
  <c r="J20" i="93"/>
  <c r="J19" i="93"/>
  <c r="J18" i="93"/>
  <c r="J17" i="93"/>
  <c r="J47" i="93" s="1"/>
  <c r="M49" i="92"/>
  <c r="F47" i="92"/>
  <c r="D47" i="92"/>
  <c r="C47" i="92"/>
  <c r="B47" i="92"/>
  <c r="M44" i="92"/>
  <c r="N38" i="92"/>
  <c r="M38" i="92"/>
  <c r="L38" i="92"/>
  <c r="K38" i="92"/>
  <c r="H47" i="81"/>
  <c r="G47" i="81"/>
  <c r="H46" i="81"/>
  <c r="G46" i="81"/>
  <c r="H45" i="81"/>
  <c r="G45" i="81"/>
  <c r="H44" i="81"/>
  <c r="G44" i="81"/>
  <c r="H42" i="81"/>
  <c r="G42" i="81"/>
  <c r="H40" i="81"/>
  <c r="G40" i="81"/>
  <c r="H39" i="81"/>
  <c r="G39" i="81"/>
  <c r="H38" i="81"/>
  <c r="G38" i="81"/>
  <c r="H37" i="81"/>
  <c r="G37" i="81"/>
  <c r="H36" i="81"/>
  <c r="G36" i="81"/>
  <c r="H35" i="81"/>
  <c r="G35" i="81"/>
  <c r="H34" i="81"/>
  <c r="G34" i="81"/>
  <c r="H33" i="81"/>
  <c r="G33" i="81"/>
  <c r="H32" i="81"/>
  <c r="G32" i="81"/>
  <c r="H31" i="81"/>
  <c r="G31" i="81"/>
  <c r="H30" i="81"/>
  <c r="G30" i="81"/>
  <c r="H29" i="81"/>
  <c r="G29" i="81"/>
  <c r="H28" i="81"/>
  <c r="G28" i="81"/>
  <c r="H27" i="81"/>
  <c r="G27" i="81"/>
  <c r="H25" i="81"/>
  <c r="G25" i="81"/>
  <c r="H24" i="81"/>
  <c r="G24" i="81"/>
  <c r="H23" i="81"/>
  <c r="G23" i="81"/>
  <c r="H22" i="81"/>
  <c r="G22" i="81"/>
  <c r="H21" i="81"/>
  <c r="G21" i="81"/>
  <c r="H20" i="81"/>
  <c r="G20" i="81"/>
  <c r="I28" i="67"/>
  <c r="H28" i="67"/>
  <c r="G28" i="67"/>
  <c r="I22" i="67"/>
  <c r="I29" i="67" s="1"/>
  <c r="H22" i="67"/>
  <c r="H29" i="67" s="1"/>
  <c r="G22" i="67"/>
  <c r="G29" i="67" s="1"/>
  <c r="I33" i="66"/>
  <c r="H33" i="66"/>
  <c r="G33" i="66"/>
  <c r="I28" i="66"/>
  <c r="I34" i="66" s="1"/>
  <c r="H28" i="66"/>
  <c r="H34" i="66" s="1"/>
  <c r="G28" i="66"/>
  <c r="G34" i="66" s="1"/>
  <c r="I27" i="65"/>
  <c r="H27" i="65"/>
  <c r="G27" i="65"/>
  <c r="I23" i="65"/>
  <c r="H23" i="65"/>
  <c r="G23" i="65"/>
  <c r="G37" i="63"/>
  <c r="I30" i="63"/>
  <c r="H30" i="63"/>
  <c r="G30" i="63"/>
  <c r="I24" i="63"/>
  <c r="H24" i="63"/>
  <c r="G24" i="63"/>
  <c r="H40" i="58"/>
  <c r="H39" i="58"/>
  <c r="H38" i="58"/>
  <c r="H37" i="58"/>
  <c r="H36" i="58"/>
  <c r="H35" i="58"/>
  <c r="H34" i="58"/>
  <c r="H33" i="58"/>
  <c r="H32" i="58"/>
  <c r="H31" i="58"/>
  <c r="H28" i="58"/>
  <c r="H27" i="58"/>
  <c r="H26" i="58"/>
  <c r="H25" i="58"/>
  <c r="H24" i="58"/>
  <c r="H23" i="58"/>
  <c r="H22" i="58"/>
  <c r="H21" i="58"/>
  <c r="H20" i="58"/>
  <c r="H19" i="58"/>
  <c r="H24" i="54"/>
  <c r="H26" i="54" s="1"/>
  <c r="G24" i="54"/>
  <c r="G26" i="54" s="1"/>
  <c r="I23" i="53"/>
  <c r="H23" i="53"/>
  <c r="G23" i="53"/>
  <c r="F23" i="53"/>
  <c r="E29" i="50"/>
  <c r="E28" i="50"/>
  <c r="E27" i="50"/>
  <c r="H26" i="50"/>
  <c r="H29" i="50" s="1"/>
  <c r="G26" i="50"/>
  <c r="G29" i="50" s="1"/>
  <c r="F26" i="50"/>
  <c r="F29" i="50" s="1"/>
  <c r="E26" i="50"/>
  <c r="E25" i="50"/>
  <c r="E24" i="50"/>
  <c r="E23" i="50"/>
  <c r="E22" i="50"/>
  <c r="E21" i="50"/>
  <c r="E20" i="50"/>
  <c r="E19" i="50"/>
  <c r="E18" i="50"/>
  <c r="G27" i="49"/>
  <c r="E27" i="49"/>
  <c r="D27" i="49"/>
  <c r="F32" i="48"/>
  <c r="D32" i="48"/>
  <c r="C32" i="48"/>
  <c r="E31" i="48"/>
  <c r="G31" i="48" s="1"/>
  <c r="E30" i="48"/>
  <c r="G30" i="48" s="1"/>
  <c r="F29" i="48"/>
  <c r="D29" i="48"/>
  <c r="D33" i="48" s="1"/>
  <c r="C29" i="48"/>
  <c r="G28" i="48"/>
  <c r="E28" i="48"/>
  <c r="G27" i="48"/>
  <c r="E27" i="48"/>
  <c r="G26" i="48"/>
  <c r="E26" i="48"/>
  <c r="G25" i="48"/>
  <c r="E25" i="48"/>
  <c r="G24" i="48"/>
  <c r="E24" i="48"/>
  <c r="E29" i="48" s="1"/>
  <c r="F23" i="48"/>
  <c r="D23" i="48"/>
  <c r="C23" i="48"/>
  <c r="C33" i="48" s="1"/>
  <c r="E22" i="48"/>
  <c r="G22" i="48" s="1"/>
  <c r="E21" i="48"/>
  <c r="G21" i="48" s="1"/>
  <c r="E20" i="48"/>
  <c r="G20" i="48" s="1"/>
  <c r="F27" i="45"/>
  <c r="E27" i="45"/>
  <c r="D27" i="45"/>
  <c r="C27" i="45"/>
  <c r="F23" i="45"/>
  <c r="F28" i="45" s="1"/>
  <c r="E23" i="45"/>
  <c r="E28" i="45" s="1"/>
  <c r="D23" i="45"/>
  <c r="D28" i="45" s="1"/>
  <c r="C23" i="45"/>
  <c r="C28" i="45" s="1"/>
  <c r="H26" i="44"/>
  <c r="G26" i="44"/>
  <c r="F26" i="44"/>
  <c r="E26" i="44"/>
  <c r="D26" i="44"/>
  <c r="I25" i="44"/>
  <c r="I24" i="44"/>
  <c r="I23" i="44"/>
  <c r="I22" i="44"/>
  <c r="I26" i="44" s="1"/>
  <c r="G54" i="38"/>
  <c r="E54" i="38"/>
  <c r="G46" i="38"/>
  <c r="E46" i="38"/>
  <c r="D46" i="38"/>
  <c r="D39" i="38"/>
  <c r="D29" i="38"/>
  <c r="D40" i="38" s="1"/>
  <c r="D23" i="38"/>
  <c r="G17" i="31"/>
  <c r="F17" i="31"/>
  <c r="E17" i="31"/>
  <c r="D17" i="31"/>
  <c r="A1" i="23"/>
  <c r="G29" i="48" l="1"/>
  <c r="E23" i="48"/>
  <c r="E32" i="48"/>
  <c r="G32" i="48" s="1"/>
  <c r="F33" i="48"/>
  <c r="E33" i="48" l="1"/>
  <c r="G33" i="48" s="1"/>
  <c r="G23" i="48"/>
  <c r="A1" i="22" l="1"/>
</calcChain>
</file>

<file path=xl/sharedStrings.xml><?xml version="1.0" encoding="utf-8"?>
<sst xmlns="http://schemas.openxmlformats.org/spreadsheetml/2006/main" count="4292" uniqueCount="2022">
  <si>
    <t>IDENTIFICATION DE L'ENTITE</t>
  </si>
  <si>
    <t>Désignation de l'entité :----&gt;</t>
  </si>
  <si>
    <t>ATL2E</t>
  </si>
  <si>
    <t>(suite désignation)---------&gt;</t>
  </si>
  <si>
    <t>RRRR</t>
  </si>
  <si>
    <t>Sigle :---------&gt;</t>
  </si>
  <si>
    <t>ERRR</t>
  </si>
  <si>
    <t>N° DE TELEDECLARANT (NES): ----&gt;</t>
  </si>
  <si>
    <t>453456546656456</t>
  </si>
  <si>
    <t>Adresse Postale de l'entité :---&gt;</t>
  </si>
  <si>
    <t>[Exemple : 25 BP 1956 Tougan 25 BURKINA FASO]</t>
  </si>
  <si>
    <t>Code contribuable (IFU):----&gt;</t>
  </si>
  <si>
    <t>00153952M</t>
  </si>
  <si>
    <t xml:space="preserve">           Exercice d'établissement des états financiers : ---&gt;</t>
  </si>
  <si>
    <t>Adresse géographique------&gt;</t>
  </si>
  <si>
    <t>Lot : 124, Parcelles X, Section YI, Secteur 7 de Ouagadougou, Rue n° 7.96, Porte n° 29</t>
  </si>
  <si>
    <t>[Exemple : 132, Avenue Pays San ou Lot : 124, Parcelles X, Section YI, Secteur 7 de Ouagadougou, Rue n° 7.96, Porte n° 29]</t>
  </si>
  <si>
    <t>Exercice précédent clos le :---&gt;</t>
  </si>
  <si>
    <t xml:space="preserve">nombre de mois :---&gt; </t>
  </si>
  <si>
    <t>Exercice du (période) :-----&gt;</t>
  </si>
  <si>
    <t>01-01-2025</t>
  </si>
  <si>
    <t>au</t>
  </si>
  <si>
    <t>Nombre de mois :-&gt;</t>
  </si>
  <si>
    <t>Centre des Impôts :----&gt;</t>
  </si>
  <si>
    <t>DCI OUAGA II</t>
  </si>
  <si>
    <t>Pays :---&gt;</t>
  </si>
  <si>
    <t>BURKINA FASO</t>
  </si>
  <si>
    <t>N° Récépissé ---&gt;</t>
  </si>
  <si>
    <t>N00000123456</t>
  </si>
  <si>
    <t>N° CNSS--&gt;</t>
  </si>
  <si>
    <t>12334K</t>
  </si>
  <si>
    <t>Tel : ---&gt;</t>
  </si>
  <si>
    <t>IDENTIFICATION DU PROJET</t>
  </si>
  <si>
    <t>Désignation du projet :----&gt;</t>
  </si>
  <si>
    <t>TTTT</t>
  </si>
  <si>
    <t>Sigle/abréviation du projet:---------&gt;</t>
  </si>
  <si>
    <t>SSSSSSSSSSS</t>
  </si>
  <si>
    <t>Code du projet :---&gt;</t>
  </si>
  <si>
    <t>OOOOOOO</t>
  </si>
  <si>
    <t>Date de début du projet :---&gt;</t>
  </si>
  <si>
    <t>Date de fin du projet :---&gt;</t>
  </si>
  <si>
    <t>SOLDE OUVERTURE</t>
  </si>
  <si>
    <t>MOUVEMENTS</t>
  </si>
  <si>
    <t>SOLDE DE CLOTURE</t>
  </si>
  <si>
    <t>Compte</t>
  </si>
  <si>
    <t>Intitule</t>
  </si>
  <si>
    <t>Solde_Ouv_Debit</t>
  </si>
  <si>
    <t>Solde_Ouv_Credit</t>
  </si>
  <si>
    <t>Mouv_Debit</t>
  </si>
  <si>
    <t>Mouv_Credit</t>
  </si>
  <si>
    <t>Solde_Fer_Debit</t>
  </si>
  <si>
    <t>Solde_Fer_Credit</t>
  </si>
  <si>
    <t>DED</t>
  </si>
  <si>
    <t>B</t>
  </si>
  <si>
    <t>MINISTERE DE L'ECONOMIE, DES FINANCES</t>
  </si>
  <si>
    <t>ET DE LA PROSPECTIVE</t>
  </si>
  <si>
    <t>La Patrie ou la Mort, nous Vaincrons</t>
  </si>
  <si>
    <t>DIRECTION GENERALE DES IMPOTS</t>
  </si>
  <si>
    <t>CENTRE DE DEPOT :</t>
  </si>
  <si>
    <t>ETATS FINANCIERS NORMALISES
SYSTÈME COMPTABLE DES ENTITES A BUT NON LUCRATIF (SYCEBNL)</t>
  </si>
  <si>
    <t>EXERCICE CLOS LE :</t>
  </si>
  <si>
    <t>DESIGNATION DE L'ENTITE</t>
  </si>
  <si>
    <t>DENOMINATION SOCIALE :</t>
  </si>
  <si>
    <t>SIGLE USUEL :</t>
  </si>
  <si>
    <t>ADRESSE POSTALE :</t>
  </si>
  <si>
    <t>ADRESSE COMPLETE :</t>
  </si>
  <si>
    <t>TELEPHONE :</t>
  </si>
  <si>
    <t>N° Récépissé :</t>
  </si>
  <si>
    <t>N° IDENTIFICATION FISCALE :</t>
  </si>
  <si>
    <t>N° DE TELEDECLARANT (NES):</t>
  </si>
  <si>
    <t>Désignation du projet</t>
  </si>
  <si>
    <t>Sigle/abréviation du projet</t>
  </si>
  <si>
    <t>Code du projet</t>
  </si>
  <si>
    <t>Début du projet</t>
  </si>
  <si>
    <t xml:space="preserve"> Fin du projet </t>
  </si>
  <si>
    <t>SYSTÈME NORMAL</t>
  </si>
  <si>
    <t>Documents déposés</t>
  </si>
  <si>
    <t>Réservé à la Direction Générale des Impôts</t>
  </si>
  <si>
    <t>Bilan</t>
  </si>
  <si>
    <t>Date de dépôt</t>
  </si>
  <si>
    <t>Compte de résultat</t>
  </si>
  <si>
    <t>Tableau des flux de trésorerie</t>
  </si>
  <si>
    <t>Notes annexes</t>
  </si>
  <si>
    <t>Nom de l'agent de la DGI ayant réceptionné le dépôt</t>
  </si>
  <si>
    <t>Nombre de pages déposées par exemplaire :</t>
  </si>
  <si>
    <t>Signature de l'agent et cachet du service</t>
  </si>
  <si>
    <t>Nombre d'exemplaires déposés :</t>
  </si>
  <si>
    <t>CONDITIONS DE RECEVABILITE</t>
  </si>
  <si>
    <t>Entités utilisant des imprimés :</t>
  </si>
  <si>
    <t>N'utiliser que des imprimés normalisés</t>
  </si>
  <si>
    <t>Remplir chaque page de façon parfaitement lisible, sans décalage de lignes</t>
  </si>
  <si>
    <t>Ne créer aucune rubrique</t>
  </si>
  <si>
    <t>Eviter toute surcharge et donner les explications sur une feuille séparée</t>
  </si>
  <si>
    <t>N'utiliser que les codes indiqués dans les tables</t>
  </si>
  <si>
    <t>N'utiliser que des imprimés en noir et blanc.</t>
  </si>
  <si>
    <t>Entités produisant les états financiers à l'aide de l'outil informatique :</t>
  </si>
  <si>
    <t>Reproduire à l'identique la contexture des imprimés normalisés</t>
  </si>
  <si>
    <t>Fournir une liasse comprenant à la fois : la fiche d'identification et renseignements</t>
  </si>
  <si>
    <t>divers et les états financiers correspondant au système comptable</t>
  </si>
  <si>
    <t>Etats financiers</t>
  </si>
  <si>
    <t>Les rubriques et les postes du bilan, du Compte de résultat et du Tableau des Flux de trésorerie non chiffrés ne doivent pas être supprimés</t>
  </si>
  <si>
    <t>Les notes annexes non chiffrées doivent êtres imprimées. Cependant, elles devront être indiquées dans la Fiche récapitulative des notes.</t>
  </si>
  <si>
    <t>TABLES DES CODES</t>
  </si>
  <si>
    <r>
      <t>1 - Code forme juridique (</t>
    </r>
    <r>
      <rPr>
        <vertAlign val="superscript"/>
        <sz val="11"/>
        <color theme="1"/>
        <rFont val="Cambria"/>
        <family val="1"/>
      </rPr>
      <t>1</t>
    </r>
    <r>
      <rPr>
        <sz val="11"/>
        <color theme="1"/>
        <rFont val="Cambria"/>
        <family val="1"/>
      </rPr>
      <t>)</t>
    </r>
  </si>
  <si>
    <t>3 - Code pays du siège social</t>
  </si>
  <si>
    <t xml:space="preserve"> Société Anonyme (SA) à participation </t>
  </si>
  <si>
    <t>0</t>
  </si>
  <si>
    <r>
      <t xml:space="preserve"> Pays OHADA (</t>
    </r>
    <r>
      <rPr>
        <vertAlign val="superscript"/>
        <sz val="11"/>
        <color theme="1"/>
        <rFont val="Cambria"/>
        <family val="1"/>
      </rPr>
      <t>2</t>
    </r>
    <r>
      <rPr>
        <sz val="11"/>
        <color theme="1"/>
        <rFont val="Cambria"/>
        <family val="1"/>
      </rPr>
      <t>)</t>
    </r>
  </si>
  <si>
    <t xml:space="preserve"> publique</t>
  </si>
  <si>
    <r>
      <t xml:space="preserve"> Pays CEMAC</t>
    </r>
    <r>
      <rPr>
        <vertAlign val="superscript"/>
        <sz val="10"/>
        <rFont val="Cambria"/>
        <family val="1"/>
      </rPr>
      <t>(3)</t>
    </r>
  </si>
  <si>
    <r>
      <t xml:space="preserve"> Autres pays OHADA</t>
    </r>
    <r>
      <rPr>
        <vertAlign val="superscript"/>
        <sz val="10"/>
        <rFont val="Cambria"/>
        <family val="1"/>
      </rPr>
      <t>(4)</t>
    </r>
  </si>
  <si>
    <t xml:space="preserve"> Société Anonyme (SA)</t>
  </si>
  <si>
    <t>1</t>
  </si>
  <si>
    <t xml:space="preserve"> Afrique du Sud</t>
  </si>
  <si>
    <t xml:space="preserve"> Autres pays africains</t>
  </si>
  <si>
    <t>2</t>
  </si>
  <si>
    <t xml:space="preserve"> Société à Responsabilité Limitée (SARL)</t>
  </si>
  <si>
    <t>Suisse</t>
  </si>
  <si>
    <t xml:space="preserve"> Société en Commandite Simple (SCS)</t>
  </si>
  <si>
    <t>3</t>
  </si>
  <si>
    <t xml:space="preserve"> France</t>
  </si>
  <si>
    <t xml:space="preserve"> Société en Nom Collectif (SNC)</t>
  </si>
  <si>
    <t>4</t>
  </si>
  <si>
    <t xml:space="preserve"> Autres pays de l'Union Européenne</t>
  </si>
  <si>
    <t>9</t>
  </si>
  <si>
    <t xml:space="preserve"> Société en Participation (SP)</t>
  </si>
  <si>
    <t>5</t>
  </si>
  <si>
    <t xml:space="preserve"> U.S.A.</t>
  </si>
  <si>
    <t xml:space="preserve"> Groupement d'Intérêt Economique (GIE)</t>
  </si>
  <si>
    <t>6</t>
  </si>
  <si>
    <t xml:space="preserve"> Canada</t>
  </si>
  <si>
    <t xml:space="preserve"> Association</t>
  </si>
  <si>
    <t>7</t>
  </si>
  <si>
    <t xml:space="preserve"> Brésil</t>
  </si>
  <si>
    <t xml:space="preserve"> Autres pays américains</t>
  </si>
  <si>
    <t>Sociétés par Actions Simplifiée (SAS)</t>
  </si>
  <si>
    <t>8</t>
  </si>
  <si>
    <t xml:space="preserve"> Chine</t>
  </si>
  <si>
    <t xml:space="preserve"> Autre forme juridique (à préciser)</t>
  </si>
  <si>
    <t xml:space="preserve"> Inde</t>
  </si>
  <si>
    <t xml:space="preserve"> Liban</t>
  </si>
  <si>
    <t xml:space="preserve"> 2 - Code régime fiscal</t>
  </si>
  <si>
    <t xml:space="preserve"> Autres pays asiatiques</t>
  </si>
  <si>
    <t xml:space="preserve"> Russie</t>
  </si>
  <si>
    <t xml:space="preserve"> Réel normal</t>
  </si>
  <si>
    <t xml:space="preserve"> Autres pays</t>
  </si>
  <si>
    <t xml:space="preserve"> Réel simplifié</t>
  </si>
  <si>
    <t xml:space="preserve"> Synthétique</t>
  </si>
  <si>
    <t xml:space="preserve"> Forfait</t>
  </si>
  <si>
    <t xml:space="preserve"> Non déterminé</t>
  </si>
  <si>
    <t xml:space="preserve">  (Zone monétaire = Zone franc CFA)</t>
  </si>
  <si>
    <r>
      <t>(</t>
    </r>
    <r>
      <rPr>
        <vertAlign val="superscript"/>
        <sz val="11"/>
        <color theme="1"/>
        <rFont val="Cambria"/>
        <family val="1"/>
      </rPr>
      <t>1</t>
    </r>
    <r>
      <rPr>
        <sz val="11"/>
        <color theme="1"/>
        <rFont val="Cambria"/>
        <family val="1"/>
      </rPr>
      <t>) Remplacer le premier 0 par 1 si l'entreprise bénéficie d'un agrément prioritaire</t>
    </r>
  </si>
  <si>
    <r>
      <t>(</t>
    </r>
    <r>
      <rPr>
        <vertAlign val="superscript"/>
        <sz val="10"/>
        <rFont val="Cambria"/>
        <family val="1"/>
      </rPr>
      <t>2</t>
    </r>
    <r>
      <rPr>
        <sz val="10"/>
        <rFont val="Cambria"/>
        <family val="1"/>
      </rPr>
      <t>) Bénin = 01 ; Burkina = 02 ; Côte d'Ivoire = 03 ; Guinée Bissau = 04 ; Mali = 05 ; Niger = 06 ; Sénégal = 07 ; Togo = 08 ; 
(</t>
    </r>
    <r>
      <rPr>
        <vertAlign val="superscript"/>
        <sz val="10"/>
        <rFont val="Cambria"/>
        <family val="1"/>
      </rPr>
      <t>3</t>
    </r>
    <r>
      <rPr>
        <sz val="10"/>
        <rFont val="Cambria"/>
        <family val="1"/>
      </rPr>
      <t>) Cameroun = 09 ; Centrafricaine = 10; Congo = 11 ; Gabon = 12 ; Guinée Equatoriale = 13  ; Tchad = 14 ; 
(</t>
    </r>
    <r>
      <rPr>
        <vertAlign val="superscript"/>
        <sz val="10"/>
        <rFont val="Cambria"/>
        <family val="1"/>
      </rPr>
      <t>4</t>
    </r>
    <r>
      <rPr>
        <sz val="10"/>
        <rFont val="Cambria"/>
        <family val="1"/>
      </rPr>
      <t>) Comores = 15 ; Guinée Conakry = 16 ; Congo RDC = 17.</t>
    </r>
  </si>
  <si>
    <t>CODES ACTIVITES ECONOMIQUES</t>
  </si>
  <si>
    <t xml:space="preserve"> Agriculture vivrière</t>
  </si>
  <si>
    <t xml:space="preserve"> Industrie du tabac</t>
  </si>
  <si>
    <r>
      <t xml:space="preserve"> </t>
    </r>
    <r>
      <rPr>
        <b/>
        <sz val="11"/>
        <color theme="1"/>
        <rFont val="Cambria"/>
        <family val="1"/>
      </rPr>
      <t>Construction</t>
    </r>
  </si>
  <si>
    <t xml:space="preserve"> 001 001 Culture céréalière</t>
  </si>
  <si>
    <t xml:space="preserve"> 015 000 Industrie du tabac</t>
  </si>
  <si>
    <t xml:space="preserve"> 030 001 Préparation de sites et construction</t>
  </si>
  <si>
    <t xml:space="preserve"> 001 002 Culture de tubercules et plantains</t>
  </si>
  <si>
    <t xml:space="preserve"> Industries du textile et de l'habillement </t>
  </si>
  <si>
    <t xml:space="preserve">               d'ouvrages de bâtiment ou de génie civil</t>
  </si>
  <si>
    <t xml:space="preserve"> 001 003 Culture de légumes</t>
  </si>
  <si>
    <t xml:space="preserve"> 016 001 Industries textiles</t>
  </si>
  <si>
    <t xml:space="preserve"> 030 002 Travaux d'installation et de finition</t>
  </si>
  <si>
    <t xml:space="preserve"> 001 004 Culture de condiments</t>
  </si>
  <si>
    <t xml:space="preserve"> 016 002 Industries de l'habillement</t>
  </si>
  <si>
    <t xml:space="preserve"> Commerce</t>
  </si>
  <si>
    <t xml:space="preserve"> 001 005 Culture de fruits</t>
  </si>
  <si>
    <t xml:space="preserve"> Industries du cuir et de la chaussure</t>
  </si>
  <si>
    <t xml:space="preserve"> 031 001 Commerce de véhicules, d'accessoires</t>
  </si>
  <si>
    <t xml:space="preserve"> 001 006 Culture d'autres produits de</t>
  </si>
  <si>
    <t xml:space="preserve"> 017 001 Fabrication du cuir et d'articles </t>
  </si>
  <si>
    <t xml:space="preserve">               et de carburant</t>
  </si>
  <si>
    <t xml:space="preserve">                l'agriculture vivrière</t>
  </si>
  <si>
    <t xml:space="preserve">               en cuir</t>
  </si>
  <si>
    <t xml:space="preserve"> 031 002 Commerce de produits agricoles bruts</t>
  </si>
  <si>
    <t xml:space="preserve"> Agriculture industrielle et d'exportation</t>
  </si>
  <si>
    <t xml:space="preserve"> 017 002 Fabrication de chaussures</t>
  </si>
  <si>
    <t xml:space="preserve">               et d'animaux vivants</t>
  </si>
  <si>
    <t xml:space="preserve"> 002 001 Culture de canne à sucre</t>
  </si>
  <si>
    <t xml:space="preserve"> Industries du bois</t>
  </si>
  <si>
    <t xml:space="preserve"> 031 003 Autres commerces</t>
  </si>
  <si>
    <t xml:space="preserve"> 002 002 Culture d'arachide d'huilerie</t>
  </si>
  <si>
    <t xml:space="preserve"> 018 001 Sciage, rabotage et imprégnation</t>
  </si>
  <si>
    <t xml:space="preserve"> Réparations</t>
  </si>
  <si>
    <t xml:space="preserve"> 002 003 Culture d'arachide de bouche</t>
  </si>
  <si>
    <t xml:space="preserve">               du bois</t>
  </si>
  <si>
    <t xml:space="preserve"> 032 001 Entretien et réparation de véhicules</t>
  </si>
  <si>
    <t xml:space="preserve"> 002 004 Culture de tabac</t>
  </si>
  <si>
    <t xml:space="preserve"> 018 002 Fabrication de panneaux en bois</t>
  </si>
  <si>
    <t xml:space="preserve">               automobiles</t>
  </si>
  <si>
    <t xml:space="preserve"> 002 005 Culture de coton</t>
  </si>
  <si>
    <t xml:space="preserve"> 018 003 Fabrication d'articles en bois</t>
  </si>
  <si>
    <t xml:space="preserve"> 032 002 Réparation de biens personnels et</t>
  </si>
  <si>
    <t xml:space="preserve"> 002 006 Culture de blé</t>
  </si>
  <si>
    <t xml:space="preserve">               assemblés</t>
  </si>
  <si>
    <t xml:space="preserve">               domestiques</t>
  </si>
  <si>
    <t xml:space="preserve"> 002 007 Culture de cacao</t>
  </si>
  <si>
    <t xml:space="preserve"> Industries du papier et cartons, </t>
  </si>
  <si>
    <r>
      <t xml:space="preserve"> </t>
    </r>
    <r>
      <rPr>
        <b/>
        <sz val="11"/>
        <color theme="1"/>
        <rFont val="Cambria"/>
        <family val="1"/>
      </rPr>
      <t>Hôtels, restaurants</t>
    </r>
  </si>
  <si>
    <t xml:space="preserve"> 002 008 Culture de café</t>
  </si>
  <si>
    <t xml:space="preserve"> de l'édition et de l'imprimerie</t>
  </si>
  <si>
    <t xml:space="preserve"> 033 001 Hôtels</t>
  </si>
  <si>
    <t xml:space="preserve"> 002 009 Culture de bananes d'exportation</t>
  </si>
  <si>
    <t xml:space="preserve"> 019 001 Industries du papier et carton</t>
  </si>
  <si>
    <t xml:space="preserve"> 033 002 Bars et restaurants</t>
  </si>
  <si>
    <t xml:space="preserve"> 002 010 Culture d'ananas d'exportation</t>
  </si>
  <si>
    <t xml:space="preserve"> 019 002 Edition, imprimerie, reproduction</t>
  </si>
  <si>
    <t xml:space="preserve"> Transport et communication</t>
  </si>
  <si>
    <t xml:space="preserve"> 002 011 Autres cultures industrielles</t>
  </si>
  <si>
    <t xml:space="preserve"> Raffinage du pétrole</t>
  </si>
  <si>
    <t xml:space="preserve"> 034 001 Transports ferroviaires</t>
  </si>
  <si>
    <t xml:space="preserve"> Elevage et chasse</t>
  </si>
  <si>
    <t xml:space="preserve"> 020 000 Raffinage de pétrole</t>
  </si>
  <si>
    <t xml:space="preserve"> 034 002 Transports routiers ; transports</t>
  </si>
  <si>
    <t xml:space="preserve"> 003 001 Elevage bovin</t>
  </si>
  <si>
    <t xml:space="preserve"> Industrie chimique</t>
  </si>
  <si>
    <t xml:space="preserve">               par conduite</t>
  </si>
  <si>
    <t xml:space="preserve"> 003 002 Elevage ovin, caprin, équin</t>
  </si>
  <si>
    <t xml:space="preserve"> 021 001 Industries chimiques de base</t>
  </si>
  <si>
    <t xml:space="preserve"> 034 003 Transports par eau</t>
  </si>
  <si>
    <t xml:space="preserve"> 003 003 Elevage de volailles</t>
  </si>
  <si>
    <t xml:space="preserve"> 021 002 Fabrication de savons, de</t>
  </si>
  <si>
    <t xml:space="preserve"> 034 004 Transports aériens</t>
  </si>
  <si>
    <t xml:space="preserve"> 003 004 Autres élevages</t>
  </si>
  <si>
    <t xml:space="preserve">               détergents et de produits d'entretien</t>
  </si>
  <si>
    <t xml:space="preserve"> 034 005 Services annexes et auxiliaires de</t>
  </si>
  <si>
    <t xml:space="preserve"> 003 005 Chasse</t>
  </si>
  <si>
    <t xml:space="preserve"> 021 003 Fabrication de produits </t>
  </si>
  <si>
    <t xml:space="preserve">               transport</t>
  </si>
  <si>
    <t xml:space="preserve"> Sylviculture, exploitation forestière</t>
  </si>
  <si>
    <t xml:space="preserve">               agro-chimiques</t>
  </si>
  <si>
    <t xml:space="preserve"> Postes, télécommunications</t>
  </si>
  <si>
    <t xml:space="preserve"> 004 001 Sylviculture</t>
  </si>
  <si>
    <t xml:space="preserve"> 021 004 Industries pharmaceutiques</t>
  </si>
  <si>
    <t xml:space="preserve"> 035 001 Postes </t>
  </si>
  <si>
    <t xml:space="preserve"> 004 002 Exploitation forestière</t>
  </si>
  <si>
    <t xml:space="preserve"> 021 005 Fabrication d'autres produits chimiques</t>
  </si>
  <si>
    <t xml:space="preserve"> 035 002 Télécommunications</t>
  </si>
  <si>
    <t xml:space="preserve"> Pêche et aquaculture</t>
  </si>
  <si>
    <t xml:space="preserve"> Industries du caoutchouc et des plastiques</t>
  </si>
  <si>
    <t xml:space="preserve"> Activités financières</t>
  </si>
  <si>
    <t xml:space="preserve"> 005 001 Pêche de poissons</t>
  </si>
  <si>
    <t xml:space="preserve"> 022 001 Fabrication du caoutchouc naturel</t>
  </si>
  <si>
    <t xml:space="preserve"> 036 001 Services d'intermédiation financière</t>
  </si>
  <si>
    <t xml:space="preserve"> 005 002 Autres pêches et aquaculture</t>
  </si>
  <si>
    <t xml:space="preserve"> 022 002 Industries du caoutchouc</t>
  </si>
  <si>
    <t xml:space="preserve"> 036 002 Assurances (sauf Sécurité Sociale)</t>
  </si>
  <si>
    <t xml:space="preserve"> Industries extractives</t>
  </si>
  <si>
    <t xml:space="preserve"> 022 003 Fabrication de matières plastiques</t>
  </si>
  <si>
    <t xml:space="preserve"> 036 003 Auxiliaires financiers et d'assurances</t>
  </si>
  <si>
    <t xml:space="preserve"> 006 001 Extraction d'hydrocarbures</t>
  </si>
  <si>
    <t xml:space="preserve"> Fabrication d'autres produits minéraux non</t>
  </si>
  <si>
    <t xml:space="preserve"> Activités immobilières</t>
  </si>
  <si>
    <t xml:space="preserve"> 006 002 Extraction d'autres produits</t>
  </si>
  <si>
    <t xml:space="preserve"> métalliques et de matériaux de construction</t>
  </si>
  <si>
    <t xml:space="preserve"> 037 001 Location de biens immobiliers</t>
  </si>
  <si>
    <t xml:space="preserve"> Production de viande et de poissons</t>
  </si>
  <si>
    <t xml:space="preserve"> 023 001 Industries du verre</t>
  </si>
  <si>
    <t xml:space="preserve"> 037 002 Autre services immobiliers</t>
  </si>
  <si>
    <t xml:space="preserve"> 007 001 Production de viande et de</t>
  </si>
  <si>
    <t xml:space="preserve"> 023 002 Fabrication de produits minéraux pour</t>
  </si>
  <si>
    <t xml:space="preserve"> Services aux entreprises</t>
  </si>
  <si>
    <t xml:space="preserve">               produits à base de viande</t>
  </si>
  <si>
    <t xml:space="preserve">               la construction </t>
  </si>
  <si>
    <t xml:space="preserve"> 038 001 Locations sans opérateurs</t>
  </si>
  <si>
    <t xml:space="preserve"> 007 002 Production de poissons et de</t>
  </si>
  <si>
    <t xml:space="preserve"> 023 003 Fabrication d'autres produits minéraux</t>
  </si>
  <si>
    <t xml:space="preserve"> 038 002 Activités informatiques</t>
  </si>
  <si>
    <t xml:space="preserve">               produits à base de poissons</t>
  </si>
  <si>
    <t xml:space="preserve">               non métalliques</t>
  </si>
  <si>
    <t xml:space="preserve"> 038 003 Services rendus principalement aux</t>
  </si>
  <si>
    <t xml:space="preserve"> Travail des grains et fabrication de</t>
  </si>
  <si>
    <t xml:space="preserve"> Métallurgie et travail des métaux</t>
  </si>
  <si>
    <t xml:space="preserve">               entreprises</t>
  </si>
  <si>
    <t xml:space="preserve"> produits amylacés</t>
  </si>
  <si>
    <t xml:space="preserve"> 024 001 Métallurgie</t>
  </si>
  <si>
    <t xml:space="preserve"> Administration publique</t>
  </si>
  <si>
    <t xml:space="preserve"> 008 000 Travail des grains et fabrication</t>
  </si>
  <si>
    <t xml:space="preserve"> 024 002 Travail des métaux</t>
  </si>
  <si>
    <t xml:space="preserve"> 039 001 Administration générale, économique</t>
  </si>
  <si>
    <t xml:space="preserve">               de produits amylacés</t>
  </si>
  <si>
    <t xml:space="preserve"> Fabrication de machines, d'équipements</t>
  </si>
  <si>
    <t xml:space="preserve">               et sociale</t>
  </si>
  <si>
    <t xml:space="preserve"> Transformation du café et du cacao</t>
  </si>
  <si>
    <t xml:space="preserve"> et d'appareils électriques</t>
  </si>
  <si>
    <t xml:space="preserve"> 039 002 Services de prérogative publique</t>
  </si>
  <si>
    <t xml:space="preserve"> 009 001 Transformation du café</t>
  </si>
  <si>
    <t xml:space="preserve"> 025 001 Fabrication de machines et</t>
  </si>
  <si>
    <t xml:space="preserve"> 039 003 Sécurité Sociale obligatoire</t>
  </si>
  <si>
    <t xml:space="preserve"> 009 002 Transformation du cacao</t>
  </si>
  <si>
    <t xml:space="preserve">               d'équipements</t>
  </si>
  <si>
    <t xml:space="preserve"> Education</t>
  </si>
  <si>
    <t xml:space="preserve"> Industrie des oléagineux</t>
  </si>
  <si>
    <t xml:space="preserve"> 025 002 Fabrication de machines de bureau</t>
  </si>
  <si>
    <t xml:space="preserve"> 040 000 Education</t>
  </si>
  <si>
    <t xml:space="preserve"> 010 001 Huiles brutes et tourteaux</t>
  </si>
  <si>
    <t xml:space="preserve"> 025 003 Fabrication d'appareils électriques</t>
  </si>
  <si>
    <t xml:space="preserve"> Santé et action sociale</t>
  </si>
  <si>
    <t xml:space="preserve"> 010 002 Autres corps gras</t>
  </si>
  <si>
    <t xml:space="preserve"> Fabrication d'équipements et appareils</t>
  </si>
  <si>
    <t xml:space="preserve"> 041 001 Activités pour la santé des hommes</t>
  </si>
  <si>
    <t xml:space="preserve"> Boulangerie, pâtisserie et pâtes</t>
  </si>
  <si>
    <t xml:space="preserve"> audiovisuels et de communication ;</t>
  </si>
  <si>
    <t xml:space="preserve"> 041 002 Activités vétérinaires</t>
  </si>
  <si>
    <t xml:space="preserve"> alimentaires</t>
  </si>
  <si>
    <t xml:space="preserve"> fabrication d'instruments médicaux,</t>
  </si>
  <si>
    <t xml:space="preserve"> 041 003 Action sociale</t>
  </si>
  <si>
    <t xml:space="preserve"> 011 001 Fabrication de pains, de biscuits et </t>
  </si>
  <si>
    <t xml:space="preserve"> d'optique et d'horlogerie</t>
  </si>
  <si>
    <t xml:space="preserve"> Services collectifs, sociaux et personnels</t>
  </si>
  <si>
    <t xml:space="preserve">               de pâtisserie</t>
  </si>
  <si>
    <t xml:space="preserve"> 026 001 Fabrication d'équipements et appareils</t>
  </si>
  <si>
    <t xml:space="preserve"> 042 001 Assainissement, voirie, et gestion des</t>
  </si>
  <si>
    <t xml:space="preserve"> 011 002 Fabrication de pâtes alimentaires</t>
  </si>
  <si>
    <t xml:space="preserve">               audiovisuels et de communication</t>
  </si>
  <si>
    <t xml:space="preserve">               déchets</t>
  </si>
  <si>
    <t xml:space="preserve"> Industries laitières</t>
  </si>
  <si>
    <t xml:space="preserve"> 026 002 Fabrication d'instruments médicaux,</t>
  </si>
  <si>
    <t xml:space="preserve"> 042 002 Activités associatives</t>
  </si>
  <si>
    <t xml:space="preserve"> 012 000 Industries laitières</t>
  </si>
  <si>
    <t xml:space="preserve">               d'optique et d'horlogerie</t>
  </si>
  <si>
    <t xml:space="preserve"> 042 003 Activités récréatives, culturelles et</t>
  </si>
  <si>
    <t xml:space="preserve"> Transformation des fruits et légumes et</t>
  </si>
  <si>
    <t xml:space="preserve"> Fabrication de matériel de transport</t>
  </si>
  <si>
    <t xml:space="preserve">               sportives</t>
  </si>
  <si>
    <t xml:space="preserve"> fabrication d'autres produits alimentaires</t>
  </si>
  <si>
    <t xml:space="preserve"> 027 001 Fabrication de véhicules routiers</t>
  </si>
  <si>
    <t xml:space="preserve"> 042 004 Services personnels</t>
  </si>
  <si>
    <t xml:space="preserve"> 013 001 Fabrication de sucre</t>
  </si>
  <si>
    <t xml:space="preserve"> 027 002 Fabrication d'autres matériels de</t>
  </si>
  <si>
    <t xml:space="preserve"> 042 005 Services domestiques</t>
  </si>
  <si>
    <t xml:space="preserve"> 013 002 Fabrication de produits à base de</t>
  </si>
  <si>
    <t xml:space="preserve"> Service d'intermédiation financière</t>
  </si>
  <si>
    <t xml:space="preserve">               fruits et légumes</t>
  </si>
  <si>
    <t xml:space="preserve"> Industries diverses</t>
  </si>
  <si>
    <t xml:space="preserve"> indirectement mesuré</t>
  </si>
  <si>
    <t xml:space="preserve"> 013 003 Fabrication d'autres produits</t>
  </si>
  <si>
    <t xml:space="preserve"> 028 001 Fabrication de meubles</t>
  </si>
  <si>
    <t xml:space="preserve"> 043 000 Service d'intermédiation financière</t>
  </si>
  <si>
    <t xml:space="preserve">               alimentaires</t>
  </si>
  <si>
    <t xml:space="preserve"> 028 002 Industries diverses</t>
  </si>
  <si>
    <t xml:space="preserve">               indirectement mesuré</t>
  </si>
  <si>
    <t xml:space="preserve"> Industrie des boissons</t>
  </si>
  <si>
    <t xml:space="preserve"> Production et distribution d'eau,</t>
  </si>
  <si>
    <t xml:space="preserve"> Correction territoriale</t>
  </si>
  <si>
    <t xml:space="preserve"> 014 001 Brasseries et malteries</t>
  </si>
  <si>
    <t xml:space="preserve"> d'électricité et de gaz </t>
  </si>
  <si>
    <t xml:space="preserve"> 044 000 Correction territoriale</t>
  </si>
  <si>
    <t xml:space="preserve"> 014 002 Fabrication d'autres boissons</t>
  </si>
  <si>
    <t xml:space="preserve"> 029 001 Production, transport et</t>
  </si>
  <si>
    <t xml:space="preserve">               alcoolisées</t>
  </si>
  <si>
    <t xml:space="preserve">               distribution d'électricité</t>
  </si>
  <si>
    <t xml:space="preserve"> 014 003 Fabrication de boissons non</t>
  </si>
  <si>
    <t xml:space="preserve"> 029 002 Captage, épuration et distribution d'eau</t>
  </si>
  <si>
    <t xml:space="preserve">               alcoolisées et d'eaux minérales</t>
  </si>
  <si>
    <t xml:space="preserve"> 029 003 Production et distribution de gaz</t>
  </si>
  <si>
    <t>- 1 -</t>
  </si>
  <si>
    <t>FICHE D'IDENTIFICATION ET RENSEIGNEMENTS DIVERS 1</t>
  </si>
  <si>
    <t>Dénomination sociale de l'entité :</t>
  </si>
  <si>
    <t>Sigle usuel :</t>
  </si>
  <si>
    <t>Adresse :</t>
  </si>
  <si>
    <t>N° d'identification fiscale :</t>
  </si>
  <si>
    <t>Exercice clos le :</t>
  </si>
  <si>
    <t>Durée (en mois) :</t>
  </si>
  <si>
    <t>N° de télédéclarant (NES) :</t>
  </si>
  <si>
    <t>ZA</t>
  </si>
  <si>
    <t xml:space="preserve"> EXERCICE COMPTABLE :</t>
  </si>
  <si>
    <t>DU</t>
  </si>
  <si>
    <t>AU</t>
  </si>
  <si>
    <t>ZB</t>
  </si>
  <si>
    <t xml:space="preserve"> DATE D'ARRETE EFFECTIF DES COMPTES :</t>
  </si>
  <si>
    <t>ZD</t>
  </si>
  <si>
    <t>ZC</t>
  </si>
  <si>
    <t xml:space="preserve"> EXERCICE PRECEDENT CLOS LE :</t>
  </si>
  <si>
    <t xml:space="preserve"> DUREE EXERCICE PRECEDENT EN MOIS :</t>
  </si>
  <si>
    <t>ZE</t>
  </si>
  <si>
    <t>ZF</t>
  </si>
  <si>
    <t>Greffe</t>
  </si>
  <si>
    <t>N° Récépissé</t>
  </si>
  <si>
    <t>Réf. Convention d'établissement</t>
  </si>
  <si>
    <t>ZG</t>
  </si>
  <si>
    <t>ZH</t>
  </si>
  <si>
    <t>ZI</t>
  </si>
  <si>
    <t>N° de caisse sociale</t>
  </si>
  <si>
    <t>N° Code Importateur</t>
  </si>
  <si>
    <t>Code activité principale</t>
  </si>
  <si>
    <t>ZJ</t>
  </si>
  <si>
    <t>Désignation de l'entité</t>
  </si>
  <si>
    <t>Sigle</t>
  </si>
  <si>
    <t>ZK</t>
  </si>
  <si>
    <t>N° de téléphone</t>
  </si>
  <si>
    <t>email</t>
  </si>
  <si>
    <t>Code</t>
  </si>
  <si>
    <t>Boite Postale</t>
  </si>
  <si>
    <t>Ville</t>
  </si>
  <si>
    <t>ZL</t>
  </si>
  <si>
    <t>Adresse géographique complète (Immeuble, rue, quartier, ville, pays)</t>
  </si>
  <si>
    <t>ZN</t>
  </si>
  <si>
    <t>ZM</t>
  </si>
  <si>
    <t>Désignation précise de l'activité principale exercée par l'entité</t>
  </si>
  <si>
    <t>% Capacité utile</t>
  </si>
  <si>
    <t>Nom, adresse et qualité de la personne à contacter en cas de demande d'informations complémentaires.</t>
  </si>
  <si>
    <t>ZO</t>
  </si>
  <si>
    <t>Nom</t>
  </si>
  <si>
    <t>Adresse</t>
  </si>
  <si>
    <t>Téléphone</t>
  </si>
  <si>
    <t>Adresse email</t>
  </si>
  <si>
    <t>Qualité</t>
  </si>
  <si>
    <t>Nom du professionnel salarié de l'entreprise ou Nom, adresse et téléphone du cabinet comptable ou du professionnel INSCRIT A L'ORDRE NATIONAL
DES EXPERTS COMPTABLES ET DES COMPTABLES AGREES ayant établi les états financiers.</t>
  </si>
  <si>
    <t>ZP</t>
  </si>
  <si>
    <t>ZQ</t>
  </si>
  <si>
    <t>ZR</t>
  </si>
  <si>
    <t>Nom, adresse, téléphone, e-mail et numéro d'inscription à l'Ordre des Experts-comptables
du commissariat aux comptes ayant délivré l'attestation d'exécution de la mission</t>
  </si>
  <si>
    <t>ZS</t>
  </si>
  <si>
    <t>Visa de l'Expert comptable ou du Comptable agréé</t>
  </si>
  <si>
    <t>Etats financiers approuvés par l'Assemblée Générale (Oui/Non)</t>
  </si>
  <si>
    <t>NON</t>
  </si>
  <si>
    <t>ZW</t>
  </si>
  <si>
    <t>ZT</t>
  </si>
  <si>
    <t>Domiciliations bancaires :</t>
  </si>
  <si>
    <t>Nom du signataire des états financiers</t>
  </si>
  <si>
    <t>Banque :</t>
  </si>
  <si>
    <t>Numéro de compte</t>
  </si>
  <si>
    <t>ZU</t>
  </si>
  <si>
    <t>Qualité du signataire des états financiers</t>
  </si>
  <si>
    <t>ZV</t>
  </si>
  <si>
    <t>Date de  signature</t>
  </si>
  <si>
    <t>Signature</t>
  </si>
  <si>
    <t>- 2 -</t>
  </si>
  <si>
    <t>FICHE D'IDENTIFICATION ET RENSEIGNEMENTS DIVERS 2</t>
  </si>
  <si>
    <t>Contrôle de l'entité (sélectionnez dans la liste)</t>
  </si>
  <si>
    <t>ZX</t>
  </si>
  <si>
    <r>
      <t>Forme juridique (</t>
    </r>
    <r>
      <rPr>
        <vertAlign val="superscript"/>
        <sz val="11"/>
        <color theme="1"/>
        <rFont val="Cambria"/>
        <family val="1"/>
      </rPr>
      <t>1</t>
    </r>
    <r>
      <rPr>
        <sz val="11"/>
        <color theme="1"/>
        <rFont val="Cambria"/>
        <family val="1"/>
      </rPr>
      <t>) :</t>
    </r>
  </si>
  <si>
    <t>ZY</t>
  </si>
  <si>
    <r>
      <t>Régime fiscal (</t>
    </r>
    <r>
      <rPr>
        <vertAlign val="superscript"/>
        <sz val="11"/>
        <color theme="1"/>
        <rFont val="Cambria"/>
        <family val="1"/>
      </rPr>
      <t>1</t>
    </r>
    <r>
      <rPr>
        <sz val="11"/>
        <color theme="1"/>
        <rFont val="Cambria"/>
        <family val="1"/>
      </rPr>
      <t>) :</t>
    </r>
  </si>
  <si>
    <t>ZZ7 - Entité sous contrôle privé étranger</t>
  </si>
  <si>
    <t>ZZ1</t>
  </si>
  <si>
    <r>
      <t>Pays du siège social (</t>
    </r>
    <r>
      <rPr>
        <vertAlign val="superscript"/>
        <sz val="11"/>
        <color theme="1"/>
        <rFont val="Cambria"/>
        <family val="1"/>
      </rPr>
      <t>1</t>
    </r>
    <r>
      <rPr>
        <sz val="11"/>
        <color theme="1"/>
        <rFont val="Cambria"/>
        <family val="1"/>
      </rPr>
      <t>) :</t>
    </r>
  </si>
  <si>
    <t>ZZ2</t>
  </si>
  <si>
    <t>Nombre d'établissements dans le pays :</t>
  </si>
  <si>
    <t>ZZ3</t>
  </si>
  <si>
    <t xml:space="preserve">Nombre d'établissements hors du pays pour </t>
  </si>
  <si>
    <t>lesquels une comptabilité distincte est tenue :</t>
  </si>
  <si>
    <t>ZZ4</t>
  </si>
  <si>
    <t>Première année d'exercice dans le pays :</t>
  </si>
  <si>
    <r>
      <rPr>
        <vertAlign val="superscript"/>
        <sz val="10"/>
        <color theme="1"/>
        <rFont val="Cambria"/>
        <family val="1"/>
      </rPr>
      <t>(1)</t>
    </r>
    <r>
      <rPr>
        <sz val="10"/>
        <color theme="1"/>
        <rFont val="Cambria"/>
        <family val="1"/>
      </rPr>
      <t xml:space="preserve"> Table Codes</t>
    </r>
  </si>
  <si>
    <t>- 3 -</t>
  </si>
  <si>
    <t>FICHE D'IDENTIFICATION ET RENSEIGNEMENTS DIVERS 3</t>
  </si>
  <si>
    <t xml:space="preserve">Exercice clos le :   </t>
  </si>
  <si>
    <r>
      <t xml:space="preserve">DIRIGEANTS </t>
    </r>
    <r>
      <rPr>
        <b/>
        <vertAlign val="superscript"/>
        <sz val="11"/>
        <rFont val="Cambria"/>
        <family val="1"/>
      </rPr>
      <t>(1</t>
    </r>
    <r>
      <rPr>
        <vertAlign val="superscript"/>
        <sz val="11"/>
        <color theme="1"/>
        <rFont val="Cambria"/>
        <family val="1"/>
      </rPr>
      <t>)</t>
    </r>
  </si>
  <si>
    <t>Nom &amp; Prénoms</t>
  </si>
  <si>
    <r>
      <t>Nationalité</t>
    </r>
    <r>
      <rPr>
        <vertAlign val="superscript"/>
        <sz val="8"/>
        <rFont val="Cambria"/>
        <family val="1"/>
      </rPr>
      <t>(2)</t>
    </r>
  </si>
  <si>
    <t>Autres
nationalités
(à préciser) (2)</t>
  </si>
  <si>
    <t>N° d'identification fiscale</t>
  </si>
  <si>
    <t>Adresse (BP, ville, pays, géographique, email)</t>
  </si>
  <si>
    <r>
      <t>(</t>
    </r>
    <r>
      <rPr>
        <vertAlign val="superscript"/>
        <sz val="9"/>
        <color theme="1"/>
        <rFont val="Cambria"/>
        <family val="1"/>
      </rPr>
      <t>1</t>
    </r>
    <r>
      <rPr>
        <sz val="9"/>
        <color theme="1"/>
        <rFont val="Cambria"/>
        <family val="1"/>
      </rPr>
      <t>) Premiers responsables</t>
    </r>
  </si>
  <si>
    <r>
      <t>(</t>
    </r>
    <r>
      <rPr>
        <vertAlign val="superscript"/>
        <sz val="9"/>
        <rFont val="Cambria"/>
        <family val="1"/>
      </rPr>
      <t>2</t>
    </r>
    <r>
      <rPr>
        <sz val="9"/>
        <rFont val="Cambria"/>
        <family val="1"/>
      </rPr>
      <t>) Autres nationalités à précise en cas de double nationalité</t>
    </r>
  </si>
  <si>
    <r>
      <t xml:space="preserve">MEMBRES DU CONSEIL D'ADMINISTRATION </t>
    </r>
    <r>
      <rPr>
        <b/>
        <vertAlign val="superscript"/>
        <sz val="11"/>
        <rFont val="Cambria"/>
        <family val="1"/>
      </rPr>
      <t>(3)</t>
    </r>
  </si>
  <si>
    <t>Structure représentée</t>
  </si>
  <si>
    <r>
      <t>(</t>
    </r>
    <r>
      <rPr>
        <vertAlign val="superscript"/>
        <sz val="9"/>
        <rFont val="Cambria"/>
        <family val="1"/>
      </rPr>
      <t>3</t>
    </r>
    <r>
      <rPr>
        <sz val="9"/>
        <rFont val="Cambria"/>
        <family val="1"/>
      </rPr>
      <t>) Si applicable</t>
    </r>
  </si>
  <si>
    <t>BILAN</t>
  </si>
  <si>
    <t>Dénomination de l'entité :</t>
  </si>
  <si>
    <t>Durée (en mois)  :</t>
  </si>
  <si>
    <t>Désignation du projet :</t>
  </si>
  <si>
    <t>Code du projet :</t>
  </si>
  <si>
    <t>Sigle/abréviation du projet :</t>
  </si>
  <si>
    <t>Date de début du projet :</t>
  </si>
  <si>
    <t>Date de fin du projet :</t>
  </si>
  <si>
    <t>REF</t>
  </si>
  <si>
    <t>ACTIF</t>
  </si>
  <si>
    <t>Note</t>
  </si>
  <si>
    <t>EXERCICE AU</t>
  </si>
  <si>
    <t>PASSIF</t>
  </si>
  <si>
    <t>Brut</t>
  </si>
  <si>
    <t>Amort. Et deprec.</t>
  </si>
  <si>
    <t>Net</t>
  </si>
  <si>
    <t>AA</t>
  </si>
  <si>
    <t>IMMOBILISATIONS DESTINEES A LA VENTE PROVENANT DE DONS ET LEGS NON ENCORE RECUES ET USUFRUIT TEMPORAIRE</t>
  </si>
  <si>
    <t>CA</t>
  </si>
  <si>
    <t>Dotation non consomptible sans droit de reprise</t>
  </si>
  <si>
    <t>AB</t>
  </si>
  <si>
    <t>Immobilisations incorporelles</t>
  </si>
  <si>
    <t>CB</t>
  </si>
  <si>
    <t>Dotation non consomptible avec droit de reprise</t>
  </si>
  <si>
    <t>AC</t>
  </si>
  <si>
    <t>Immobilisations corporelles et financières</t>
  </si>
  <si>
    <t>CC</t>
  </si>
  <si>
    <t>Droit d'entrée</t>
  </si>
  <si>
    <t>AD</t>
  </si>
  <si>
    <t>IMMOBILISATIONS INCORPORELLES</t>
  </si>
  <si>
    <t>CD</t>
  </si>
  <si>
    <t>Dotation consomptible</t>
  </si>
  <si>
    <t>AE</t>
  </si>
  <si>
    <t>Brevets, licences, logiciels et droits similaires</t>
  </si>
  <si>
    <t>CE</t>
  </si>
  <si>
    <t>Ecarts de réévaluation</t>
  </si>
  <si>
    <t>5F</t>
  </si>
  <si>
    <t>AF</t>
  </si>
  <si>
    <t>Autres immobilisations incorporelles</t>
  </si>
  <si>
    <t>CF</t>
  </si>
  <si>
    <t>Réserves</t>
  </si>
  <si>
    <t>AG</t>
  </si>
  <si>
    <t>Avances et acomptes versés sur immobilisations incorporelles</t>
  </si>
  <si>
    <t>CG</t>
  </si>
  <si>
    <t>Report à nouveau (+ ou -)</t>
  </si>
  <si>
    <t>AH</t>
  </si>
  <si>
    <t>IMMOBILISATIONS CORPORELLES</t>
  </si>
  <si>
    <t>CH</t>
  </si>
  <si>
    <t>Résultat net de l'exercice (excédent + ou déficit -)</t>
  </si>
  <si>
    <t>AI</t>
  </si>
  <si>
    <t>Terrains</t>
  </si>
  <si>
    <t>CI</t>
  </si>
  <si>
    <t>Subventions d'investissement</t>
  </si>
  <si>
    <t>17A</t>
  </si>
  <si>
    <t>AJ</t>
  </si>
  <si>
    <t>Bâtiments</t>
  </si>
  <si>
    <t>CJ</t>
  </si>
  <si>
    <t>Provisions règlementées</t>
  </si>
  <si>
    <t>AK</t>
  </si>
  <si>
    <t>Aménagements, agencements et installations</t>
  </si>
  <si>
    <t>CK</t>
  </si>
  <si>
    <t>TOTAL FONDS PROPRES ET ASSIMILES</t>
  </si>
  <si>
    <t>AL</t>
  </si>
  <si>
    <t>Matériel, mobilier et actifs biologiques</t>
  </si>
  <si>
    <t>CW</t>
  </si>
  <si>
    <t>Fonds affectés et provenant de dons et legs d'immobilisations</t>
  </si>
  <si>
    <t>17B</t>
  </si>
  <si>
    <t>AM</t>
  </si>
  <si>
    <t>Matériel de transport</t>
  </si>
  <si>
    <t>CX</t>
  </si>
  <si>
    <t>Fonds reportés</t>
  </si>
  <si>
    <t>AN</t>
  </si>
  <si>
    <t>Avances et acomptes versés sur immobilisations corporelles</t>
  </si>
  <si>
    <t>CY</t>
  </si>
  <si>
    <t>TOTAL FONDS AFFECTES ET REPORTES</t>
  </si>
  <si>
    <t>AO</t>
  </si>
  <si>
    <t>IMMOBILISATIONS FINANCIERES</t>
  </si>
  <si>
    <t>CZ</t>
  </si>
  <si>
    <t>TOTAL RESSOURCES PROPRES ET ASSIMILEES</t>
  </si>
  <si>
    <t>AX</t>
  </si>
  <si>
    <t>Titres de participation</t>
  </si>
  <si>
    <t>DA</t>
  </si>
  <si>
    <t>Emprunts et dettes financières</t>
  </si>
  <si>
    <t>18A</t>
  </si>
  <si>
    <t>AY</t>
  </si>
  <si>
    <t>Autres immobilisations financières</t>
  </si>
  <si>
    <t>DB</t>
  </si>
  <si>
    <t>Dettes de location-acquisition</t>
  </si>
  <si>
    <t>DC</t>
  </si>
  <si>
    <t>Provisions pour risques et charges</t>
  </si>
  <si>
    <t>DD</t>
  </si>
  <si>
    <t>TOTAL DETTES FINANCIERES ET RESSOURCES ASSIMILEES</t>
  </si>
  <si>
    <t>AZ</t>
  </si>
  <si>
    <t>TOTAL ACTIF IMMOBILISE</t>
  </si>
  <si>
    <t>DE</t>
  </si>
  <si>
    <t>TOTAL RESSOURCES STABLES</t>
  </si>
  <si>
    <t>BA</t>
  </si>
  <si>
    <t>Actif circulant HAO</t>
  </si>
  <si>
    <t>DF</t>
  </si>
  <si>
    <t>Dettes circulantes HAO</t>
  </si>
  <si>
    <t>BB</t>
  </si>
  <si>
    <t>Stocks et encours</t>
  </si>
  <si>
    <t>DG</t>
  </si>
  <si>
    <t>Adhérents, Clients-usagers créditeurs</t>
  </si>
  <si>
    <t>BC</t>
  </si>
  <si>
    <t>Fournisseurs débiteurs</t>
  </si>
  <si>
    <t>DH</t>
  </si>
  <si>
    <t>Fournisseurs</t>
  </si>
  <si>
    <t>BD</t>
  </si>
  <si>
    <t>Adhérents, Clients-usagers</t>
  </si>
  <si>
    <t>DI</t>
  </si>
  <si>
    <t>Autres dettes</t>
  </si>
  <si>
    <t>20 &amp; 21</t>
  </si>
  <si>
    <t>BE</t>
  </si>
  <si>
    <t>Autres créances</t>
  </si>
  <si>
    <t>BT</t>
  </si>
  <si>
    <t>TOTAL ACTIF CIRCULANT</t>
  </si>
  <si>
    <t>DV</t>
  </si>
  <si>
    <t>TOTAL PASSIF CIRCULANT</t>
  </si>
  <si>
    <t>BU</t>
  </si>
  <si>
    <t>Titres de placement</t>
  </si>
  <si>
    <t>DW</t>
  </si>
  <si>
    <t>Banques, établissements financiers et crédits de trésorerie</t>
  </si>
  <si>
    <t>BV</t>
  </si>
  <si>
    <t>Valeurs à encaisser</t>
  </si>
  <si>
    <t>BW</t>
  </si>
  <si>
    <t>Banques, établissements financiers, caisses et assimilés</t>
  </si>
  <si>
    <t>BX</t>
  </si>
  <si>
    <t>TOTAL TRESORERIE ACTIF</t>
  </si>
  <si>
    <t>DX</t>
  </si>
  <si>
    <t>TOTAL TRESORERIE PASSIF</t>
  </si>
  <si>
    <t>BY</t>
  </si>
  <si>
    <t>Ecart de conversion-Actif</t>
  </si>
  <si>
    <t>DY</t>
  </si>
  <si>
    <t>Ecart de conversion-Passif</t>
  </si>
  <si>
    <t>BZ</t>
  </si>
  <si>
    <t>TOTAL GENERAL</t>
  </si>
  <si>
    <t>DZ</t>
  </si>
  <si>
    <t>COMPTE DE RESULTAT</t>
  </si>
  <si>
    <t>LIBELLES</t>
  </si>
  <si>
    <t>NOTE</t>
  </si>
  <si>
    <t>NET</t>
  </si>
  <si>
    <t>RA</t>
  </si>
  <si>
    <t>Cotisations</t>
  </si>
  <si>
    <t>RB</t>
  </si>
  <si>
    <t>Dotations consomptibles transférées au compte de résultat</t>
  </si>
  <si>
    <t>RC</t>
  </si>
  <si>
    <t>Revenus liés à la générosité</t>
  </si>
  <si>
    <t>RD</t>
  </si>
  <si>
    <t>Ventes de marchandises</t>
  </si>
  <si>
    <t>RE</t>
  </si>
  <si>
    <t>Ventes de services et produits finis</t>
  </si>
  <si>
    <t>RF</t>
  </si>
  <si>
    <t>Subventions d'exploitation</t>
  </si>
  <si>
    <t>RG</t>
  </si>
  <si>
    <t>Autres produits et transferts de charges</t>
  </si>
  <si>
    <t>23 &amp; 31</t>
  </si>
  <si>
    <t>RH</t>
  </si>
  <si>
    <t>Reprises de provisions, dépréciations, subventions et autres reprises</t>
  </si>
  <si>
    <t>5D &amp; 30</t>
  </si>
  <si>
    <t>XA</t>
  </si>
  <si>
    <t>REVENUS DES ACTIVITES ORDINAIRES (Somme RA à RH)</t>
  </si>
  <si>
    <t>TA</t>
  </si>
  <si>
    <t>Achats de biens et services liés à l'activité</t>
  </si>
  <si>
    <t>TB</t>
  </si>
  <si>
    <t>Variation de stocks des achats de biens et services liés à l'activité</t>
  </si>
  <si>
    <t>TC</t>
  </si>
  <si>
    <t>Achats de marchandises et matières premières</t>
  </si>
  <si>
    <t>TD</t>
  </si>
  <si>
    <t>Autres achats</t>
  </si>
  <si>
    <t>TE</t>
  </si>
  <si>
    <t>Variation de stocks de marchandises, de matières premières et autres</t>
  </si>
  <si>
    <t>TF</t>
  </si>
  <si>
    <t>Transports</t>
  </si>
  <si>
    <t>TG</t>
  </si>
  <si>
    <t>Services extérieurs</t>
  </si>
  <si>
    <t>TH</t>
  </si>
  <si>
    <t>Impôts et taxes</t>
  </si>
  <si>
    <t>TI</t>
  </si>
  <si>
    <t>Autres charges</t>
  </si>
  <si>
    <t>TJ</t>
  </si>
  <si>
    <t>Charges de personnel</t>
  </si>
  <si>
    <t>TK</t>
  </si>
  <si>
    <t>Frais financiers et charges assimilées</t>
  </si>
  <si>
    <t>TL</t>
  </si>
  <si>
    <t>Dotations aux amortissements, aux provisions, aux dépréciations et autres</t>
  </si>
  <si>
    <t>XB</t>
  </si>
  <si>
    <t>CHARGES DES ACTIVITES ORDINAIRES (Somme TA à TL)</t>
  </si>
  <si>
    <t>XC</t>
  </si>
  <si>
    <t>RESULTAT DES ACTIVITES ORDINAIRES (XA-XB)</t>
  </si>
  <si>
    <t>TM</t>
  </si>
  <si>
    <t>Produits HAO</t>
  </si>
  <si>
    <t>TN</t>
  </si>
  <si>
    <t>Charges HAO</t>
  </si>
  <si>
    <t>XD</t>
  </si>
  <si>
    <t>RESULTAT HAO (TM-TN)</t>
  </si>
  <si>
    <t>XE</t>
  </si>
  <si>
    <t>RESULTAT NET DE L'EXERCICE (+excédent, -déficit) (XC+XD)</t>
  </si>
  <si>
    <t>TABLEAU DES FLUX DE TRESORERIE</t>
  </si>
  <si>
    <t>TABLEAU DE FLUX DE TRESORERIE</t>
  </si>
  <si>
    <t>LIBELLE</t>
  </si>
  <si>
    <t>Trésorerie nette au 1er janvier</t>
  </si>
  <si>
    <t>A</t>
  </si>
  <si>
    <t>(Trésorerie actif N-1 - Trésorerie passif N-1)</t>
  </si>
  <si>
    <t>Flux de trésorerie provenant des activités opérationnelles</t>
  </si>
  <si>
    <t>FA</t>
  </si>
  <si>
    <t>+ Encaissement des cotisations</t>
  </si>
  <si>
    <t>FB</t>
  </si>
  <si>
    <t>+ Encaissement des subventions d'exploitation et d'équilibre</t>
  </si>
  <si>
    <t>FC</t>
  </si>
  <si>
    <t>+ Encaissement des revenus liés à la générosité</t>
  </si>
  <si>
    <t>FD</t>
  </si>
  <si>
    <t>+ Encaissement des revenus des manifestations</t>
  </si>
  <si>
    <t>FE</t>
  </si>
  <si>
    <t>+ Encaissement des autres revenus</t>
  </si>
  <si>
    <t>FF</t>
  </si>
  <si>
    <r>
      <t xml:space="preserve">-  Décaissement des sommes versées aux fournisseurs </t>
    </r>
    <r>
      <rPr>
        <vertAlign val="superscript"/>
        <sz val="10"/>
        <color theme="1"/>
        <rFont val="Cambria"/>
        <family val="1"/>
      </rPr>
      <t>(1)</t>
    </r>
  </si>
  <si>
    <t>FG</t>
  </si>
  <si>
    <t>- Décaissement des sommes versées au personnel</t>
  </si>
  <si>
    <t>FH</t>
  </si>
  <si>
    <t>- Autres décaissements</t>
  </si>
  <si>
    <t>Flux de trésorerie provenant des activités opérationnelles (somme FA à FH)</t>
  </si>
  <si>
    <t>Flux de trésorerie provenant des activités d'investissements</t>
  </si>
  <si>
    <t>FI</t>
  </si>
  <si>
    <t>- Décaissements liés aux acquisitions d'immobilisations incorporelles et corporelles</t>
  </si>
  <si>
    <t>FJ</t>
  </si>
  <si>
    <t>- Décaissements liés aux acquisitions d'immobilisations financières</t>
  </si>
  <si>
    <t>FK</t>
  </si>
  <si>
    <t>+ Encaissements liés aux cessions d'immobilisations incorporelles et corporelles</t>
  </si>
  <si>
    <t>FL</t>
  </si>
  <si>
    <t>+ Encaissements liés aux cessions d'immobilisations financières</t>
  </si>
  <si>
    <t>Flux de trésorerie provenant des activités d'investissements (somme FI à FL)</t>
  </si>
  <si>
    <t>C</t>
  </si>
  <si>
    <t>Flux de trésorerie provenant du financement par les fonds propres</t>
  </si>
  <si>
    <t>FM</t>
  </si>
  <si>
    <t>+ Encaissement des dotations et autres fonds propres</t>
  </si>
  <si>
    <t>FN</t>
  </si>
  <si>
    <t>+ Subventions d'investissement reçues</t>
  </si>
  <si>
    <t>FO</t>
  </si>
  <si>
    <t>- Décaissement des dotations et autres fonds propres</t>
  </si>
  <si>
    <t>Flux de trésorerie provenant du financement par les fonds propres (somme FM à FO)</t>
  </si>
  <si>
    <t>D</t>
  </si>
  <si>
    <t>Trésorerie provenant du financement par les fonds étrangers</t>
  </si>
  <si>
    <t>FP</t>
  </si>
  <si>
    <t>+ Encaissement provenant des emprunts et des autres dettes financières</t>
  </si>
  <si>
    <t>FQ</t>
  </si>
  <si>
    <t>- Remboursements des emprunts et autres dettes financières</t>
  </si>
  <si>
    <t>Trésorerie provenant du financement par les fonds étrangers (somme FP à FQ)</t>
  </si>
  <si>
    <t>E</t>
  </si>
  <si>
    <t>Flux de trésorerie provenant des activités de financement (D+E)</t>
  </si>
  <si>
    <t>VARIATION  DE LA TRESORERIE NETTE DE LA PERIODE (B+C+D+E)</t>
  </si>
  <si>
    <t>G</t>
  </si>
  <si>
    <t>Trésorerie nette au 31 Décembre (G+A)</t>
  </si>
  <si>
    <t>H</t>
  </si>
  <si>
    <t>Contrôle : Trésorerie actif N - Trésorerie passif N</t>
  </si>
  <si>
    <r>
      <rPr>
        <i/>
        <vertAlign val="superscript"/>
        <sz val="9"/>
        <color theme="1"/>
        <rFont val="Cambria"/>
        <family val="1"/>
      </rPr>
      <t>(1)</t>
    </r>
    <r>
      <rPr>
        <i/>
        <sz val="9"/>
        <color theme="1"/>
        <rFont val="Cambria"/>
        <family val="1"/>
      </rPr>
      <t xml:space="preserve"> à l'exclusion des fournisseurs d'investissements.</t>
    </r>
  </si>
  <si>
    <t>NOTES</t>
  </si>
  <si>
    <t>NOTES ANNEXES</t>
  </si>
  <si>
    <t>INTITULES</t>
  </si>
  <si>
    <t>N/A</t>
  </si>
  <si>
    <t>Partie 1 : Information générales</t>
  </si>
  <si>
    <t>Note 1</t>
  </si>
  <si>
    <t>Dettes garanties par des suretés réelles, engagements financiers et contributions volontaires en nature</t>
  </si>
  <si>
    <t>X</t>
  </si>
  <si>
    <t/>
  </si>
  <si>
    <t>Note 2</t>
  </si>
  <si>
    <t>Informations obligatoires</t>
  </si>
  <si>
    <t>Note 3</t>
  </si>
  <si>
    <t>Evènements postérieurs à la clôture de l'exercice</t>
  </si>
  <si>
    <t>Note 4</t>
  </si>
  <si>
    <t>Changements de méthodes comptables, d'estimations et corrections d'erreurs</t>
  </si>
  <si>
    <t>Partie 2 : Notes sur le bilan</t>
  </si>
  <si>
    <t>Note 5A</t>
  </si>
  <si>
    <t>Dons et legs d'immobilisations non reçus destinés à la vente et usufruit temporaire</t>
  </si>
  <si>
    <t>Note 5B</t>
  </si>
  <si>
    <t>Immobilisations brutes</t>
  </si>
  <si>
    <t>Note 5C</t>
  </si>
  <si>
    <t>Biens pris en location -  acquisition</t>
  </si>
  <si>
    <t>Note 5D</t>
  </si>
  <si>
    <t>Dons et legs d'immobilisations non reçus destinés à la vente et usufruit temporaire (amortissements et dépréciations)</t>
  </si>
  <si>
    <t>Note 5E</t>
  </si>
  <si>
    <t>Immobilisations : Amortissements</t>
  </si>
  <si>
    <t>Note 5F</t>
  </si>
  <si>
    <t>Immobilisations : Dépréciations</t>
  </si>
  <si>
    <t>Note 5G</t>
  </si>
  <si>
    <t>Immobilisations : Plus-values et moins-values de cession</t>
  </si>
  <si>
    <t>Note 5H</t>
  </si>
  <si>
    <t>Informations sur les réévaluations effectuées par l'entité</t>
  </si>
  <si>
    <t>Note 6</t>
  </si>
  <si>
    <t>Immobilisations financières</t>
  </si>
  <si>
    <t>Note 7</t>
  </si>
  <si>
    <t>Actif circulant et dettes circulantes HAO</t>
  </si>
  <si>
    <t>Note 8</t>
  </si>
  <si>
    <t>Note 9</t>
  </si>
  <si>
    <t>Adhérents, clients-usagers</t>
  </si>
  <si>
    <t>Note 10</t>
  </si>
  <si>
    <t>Note 11</t>
  </si>
  <si>
    <t>Note 12</t>
  </si>
  <si>
    <t>Note 13</t>
  </si>
  <si>
    <t>Disponibilités</t>
  </si>
  <si>
    <t>Note 14</t>
  </si>
  <si>
    <t>Ecarts de conversion</t>
  </si>
  <si>
    <t>Note 15</t>
  </si>
  <si>
    <t>Dotation</t>
  </si>
  <si>
    <t>Note 16</t>
  </si>
  <si>
    <t>Note 17A</t>
  </si>
  <si>
    <t>Subventions et provisions règlementées</t>
  </si>
  <si>
    <t>Note 17B</t>
  </si>
  <si>
    <t>Fonds affectés et reportés</t>
  </si>
  <si>
    <t>Note 18A</t>
  </si>
  <si>
    <t>Dettes financières et ressources assimilées</t>
  </si>
  <si>
    <t>Note 18B</t>
  </si>
  <si>
    <t>Actifs et passifs éventuels</t>
  </si>
  <si>
    <t>Note 19</t>
  </si>
  <si>
    <t>Fournisseurs d'exploitation</t>
  </si>
  <si>
    <t>Note 20</t>
  </si>
  <si>
    <t>Dettes fiscales et sociales</t>
  </si>
  <si>
    <t>Note 21</t>
  </si>
  <si>
    <t>Autres dettes et provisions pour risques et charges à court terme</t>
  </si>
  <si>
    <t>Note 22</t>
  </si>
  <si>
    <t>Banques, crédit d'escompte et de trésorerie</t>
  </si>
  <si>
    <t>Partie 3 : Notes sur le compte de résultat</t>
  </si>
  <si>
    <t>Note 23</t>
  </si>
  <si>
    <t>Revenus et autres produits</t>
  </si>
  <si>
    <t>Note 24</t>
  </si>
  <si>
    <t>Achats</t>
  </si>
  <si>
    <t>Note 25</t>
  </si>
  <si>
    <t>Note 26</t>
  </si>
  <si>
    <t>Note 27</t>
  </si>
  <si>
    <t>Impots et taxes</t>
  </si>
  <si>
    <t>Note 28</t>
  </si>
  <si>
    <t>Note 29A</t>
  </si>
  <si>
    <t>Note 29B</t>
  </si>
  <si>
    <t>Effectifs, masse salariale et personnel extérieur</t>
  </si>
  <si>
    <t>Note 30</t>
  </si>
  <si>
    <t>Dotations et charges pour provisions et dépréciations</t>
  </si>
  <si>
    <t>Note 31</t>
  </si>
  <si>
    <t>Charges et revenus financiers</t>
  </si>
  <si>
    <t>Note 32</t>
  </si>
  <si>
    <t>Autres charges et produits HAO</t>
  </si>
  <si>
    <t>Partie 4 : Autres informations</t>
  </si>
  <si>
    <t>Note 33</t>
  </si>
  <si>
    <t>Fiche de synthèse des principaux indicateurs financiers</t>
  </si>
  <si>
    <t>Note 34</t>
  </si>
  <si>
    <t>Liste des informations sociales, environnementales et sociétales</t>
  </si>
  <si>
    <t>Note 35</t>
  </si>
  <si>
    <t>Tableau d'exécution budgétaire</t>
  </si>
  <si>
    <r>
      <rPr>
        <vertAlign val="superscript"/>
        <sz val="9"/>
        <color theme="1"/>
        <rFont val="Cambria"/>
        <family val="1"/>
      </rPr>
      <t xml:space="preserve">(1) </t>
    </r>
    <r>
      <rPr>
        <sz val="9"/>
        <color theme="1"/>
        <rFont val="Cambria"/>
        <family val="1"/>
      </rPr>
      <t>les Notes non documentées ne doivent pas être jointes aux états financiers. Leur contenu peut être amélioré par les entités. Par ailleurs, dans une note, les lignes non chriffrées doivent être supprimées. Par exemple, dans la Note 26 Services extérieurs, lorsque la ligne sous-traitance générale n'est pas chiffrée, elle ne doit pas figurer dans cette note.</t>
    </r>
  </si>
  <si>
    <t>A : Applicable               N/A: Non applicable.</t>
  </si>
  <si>
    <t>Par exemple pour une entité qui n'a pas de stocks et en-cours, elle doit cocher à l'intersection ('ligne "Note 8" &amp; "colonne N/A")</t>
  </si>
  <si>
    <t>NOTE 1</t>
  </si>
  <si>
    <t>DETTES GARANTIES PAR DES SURETES REELLES, ENGAGEMENTS FINANCIERS ET CONTRIBUTIONS VOLONTAIRES EN NATURE</t>
  </si>
  <si>
    <r>
      <t>MONTANT BRUT</t>
    </r>
    <r>
      <rPr>
        <vertAlign val="superscript"/>
        <sz val="10"/>
        <color theme="1"/>
        <rFont val="Cambria"/>
        <family val="1"/>
      </rPr>
      <t>(1)</t>
    </r>
  </si>
  <si>
    <r>
      <t>SURETES REELLES</t>
    </r>
    <r>
      <rPr>
        <vertAlign val="superscript"/>
        <sz val="10"/>
        <color theme="1"/>
        <rFont val="Cambria"/>
        <family val="1"/>
      </rPr>
      <t>(2)</t>
    </r>
  </si>
  <si>
    <t>HYPOTHEQUES</t>
  </si>
  <si>
    <t>NANTISSEMENTS</t>
  </si>
  <si>
    <t>GAGES/AUTRES</t>
  </si>
  <si>
    <t>Emprunts et dettes financières diverses :</t>
  </si>
  <si>
    <t>Emprunts obligataires</t>
  </si>
  <si>
    <t xml:space="preserve">Emprunts et dettes des établissements de crédit </t>
  </si>
  <si>
    <t>Autres dettes financières</t>
  </si>
  <si>
    <t>TOTAL (1)</t>
  </si>
  <si>
    <t>Dettes de location-acquisition :</t>
  </si>
  <si>
    <t xml:space="preserve">Dettes de crédit-bail immobilier </t>
  </si>
  <si>
    <t>Dettes de crédit-bail mobilier</t>
  </si>
  <si>
    <t>Dettes sur contrats de location-vente</t>
  </si>
  <si>
    <t>Autres dettes sur contrats de location-acquisition</t>
  </si>
  <si>
    <t>TOTAL (2)</t>
  </si>
  <si>
    <t xml:space="preserve">Dettes du passif circulant : </t>
  </si>
  <si>
    <t xml:space="preserve">Fournisseurs et comptes rattachés </t>
  </si>
  <si>
    <t>Adhérents, clients-usagers créditeurs</t>
  </si>
  <si>
    <t>Personnel</t>
  </si>
  <si>
    <t xml:space="preserve">Organismes sociaux </t>
  </si>
  <si>
    <t>Etat et collectivités</t>
  </si>
  <si>
    <t>Fondateurs, apporteurs et comptes rattachés</t>
  </si>
  <si>
    <t>Bailleurs, Etat et autres organismes, fonds d'administration</t>
  </si>
  <si>
    <t>Créditeurs divers</t>
  </si>
  <si>
    <t>TOTAL (3)</t>
  </si>
  <si>
    <t>TOTAL (1) + (2) + (3)</t>
  </si>
  <si>
    <t>ENGAGEMENTS FINANCIERS</t>
  </si>
  <si>
    <t>Engagements réciproques</t>
  </si>
  <si>
    <t>ENGAGEMENTS DONNES</t>
  </si>
  <si>
    <t>ENGAGEMENTS 
REÇUS</t>
  </si>
  <si>
    <t>Avals, cautions, garanties</t>
  </si>
  <si>
    <t xml:space="preserve">Hypothèques, nantissements, gages, autres </t>
  </si>
  <si>
    <t>Effets escomptés non échus</t>
  </si>
  <si>
    <t>TOTAL</t>
  </si>
  <si>
    <t>CONTRIBUTIONS VOLONTAIRES EN NATURE</t>
  </si>
  <si>
    <t>Ressources</t>
  </si>
  <si>
    <t>Emplois</t>
  </si>
  <si>
    <t>Dons en nature</t>
  </si>
  <si>
    <t>Secours en nature</t>
  </si>
  <si>
    <t>Mises à disposition gratuite des biens</t>
  </si>
  <si>
    <t>Prestations en nature</t>
  </si>
  <si>
    <t>Personnel bénévole</t>
  </si>
  <si>
    <r>
      <rPr>
        <i/>
        <vertAlign val="superscript"/>
        <sz val="9"/>
        <color theme="1"/>
        <rFont val="Cambria"/>
        <family val="1"/>
      </rPr>
      <t>(1)</t>
    </r>
    <r>
      <rPr>
        <i/>
        <sz val="9"/>
        <color theme="1"/>
        <rFont val="Cambria"/>
        <family val="1"/>
      </rPr>
      <t xml:space="preserve"> indiquer le montant de la garantie / </t>
    </r>
    <r>
      <rPr>
        <i/>
        <vertAlign val="superscript"/>
        <sz val="9"/>
        <color theme="1"/>
        <rFont val="Cambria"/>
        <family val="1"/>
      </rPr>
      <t>(2)</t>
    </r>
    <r>
      <rPr>
        <i/>
        <sz val="9"/>
        <color theme="1"/>
        <rFont val="Cambria"/>
        <family val="1"/>
      </rPr>
      <t xml:space="preserve"> indiquer les références de la sûreté </t>
    </r>
  </si>
  <si>
    <t>Commentaire :</t>
  </si>
  <si>
    <t xml:space="preserve"> - Indiquer la raison d'être des sûretés;
- Pour les contributions volontaires, faites une évaluation à la valeur actuelle.</t>
  </si>
  <si>
    <t>NOTE 2</t>
  </si>
  <si>
    <t>INFORMATIONS OBLIGATOIRES</t>
  </si>
  <si>
    <t>A - IDENTITE, ORGANISATION</t>
  </si>
  <si>
    <t>L'entité doit : 
- décrire brièvement l'identité de l'entité (date de création, nature du projet associatif, activité ou mission réalisée)
- décrire brièvement l'organisation de l'entité avec des données chiffrées (effectifs, nombre de bénévoles, total des revenus, moyens utilisés)</t>
  </si>
  <si>
    <t>B- DECLARATION DE CONFORMITE AU SYSTÈME COMPTABLE DES ENTITES A BUT NON LUCRATIF ET FAITS MARQUANTS DE L'EXERCICE</t>
  </si>
  <si>
    <t>C - REGLES, METHODES COMPTABLES ET DEROGATION AUX PRINCIPES COMPTABLES</t>
  </si>
  <si>
    <t>D - INFORMATIONS COMPLEMENTAIRES RELATIVES AU BILAN, AU COMPTE DE RESULTAT ET AU TABLEAU DES FLUX DE TRESORERIE</t>
  </si>
  <si>
    <t>NOTE 3</t>
  </si>
  <si>
    <t>EVENEMENTS POSTERIEURS A LA CLOTURE DE L'EXERCICE</t>
  </si>
  <si>
    <t>Date d'arrêté des états financiers :</t>
  </si>
  <si>
    <t>Organe ayant autorisé la publication des comptes :</t>
  </si>
  <si>
    <t>A - EVENEMENTS POSTERIEURS A LA DATE DE CLOTURE DONNANT LIEU A DES AJUSTEMENTS DES ETATS FINANCIERS</t>
  </si>
  <si>
    <t>Commentaire :
Indiquer la nature des évènements postérieurs à la date de clôture donnant lieu à des ajustements des états financiers.
Pour chaque évènement, donnez des précisions sur les comptes qui ont fait l'objet d'un ajustement.</t>
  </si>
  <si>
    <t>B - EVENEMENTS POSTERIEURS A LA DATE DE CLOTURE NE DONNANT LIEU A DES AJUSTEMENTS DES ETATS FINANCIERS</t>
  </si>
  <si>
    <t>Commentaire :
Procéder à une estimation de l'impact financier de chaque évènement ou l'indication que cette estimation ne peut être fournie.</t>
  </si>
  <si>
    <t>C - EVENEMENTS REMETTANT EN CAUSE L'HYPOTHESE DE BASE DE CONTINUITE DE L'EXPLOITATION</t>
  </si>
  <si>
    <t>Commentaire :
Indiquer la nature de l'évènement (ou des évènements) ayant entraîné la remise en cause de la continuité d'exploitation.
Donner des précisions sur les valeurs liquidatives retenues.</t>
  </si>
  <si>
    <t>NOTE 4</t>
  </si>
  <si>
    <t>CHANGEMENTS DE METHODES COMPTABLES, D'ESTIMATIONS ET CORRECTIONS D'ERREURS</t>
  </si>
  <si>
    <t>A – CHANGEMENTS DE METHODES COMPTABLES</t>
  </si>
  <si>
    <t>1. Changement de réglementation comptable</t>
  </si>
  <si>
    <t>Commentaire :
- L'entité doit indiquer l'impact du changement de réglementation comptable (par exemple lors du passage au Système comptable des entités à but non lucratif déterminé à l'ouverture en précisant les postes concernés);
- L'entité doit présenter les principaux postes des exercices antérieurs présentés, retraités selon la nouvelle méthode en cas de changement de réglementation comptable appliqué de manière retrospective;
- L'entité doit indiquer l'impact du changement sur les principaux postes concernés de l'exercice en cas de changement de réglementation comptable appliqué de manière prospective.</t>
  </si>
  <si>
    <t xml:space="preserve">2. Changement de méthode à l’initiative de l’entité </t>
  </si>
  <si>
    <t>Commentaire :
- L'entité doit indiquer et justifier le changement de méthode comptable;
- L'entité doit indiquer l'impact du changement de méthode comptable déterminé à l'ouverture en précisant les postes concernés;
- L'entité doit présenter les principaux postes des exercices antérieurs présentés, retraités selon la nouvelle méthode en cas de changement de méthode  comptable appliqué de manière retrospective;
- L'entité doit indiquer les raisons d'une application  prospective et l'impact du changement sur les principaux postes concernés de l'exercice en cas de changement de méthode comptable appliqué de manière prospective.</t>
  </si>
  <si>
    <t xml:space="preserve">B – CHANGEMENTS D’ESTIMATIONS </t>
  </si>
  <si>
    <t>Commentaire :
- L'entité doit indiquer et justifier le changement d'estimation</t>
  </si>
  <si>
    <t>C – CORRECTIONS D’ERREURS</t>
  </si>
  <si>
    <t>Commentaire : 
- L'entité doit indiquer la nature des erreurs corrigées (erreurs commises et découvertes sur l'exercice en cours et erreurs d'un exercice antérieur);
- L'entité doit présenter les principaux postes des exercices antérieurs présentés, corrigés des erreurs d'un exercice antérieur</t>
  </si>
  <si>
    <t>NOTE 5A</t>
  </si>
  <si>
    <t>DONS ET LEGS D'IMMOBILISATIONS NON RECUS DESTINES A LA VENTE ET USUFRUIT TEMPORAIRE</t>
  </si>
  <si>
    <t xml:space="preserve">                      SITUATIONS ET MOUVEMENTS
RUBRIQUES</t>
  </si>
  <si>
    <t>AUGMENTATIONS B</t>
  </si>
  <si>
    <t>DIMINUTIONS C</t>
  </si>
  <si>
    <t>D = A + B - C</t>
  </si>
  <si>
    <t>MONTANT BRUT A L'OUVERTURE DE L'EXERCICE</t>
  </si>
  <si>
    <t>Acquisitions
Apports
Créations</t>
  </si>
  <si>
    <t>Virements de poste à poste</t>
  </si>
  <si>
    <t>Suite à une réévaluation pratiquée au cours de l'exercice</t>
  </si>
  <si>
    <t>Cessions
Scissions
Hors service</t>
  </si>
  <si>
    <t>MONTANT BRUT A LA CLOTURE DE L'EXERCICE</t>
  </si>
  <si>
    <t xml:space="preserve"> IMMOBILISATIONS INCORPORELLES</t>
  </si>
  <si>
    <t>Usufruit</t>
  </si>
  <si>
    <t>Brevets, licences, logiciels, et droits similaires</t>
  </si>
  <si>
    <t xml:space="preserve"> IMMOBILISATIONS CORPORELLES</t>
  </si>
  <si>
    <t>Matériels et mobiliers</t>
  </si>
  <si>
    <t xml:space="preserve"> IMMOBILISATIONS FINANCIERES</t>
  </si>
  <si>
    <t xml:space="preserve"> TOTAL GENERAL</t>
  </si>
  <si>
    <t>Commentaires :</t>
  </si>
  <si>
    <t>NOTE 5B</t>
  </si>
  <si>
    <t>IMMOBILISATIONS BRUTES</t>
  </si>
  <si>
    <t>Brevets, licences, et droits similaires</t>
  </si>
  <si>
    <t>Logiciels et sites internet</t>
  </si>
  <si>
    <t>Avances et acomptes sur immobilisations incorporelles</t>
  </si>
  <si>
    <t>Terrains hors immeuble de placement</t>
  </si>
  <si>
    <t>Terrains - immeuble de placement</t>
  </si>
  <si>
    <t>Bâtiments hors immeuble de placement</t>
  </si>
  <si>
    <t>Bâtiments - immeuble de placement</t>
  </si>
  <si>
    <t>Avances et acomptes sur immobilisations corporelles</t>
  </si>
  <si>
    <t>NOTE 5C</t>
  </si>
  <si>
    <t>BIENS PRIS EN LOCATION-ACQUISITION</t>
  </si>
  <si>
    <t xml:space="preserve">                    SITUATIONS ET MOUVEMENTS
RUBRIQUES</t>
  </si>
  <si>
    <r>
      <t>NATURE DU CONTRAT
(I ; M ; A)</t>
    </r>
    <r>
      <rPr>
        <vertAlign val="superscript"/>
        <sz val="10"/>
        <rFont val="Cambria"/>
        <family val="1"/>
      </rPr>
      <t>(1)</t>
    </r>
  </si>
  <si>
    <r>
      <t xml:space="preserve">AUGMENTATIONS  </t>
    </r>
    <r>
      <rPr>
        <b/>
        <sz val="10"/>
        <rFont val="Cambria"/>
        <family val="1"/>
      </rPr>
      <t>B</t>
    </r>
  </si>
  <si>
    <r>
      <t xml:space="preserve">DIMINUTIONS </t>
    </r>
    <r>
      <rPr>
        <b/>
        <sz val="10"/>
        <rFont val="Cambria"/>
        <family val="1"/>
      </rPr>
      <t xml:space="preserve"> C</t>
    </r>
  </si>
  <si>
    <t xml:space="preserve"> Terrains</t>
  </si>
  <si>
    <t xml:space="preserve"> Bâtiments</t>
  </si>
  <si>
    <t xml:space="preserve"> Matériel, mobilier</t>
  </si>
  <si>
    <t xml:space="preserve"> Matériel de transport</t>
  </si>
  <si>
    <t>TOTAL  IMMOBILISATIONS EN LOCATION-ACQUISITION</t>
  </si>
  <si>
    <r>
      <rPr>
        <i/>
        <vertAlign val="superscript"/>
        <sz val="9"/>
        <rFont val="Cambria"/>
        <family val="1"/>
      </rPr>
      <t xml:space="preserve"> (1)</t>
    </r>
    <r>
      <rPr>
        <i/>
        <sz val="9"/>
        <rFont val="Cambria"/>
        <family val="1"/>
      </rPr>
      <t xml:space="preserve"> I : Crédit-bail immobilier ; M : Crédit-bail mobilier ; A : Autres contrats (dédoubler le poste si montants significatifs).</t>
    </r>
  </si>
  <si>
    <t>NOTE 5D</t>
  </si>
  <si>
    <t>DONS ET LEGS D'IMMOBILISATIONS NON RECUS DESTINES A LA VENTE ET USUFRUIT TEMPORAIRE (AMORTISSEMENTS ET DEPRECIATIONS)</t>
  </si>
  <si>
    <t xml:space="preserve">  B</t>
  </si>
  <si>
    <t>E = A + B - C - D</t>
  </si>
  <si>
    <t>Amortissements et dépréciations cumulés à l'ouverture de l'exercice</t>
  </si>
  <si>
    <t>AUGMENTATIONS : DOTATIONS DE L'EXERCICE</t>
  </si>
  <si>
    <t>DIMINUTIONS :</t>
  </si>
  <si>
    <t>Virements poste à poste</t>
  </si>
  <si>
    <t>CUMULS DES AMORTISSEMENTS ET DEPRECIATIONS A LA CLOTURE DE L'EXERCICE</t>
  </si>
  <si>
    <t>Amortissements et dépréciations relatifs aux  éléments sortis de l'actif</t>
  </si>
  <si>
    <t>Reprises d'amortissements et dépréciations</t>
  </si>
  <si>
    <t>SOUS TOTAL : IMMOBILISATIONS INCORPORELLES</t>
  </si>
  <si>
    <t>Matériel, mobilier</t>
  </si>
  <si>
    <t>SOUS TOTAL : IMMOBILISATIONS CORPORELLES</t>
  </si>
  <si>
    <t>NOTE 5E</t>
  </si>
  <si>
    <t>IMMOBILISATIONS (AMORTISSEMENTS)</t>
  </si>
  <si>
    <t>Amortissements cumulés à l'ouverture de l'exercice</t>
  </si>
  <si>
    <t>CUMULS DES AMORTISSEMENTS A LA CLOTURE DE L'EXERCICE</t>
  </si>
  <si>
    <t>Amortissements relatifs aux  éléments sortis de l'actif</t>
  </si>
  <si>
    <t>Reprises d'amortissements</t>
  </si>
  <si>
    <t>NOTE 5F</t>
  </si>
  <si>
    <t>IMMOBILISATIONS (DEPRECIATIONS)</t>
  </si>
  <si>
    <t>Dépréciations cumulées à l'ouverture de l'exercice</t>
  </si>
  <si>
    <t>Diminutions :
reprises de l'exercice</t>
  </si>
  <si>
    <t>CUMULS DES DEPRECIATIONS A LA CLOTURE DE L'EXERCICE</t>
  </si>
  <si>
    <t xml:space="preserve"> Terrains hors immeuble de placement</t>
  </si>
  <si>
    <t xml:space="preserve"> Terrains - immeuble de placement</t>
  </si>
  <si>
    <t xml:space="preserve"> Bâtiments hors immeuble de placement</t>
  </si>
  <si>
    <t xml:space="preserve"> Bâtiments - immeuble de placement</t>
  </si>
  <si>
    <t xml:space="preserve"> Matériel, mobilier et actifs biologiques</t>
  </si>
  <si>
    <t xml:space="preserve"> Titres de participation</t>
  </si>
  <si>
    <t xml:space="preserve"> Autres immobilisations financières</t>
  </si>
  <si>
    <t>SOUS TOTAL : IMMOBILISATIONS FINANCIERES</t>
  </si>
  <si>
    <t xml:space="preserve"> TOTAL DES IMMOBILISATIONS DEPRECIEES</t>
  </si>
  <si>
    <t>NOTE 5G</t>
  </si>
  <si>
    <t>IMMOBILISATION : PLUS-VALUES ET MOINS-VALUES DE CESSION</t>
  </si>
  <si>
    <t xml:space="preserve">                                SITUATIONS ET MOUVEMENTS
RUBRIQUES</t>
  </si>
  <si>
    <t>MONTANT BRUT</t>
  </si>
  <si>
    <t>AMORTISSEMENTS PRATIQUES</t>
  </si>
  <si>
    <t>VALEUR COMPTABLE NETTE</t>
  </si>
  <si>
    <t>PRIX DE CESSION</t>
  </si>
  <si>
    <t>PLUS-VALUE OU MOINS-VALUE</t>
  </si>
  <si>
    <t>C = A - B</t>
  </si>
  <si>
    <t>E = D - C</t>
  </si>
  <si>
    <t xml:space="preserve"> Brevets, licences et droits similaires</t>
  </si>
  <si>
    <t>SOUS TOTAL : IMMOBILISATIONS FINANCIERE</t>
  </si>
  <si>
    <t>NOTE 5H</t>
  </si>
  <si>
    <t>INFORMATIONS SUR LES REEVALUATIONS EFFECTUEES PAR L'ENTITE</t>
  </si>
  <si>
    <t>Nature et date des réévaluations :</t>
  </si>
  <si>
    <t>Eléments réévalués par poste du bilan</t>
  </si>
  <si>
    <t>Montants en coûts historiques</t>
  </si>
  <si>
    <t>Montant réévalués</t>
  </si>
  <si>
    <t>Ecarts et provisions spéciales de réévaluation</t>
  </si>
  <si>
    <t>Méthode de réévaluation utilisée :</t>
  </si>
  <si>
    <t>Traitement fiscal de l'écart de réévaluation et des amortissements supplémentaires :</t>
  </si>
  <si>
    <t>Montant de l'écart incorporé à la dotation :</t>
  </si>
  <si>
    <t>NOTE 6</t>
  </si>
  <si>
    <t>Libellés</t>
  </si>
  <si>
    <t>Exercice</t>
  </si>
  <si>
    <t>Variation en %</t>
  </si>
  <si>
    <t>Créances à un an au plus</t>
  </si>
  <si>
    <t>Créances à plus d'un an et à deux ans au plus</t>
  </si>
  <si>
    <t>Créances à plus de deux ans</t>
  </si>
  <si>
    <t>Prêts et créances</t>
  </si>
  <si>
    <t>Prêts au personnel</t>
  </si>
  <si>
    <t>Créances sur l'Etat</t>
  </si>
  <si>
    <t>Titres immobilisés</t>
  </si>
  <si>
    <t>Dépôts et cautionnements</t>
  </si>
  <si>
    <t>Intérêts courus</t>
  </si>
  <si>
    <t>Immobilisations financières diverses</t>
  </si>
  <si>
    <t>TOTAL BRUT</t>
  </si>
  <si>
    <t>Dépréciations titres de participation</t>
  </si>
  <si>
    <t>Dépréciations autres immobilisations financières</t>
  </si>
  <si>
    <t>TOTAL NET DE DEPRECIATION</t>
  </si>
  <si>
    <t xml:space="preserve">Commentaires : </t>
  </si>
  <si>
    <t>NOTE 7</t>
  </si>
  <si>
    <t>ACTIF CIRCULANT HAO</t>
  </si>
  <si>
    <t>Variation en</t>
  </si>
  <si>
    <t>valeur</t>
  </si>
  <si>
    <t xml:space="preserve"> %</t>
  </si>
  <si>
    <t>Créances sur cessions d'immobilisations</t>
  </si>
  <si>
    <t>Créances reçues par dons et legs d'immobilisations</t>
  </si>
  <si>
    <t>Autres créances hors activités ordinaires</t>
  </si>
  <si>
    <t>Dépréciations des créances HAO</t>
  </si>
  <si>
    <t>DETTES CIRCULANTES HAO</t>
  </si>
  <si>
    <t>Fournisseurs d'investissements</t>
  </si>
  <si>
    <t>Dettes des dons et legs d'immobilisations</t>
  </si>
  <si>
    <t>Créditeurs, dons nature HAO non consommés</t>
  </si>
  <si>
    <t>Autres dettes hors activités ordinaires</t>
  </si>
  <si>
    <t>NOTE 8</t>
  </si>
  <si>
    <r>
      <t xml:space="preserve">STOCKS ET ENCOURS </t>
    </r>
    <r>
      <rPr>
        <vertAlign val="superscript"/>
        <sz val="10"/>
        <color theme="1"/>
        <rFont val="Cambria"/>
        <family val="1"/>
      </rPr>
      <t>(1)</t>
    </r>
  </si>
  <si>
    <t>Variation de stock
en valeur absolue</t>
  </si>
  <si>
    <t>Biens et services liés à l'activité</t>
  </si>
  <si>
    <t>Marchandises, Matières premières</t>
  </si>
  <si>
    <t>Autres approvisionnements</t>
  </si>
  <si>
    <t>Produits finis</t>
  </si>
  <si>
    <t>Dons en nature HAO</t>
  </si>
  <si>
    <t>TOTAL BRUT STOCKS ET ENCOURS</t>
  </si>
  <si>
    <t>Dépréciations des stocks</t>
  </si>
  <si>
    <t>TOTAL NET DE DEPRECIATIONS</t>
  </si>
  <si>
    <r>
      <rPr>
        <i/>
        <vertAlign val="superscript"/>
        <sz val="9"/>
        <color theme="1"/>
        <rFont val="Cambria"/>
        <family val="1"/>
      </rPr>
      <t>(1)</t>
    </r>
    <r>
      <rPr>
        <i/>
        <sz val="9"/>
        <color theme="1"/>
        <rFont val="Cambria"/>
        <family val="1"/>
      </rPr>
      <t xml:space="preserve"> Les stocks H.A.O. ne doivent être inscrits dans l'actifs circulant H.A.O. que lorsque leur montant total est significatif (supérieur à 5% du total de l'actif circulant).</t>
    </r>
  </si>
  <si>
    <t>NOTE 9</t>
  </si>
  <si>
    <t>ADHERENTS, CLIENTS-USAGERS</t>
  </si>
  <si>
    <t>%</t>
  </si>
  <si>
    <t>Adhérents</t>
  </si>
  <si>
    <t>Clients-usagers</t>
  </si>
  <si>
    <t>Adhérents, clients-usagers, chèques, effets et autres valeurs impayés</t>
  </si>
  <si>
    <t>Adhérents, créances litigieuses ou douteuses</t>
  </si>
  <si>
    <t>Adhérents, clients-usagers, produits à recevoir</t>
  </si>
  <si>
    <t>TOTAL BRUT ADHERENTS, CLIENTS-USAGERS</t>
  </si>
  <si>
    <t>Dépréciations des comptes adhérents et clients-usagers</t>
  </si>
  <si>
    <t>Adhérents, avances reçues</t>
  </si>
  <si>
    <t>Clients-usagers, avances et acomptes reçus</t>
  </si>
  <si>
    <t>Autres clients créditeurs</t>
  </si>
  <si>
    <t>TOTAL CLIENTS CREDITEURS</t>
  </si>
  <si>
    <t>NOTE 10</t>
  </si>
  <si>
    <t>AUTRES CREANCES</t>
  </si>
  <si>
    <t>Organismes sociaux</t>
  </si>
  <si>
    <t>Etats et Collectivités publiques</t>
  </si>
  <si>
    <t>Fondateurs, apporteurs et comptes courants</t>
  </si>
  <si>
    <t xml:space="preserve">Bailleurs, Etat et autres organismes, fonds d'administration </t>
  </si>
  <si>
    <t>Débiteurs divers</t>
  </si>
  <si>
    <t>Dépréciations des autres créances</t>
  </si>
  <si>
    <t>NOTE 11</t>
  </si>
  <si>
    <t>TITRES DE PLACEMENT</t>
  </si>
  <si>
    <t xml:space="preserve">Variation en </t>
  </si>
  <si>
    <t>Titres de trésor et bons de caisse à court terme</t>
  </si>
  <si>
    <t>Actions</t>
  </si>
  <si>
    <t>Obligations</t>
  </si>
  <si>
    <t>Bons de souscription</t>
  </si>
  <si>
    <t>Titres négociables hors régions</t>
  </si>
  <si>
    <t>Autres valeurs assimilées</t>
  </si>
  <si>
    <t>Dépréciations des titres de placement</t>
  </si>
  <si>
    <t>NOTE 12</t>
  </si>
  <si>
    <t>VALEURS A ENCAISSER</t>
  </si>
  <si>
    <t>Chèques à encaisser</t>
  </si>
  <si>
    <t>Chèques à l'encaissement</t>
  </si>
  <si>
    <t>Cartes de crédit à encaisser</t>
  </si>
  <si>
    <t>Autres valeurs à encaisser</t>
  </si>
  <si>
    <t>Dépréciations des valeurs à encaisser</t>
  </si>
  <si>
    <t>NOTE 13</t>
  </si>
  <si>
    <t>DISPONIBILITES</t>
  </si>
  <si>
    <t>Banques locales</t>
  </si>
  <si>
    <t>Banques autres Etats région</t>
  </si>
  <si>
    <t>Banques autres Etats zone monétaire</t>
  </si>
  <si>
    <t>Banques hors zone monétaire</t>
  </si>
  <si>
    <t xml:space="preserve">Banques, dépôt à terme </t>
  </si>
  <si>
    <t>Banques intérêts courus</t>
  </si>
  <si>
    <t>Banques Postales</t>
  </si>
  <si>
    <t>Autres établissements financiers</t>
  </si>
  <si>
    <t>Etablissements financiers interêts courus</t>
  </si>
  <si>
    <t>Instruments de monnaie électronique</t>
  </si>
  <si>
    <t>Caisse</t>
  </si>
  <si>
    <t>TOTAL BRUT DISPONIBILITES</t>
  </si>
  <si>
    <t>Dépréciations</t>
  </si>
  <si>
    <t>NB : Banques et intérêts courus et Etablissements financiers intérêts courus figurent dans cette rubrique en négatif si le compte principal attaché est débiteur.</t>
  </si>
  <si>
    <t>NOTE 14</t>
  </si>
  <si>
    <t>ECARTS DE CONVERSION</t>
  </si>
  <si>
    <t>Dévises</t>
  </si>
  <si>
    <t>Montant 
en 
dévises</t>
  </si>
  <si>
    <t>Cours UML Année d'acquisition</t>
  </si>
  <si>
    <t>Cours UML</t>
  </si>
  <si>
    <t>Variation 
en valeur absolue</t>
  </si>
  <si>
    <r>
      <t>Ecarts de conversion actif : (</t>
    </r>
    <r>
      <rPr>
        <i/>
        <sz val="10"/>
        <color theme="1"/>
        <rFont val="Cambria"/>
        <family val="1"/>
      </rPr>
      <t>détailler les créances et dettes concernée)</t>
    </r>
  </si>
  <si>
    <t>Ecarts de conversion passif : (détailler les créances et dettes concernées)</t>
  </si>
  <si>
    <t>UML : Unités Monétaires légales</t>
  </si>
  <si>
    <t>NOTE 15</t>
  </si>
  <si>
    <t>DOTATION</t>
  </si>
  <si>
    <t>Nom et prénoms des membres</t>
  </si>
  <si>
    <t>Nationalité</t>
  </si>
  <si>
    <t>Montant</t>
  </si>
  <si>
    <t>Préciser avec ou sans droit de reprise</t>
  </si>
  <si>
    <t>Dotation non consomptible</t>
  </si>
  <si>
    <t>NOTE 16</t>
  </si>
  <si>
    <t>RESERVES</t>
  </si>
  <si>
    <t>Réserves statutaires ou contractuelles</t>
  </si>
  <si>
    <t>Autres réserves</t>
  </si>
  <si>
    <t>TOTAL RESERVES</t>
  </si>
  <si>
    <t>Report à nouveau</t>
  </si>
  <si>
    <t>NOTE 17A</t>
  </si>
  <si>
    <t>SUBVENTIONS ET PROVISIONS REGLEMENTEES</t>
  </si>
  <si>
    <t>Régime 
fiscal</t>
  </si>
  <si>
    <t>Échéances</t>
  </si>
  <si>
    <t>Etats</t>
  </si>
  <si>
    <t>Région</t>
  </si>
  <si>
    <t>Département</t>
  </si>
  <si>
    <t>Communes et collectivités publiques décentralisées</t>
  </si>
  <si>
    <t>Entités publiques ou mixtes</t>
  </si>
  <si>
    <t>Entités et organismes privés</t>
  </si>
  <si>
    <t>Organismes internationaux</t>
  </si>
  <si>
    <t>Autres subventions d'équipement</t>
  </si>
  <si>
    <t>Autres subventions d'investissements</t>
  </si>
  <si>
    <t>TOTAL SUBVENTIONS</t>
  </si>
  <si>
    <t>Provision spéciale de réévaluation</t>
  </si>
  <si>
    <t>Autres provisions et fonds réglementés</t>
  </si>
  <si>
    <t>TOTAL PROVISIONS REGLEMENTEES</t>
  </si>
  <si>
    <t>TOTAL SUBVENTIONS ET PROVISIONS REGLEMENTEES</t>
  </si>
  <si>
    <t>NOTE 17B</t>
  </si>
  <si>
    <t>FONDS AFFECTES ET REPORTES</t>
  </si>
  <si>
    <t>Fonds affectés aux investissement</t>
  </si>
  <si>
    <t>Fonds non consommés en fin d'exercice destinés à un projet spécifique</t>
  </si>
  <si>
    <t>Fonds provenant des dons et legs d'immobilisations</t>
  </si>
  <si>
    <t>Autres fonds affectés</t>
  </si>
  <si>
    <t>Fonds affectés à recevoir</t>
  </si>
  <si>
    <t>TOTAL FONDS AFFECTES</t>
  </si>
  <si>
    <t>Donations et legs non encore reçus d'immobilisations destinés à la vente</t>
  </si>
  <si>
    <t>Donation temporaire d'usufruit</t>
  </si>
  <si>
    <t>Autres fonds reportés</t>
  </si>
  <si>
    <t>TOTAL FONDS REPORTES</t>
  </si>
  <si>
    <t>NOTE 18A</t>
  </si>
  <si>
    <t>DETTES FINANCIERES ET RESSOURCES ASSIMILES</t>
  </si>
  <si>
    <t>Dettes à un an au plus</t>
  </si>
  <si>
    <t>Dettes à plus d'un an et à deux ans au plus</t>
  </si>
  <si>
    <t>Dettes à plus de deux ans</t>
  </si>
  <si>
    <t>Emprunts et dettes auprès des établissements de crédit</t>
  </si>
  <si>
    <t>Avances reçues de l'Etat</t>
  </si>
  <si>
    <t>Dépôts et cautionnements reçus</t>
  </si>
  <si>
    <t xml:space="preserve">Intérêts courus </t>
  </si>
  <si>
    <t>Autres emprunts et dettes</t>
  </si>
  <si>
    <t>TOTAL EMPRUNTS ET DETTES FINANCIERES</t>
  </si>
  <si>
    <t>Crédit bail immobilier</t>
  </si>
  <si>
    <t>Crédit bail mobilier</t>
  </si>
  <si>
    <t>Location-vente</t>
  </si>
  <si>
    <t>Autres dettes de location-acquisition</t>
  </si>
  <si>
    <t>TOTAL DETTES DE LOCATION ACQUISITION</t>
  </si>
  <si>
    <t>Provisions pour litiges</t>
  </si>
  <si>
    <t>Provisions pour charges sur donations et legs</t>
  </si>
  <si>
    <t>Provisions pour pertes de change</t>
  </si>
  <si>
    <t>Provisions pour pensions et obligations similaires</t>
  </si>
  <si>
    <r>
      <t xml:space="preserve">Actif du régime de retraite </t>
    </r>
    <r>
      <rPr>
        <vertAlign val="superscript"/>
        <sz val="10"/>
        <color theme="1"/>
        <rFont val="Cambria"/>
        <family val="1"/>
      </rPr>
      <t>(1)</t>
    </r>
  </si>
  <si>
    <t>Autres provisions pour risques et charges</t>
  </si>
  <si>
    <t>TOTAL PROVISIONS FINANCIERES POUR RISQUES ET CHARGES</t>
  </si>
  <si>
    <r>
      <rPr>
        <i/>
        <vertAlign val="superscript"/>
        <sz val="9"/>
        <color theme="1"/>
        <rFont val="Cambria"/>
        <family val="1"/>
      </rPr>
      <t>(1)</t>
    </r>
    <r>
      <rPr>
        <i/>
        <sz val="9"/>
        <color theme="1"/>
        <rFont val="Cambria"/>
        <family val="1"/>
      </rPr>
      <t xml:space="preserve"> Solde débiteur du compte</t>
    </r>
  </si>
  <si>
    <t>NOTE 18B</t>
  </si>
  <si>
    <t>ACTIFS ET PASSIFS EVENTUELS</t>
  </si>
  <si>
    <t>Exercice au</t>
  </si>
  <si>
    <t>Actif éventuel</t>
  </si>
  <si>
    <t>Litiges</t>
  </si>
  <si>
    <t>Passif éventuel</t>
  </si>
  <si>
    <t>NOTE 19</t>
  </si>
  <si>
    <t>FOURNISSEURS D'EXPLOITATION</t>
  </si>
  <si>
    <t>Fournisseurs, dettes en compte</t>
  </si>
  <si>
    <t>Fournisseurs, réserve de propriété</t>
  </si>
  <si>
    <t>Fournisseurs, retenue de garantie</t>
  </si>
  <si>
    <t>Fournisseurs effets à payer</t>
  </si>
  <si>
    <t>Fournisseurs factures non parvenues</t>
  </si>
  <si>
    <t>TOTAL FOURNISSEURS</t>
  </si>
  <si>
    <t>Fournisseurs, avances et acomptes</t>
  </si>
  <si>
    <t>Fournisseurs sous-traitants, avances et acomptes</t>
  </si>
  <si>
    <t>Autres fournisseurs débiteurs</t>
  </si>
  <si>
    <t>TOTAL FOURNISSEURS DEBITEURS</t>
  </si>
  <si>
    <t>NOTE 20</t>
  </si>
  <si>
    <t>DETTES FISCALES ET SOCIALES</t>
  </si>
  <si>
    <t>Personnel, rémunérations dues</t>
  </si>
  <si>
    <t>Personnel, congés à payer</t>
  </si>
  <si>
    <t>Charges sociales sur congés à payer</t>
  </si>
  <si>
    <t>Autres personnel</t>
  </si>
  <si>
    <t>Caisse de sécurité sociale</t>
  </si>
  <si>
    <t>Caisse de retraite</t>
  </si>
  <si>
    <t>Mutuelle de santé</t>
  </si>
  <si>
    <t>Assurance retraite</t>
  </si>
  <si>
    <t>Autres charges sociales à payer</t>
  </si>
  <si>
    <t>Autres cotisations et organismes sociaux</t>
  </si>
  <si>
    <t>TOTAL DETTES SOCIALES</t>
  </si>
  <si>
    <t>Etat, autres impôts et taxes</t>
  </si>
  <si>
    <t>Etat, TVA</t>
  </si>
  <si>
    <t>Etat, impôts retenus à la source</t>
  </si>
  <si>
    <t>Autres dettes Etat</t>
  </si>
  <si>
    <t>TOTAL DETTES FISCALES</t>
  </si>
  <si>
    <t>TOTAL DETTES SOCIALES ET FISCALES</t>
  </si>
  <si>
    <t>NOTE 21</t>
  </si>
  <si>
    <t>AUTRES DETTES ET PROVISIONS POUR RISQUES ET CHARGES A COURT TERME</t>
  </si>
  <si>
    <t>Bailleurs, fonds d'administration</t>
  </si>
  <si>
    <t>Etat, fonds d'administration</t>
  </si>
  <si>
    <t>Autres organismes de financement assimilés</t>
  </si>
  <si>
    <t>TOTAL BAILLEURS, FONDS D'ADMINISTRATION</t>
  </si>
  <si>
    <t>Créditeurs, dons en nature courants non consommés</t>
  </si>
  <si>
    <t>Versements restant à effectuer sur titres de placement non libérés</t>
  </si>
  <si>
    <t>Générosités financières à recevoir</t>
  </si>
  <si>
    <t>Autres créditeurs divers</t>
  </si>
  <si>
    <t>TOTAL CREDITEURS DIVERS</t>
  </si>
  <si>
    <t>TOTAL AUTRES DETTES</t>
  </si>
  <si>
    <t>NOTE 22</t>
  </si>
  <si>
    <t>BANQUES, CREDIT D'ESCOMPTE ET DE TRESORERIE</t>
  </si>
  <si>
    <t>Banques autres Etats régions</t>
  </si>
  <si>
    <t>Autres banques</t>
  </si>
  <si>
    <t>Crédit de trésorerie</t>
  </si>
  <si>
    <t>TOTAL BANQUES, CREDITS DE TRESORERIE</t>
  </si>
  <si>
    <t>NB : Banques et intérêts courus figure dans cette rubrique si le compte principal attaché est créditeur</t>
  </si>
  <si>
    <t>NOTE 23</t>
  </si>
  <si>
    <t>REVENUS ET AUTRES PRODUITS</t>
  </si>
  <si>
    <t>Cotisations des adhérents</t>
  </si>
  <si>
    <t>Quote-part de dotation consomptible transferée</t>
  </si>
  <si>
    <t>Ventes de marchandises, services et produits finis</t>
  </si>
  <si>
    <t>Revenus des manifestations</t>
  </si>
  <si>
    <t>Autres revenus</t>
  </si>
  <si>
    <t>TOTAL REVENUS</t>
  </si>
  <si>
    <t>Autres produits et transferts de charges d'exploitation</t>
  </si>
  <si>
    <t>TOTAL SUBVENTIONS D'EXPLOITATION ET AUTRES PRODUITS</t>
  </si>
  <si>
    <t>NOTE 24</t>
  </si>
  <si>
    <t>ACHATS</t>
  </si>
  <si>
    <t>Achats de biens et services liés à l'activité dans l'Etat partie</t>
  </si>
  <si>
    <t>Achats de biens et services liés à l'activité dans les autres Etats parties de  la Région</t>
  </si>
  <si>
    <t>Achats de biens et services liés à l'activité hors Région</t>
  </si>
  <si>
    <t>TOTAL ACHATS DE BIENS ET SERVICES LIES A L'ACTIVITE</t>
  </si>
  <si>
    <t>Achats de marchandises et matières premières dans l'Etat partie</t>
  </si>
  <si>
    <t>Achats de marchandises et matières premières dans les autres Etats parties de la Région</t>
  </si>
  <si>
    <t>Achats de marchandises et matières premières hors Région</t>
  </si>
  <si>
    <t>TOTAL ACHATS DE MARCHANDISES ET MATIERES PREMIERES</t>
  </si>
  <si>
    <t>Matières consommables</t>
  </si>
  <si>
    <t>Matières combustibles</t>
  </si>
  <si>
    <t>Produits d'entretien</t>
  </si>
  <si>
    <t>Fournitures d'atelier, d'usine et de magasin</t>
  </si>
  <si>
    <t>Eau</t>
  </si>
  <si>
    <t>Electricité</t>
  </si>
  <si>
    <t>Autres énergies</t>
  </si>
  <si>
    <t>Fourniture d'entretien</t>
  </si>
  <si>
    <t>Fourniture de bureau</t>
  </si>
  <si>
    <t>Petit matériel et outillages</t>
  </si>
  <si>
    <t>Achats autres activités</t>
  </si>
  <si>
    <t>Achats d'études, prestations de services, de travaux , de matériels et d'équipements</t>
  </si>
  <si>
    <t>Achats d'emballages</t>
  </si>
  <si>
    <t>Frais sur achats</t>
  </si>
  <si>
    <t>Rabais, remises et ristournes obtenus</t>
  </si>
  <si>
    <t>TOTAL AUTRES ACHATS</t>
  </si>
  <si>
    <t>NOTE 25</t>
  </si>
  <si>
    <t>TRANSPORTS</t>
  </si>
  <si>
    <t>Transports sur ventes</t>
  </si>
  <si>
    <t>Transports pour le compte de tiers</t>
  </si>
  <si>
    <t>Transports du personnel</t>
  </si>
  <si>
    <t>Transports de plis</t>
  </si>
  <si>
    <t>Voyages et déplacements</t>
  </si>
  <si>
    <t>Transports administratifs</t>
  </si>
  <si>
    <t>NOTE 26</t>
  </si>
  <si>
    <t>SERVICES EXTERIEURS</t>
  </si>
  <si>
    <t>Sous-traitance générale</t>
  </si>
  <si>
    <t>Locations et charges locatives</t>
  </si>
  <si>
    <t>Redevances de location-acquisition</t>
  </si>
  <si>
    <t>Entretien, réparations et maintenance</t>
  </si>
  <si>
    <t>Primes d'assurance</t>
  </si>
  <si>
    <t>Etudes, recherches et documentation</t>
  </si>
  <si>
    <t>Publicité, publications, relations publiques</t>
  </si>
  <si>
    <t>Frais de télécommunications</t>
  </si>
  <si>
    <t>Frais bancaires</t>
  </si>
  <si>
    <t>Rémunérations d'intermédiaires et de conseils</t>
  </si>
  <si>
    <t>Frais de formation du personnel</t>
  </si>
  <si>
    <t>Redevances pour brevets, licences, logiciels, concessions et droits similaires</t>
  </si>
  <si>
    <t>Frais de recherche de fonds</t>
  </si>
  <si>
    <t>Rémunérations de personnel extérieur à l'entité</t>
  </si>
  <si>
    <t>Autres charges externes</t>
  </si>
  <si>
    <t>NOTE 27</t>
  </si>
  <si>
    <t>IMPÔTS ET TAXES</t>
  </si>
  <si>
    <t>Impôts et taxes directs</t>
  </si>
  <si>
    <t>Impôts et taxes indirects</t>
  </si>
  <si>
    <t>Droits d'enregistrement</t>
  </si>
  <si>
    <t>Pénalités et amendes fiscales</t>
  </si>
  <si>
    <t>Autres impôts et taxes</t>
  </si>
  <si>
    <r>
      <t xml:space="preserve">Dégrèvements et annulations des impôts et taxes </t>
    </r>
    <r>
      <rPr>
        <vertAlign val="superscript"/>
        <sz val="10"/>
        <color theme="1"/>
        <rFont val="Cambria"/>
        <family val="1"/>
      </rPr>
      <t>(1)</t>
    </r>
  </si>
  <si>
    <r>
      <rPr>
        <i/>
        <vertAlign val="superscript"/>
        <sz val="9"/>
        <color theme="1"/>
        <rFont val="Cambria"/>
        <family val="1"/>
      </rPr>
      <t xml:space="preserve">(1) </t>
    </r>
    <r>
      <rPr>
        <i/>
        <sz val="9"/>
        <color theme="1"/>
        <rFont val="Cambria"/>
        <family val="1"/>
      </rPr>
      <t>: Ce compte a un solde créditeur, son montant doit être précédé d'un signe (-)</t>
    </r>
  </si>
  <si>
    <t>NOTE 28</t>
  </si>
  <si>
    <t>AUTRES CHARGES</t>
  </si>
  <si>
    <t>Pertes sur créances adhérents</t>
  </si>
  <si>
    <t>Pertes sur clients et autres débiteurs</t>
  </si>
  <si>
    <t>Subventions accordées par l'entité</t>
  </si>
  <si>
    <t>Dons en nature courants à distribuer</t>
  </si>
  <si>
    <t>Pénalités et amendes pénales</t>
  </si>
  <si>
    <t>Autres charges diverses</t>
  </si>
  <si>
    <t>Charges pour dépréciations et provisions pour risques à court terme d'exploitation (voir note 30)</t>
  </si>
  <si>
    <t>NOTE 29A</t>
  </si>
  <si>
    <t>CHARGES DE PERSONNEL</t>
  </si>
  <si>
    <t>Rémunérations directes versées au personnel national</t>
  </si>
  <si>
    <t>Rémunérations directes versées au personnel non national</t>
  </si>
  <si>
    <t>Indemnités forfaitaires versées au personnel</t>
  </si>
  <si>
    <t>Charges sociales (personnel national)</t>
  </si>
  <si>
    <t>Charges sociales (personnel non national)</t>
  </si>
  <si>
    <t>Habillement et équipement du personnel</t>
  </si>
  <si>
    <t>Rémunération transférée de personnel extérieur</t>
  </si>
  <si>
    <t>Autres charges sociales</t>
  </si>
  <si>
    <r>
      <t xml:space="preserve">Dégrèvements et annulations des charges sociales </t>
    </r>
    <r>
      <rPr>
        <vertAlign val="superscript"/>
        <sz val="10"/>
        <color theme="1"/>
        <rFont val="Cambria"/>
        <family val="1"/>
      </rPr>
      <t>(1)</t>
    </r>
  </si>
  <si>
    <t>(1) : Ce compte a un solde créditeur, son montant doit être précédé d'un signe (-)</t>
  </si>
  <si>
    <t>NOTE 29B</t>
  </si>
  <si>
    <t>EFFECTIFS, MASSE SALARIALE ET PERSONNEL EXTERIEUR</t>
  </si>
  <si>
    <t>2. Personnel propre</t>
  </si>
  <si>
    <t xml:space="preserve">                            EFFECTIF ET MASSE  SALARIALE</t>
  </si>
  <si>
    <t xml:space="preserve">            EFFECTIFS</t>
  </si>
  <si>
    <t>MASSE SALARIALE</t>
  </si>
  <si>
    <t>NATIONAUX</t>
  </si>
  <si>
    <t>AUTRES ETATS</t>
  </si>
  <si>
    <t>HORS REGION</t>
  </si>
  <si>
    <t>DE LA REGION</t>
  </si>
  <si>
    <t>QUALIFICATIONS</t>
  </si>
  <si>
    <t>M</t>
  </si>
  <si>
    <t>F</t>
  </si>
  <si>
    <t>YA</t>
  </si>
  <si>
    <t>1. CADRES SUPERIEURS</t>
  </si>
  <si>
    <t>YB</t>
  </si>
  <si>
    <t>2. TECHNICIENS SUPERIEURS ET CADRES MOYENS</t>
  </si>
  <si>
    <t>YC</t>
  </si>
  <si>
    <t>3. TECHNICIENS, AGENTS DE MAITRISE ET OUVRIERS QUALIFIES</t>
  </si>
  <si>
    <t>YD</t>
  </si>
  <si>
    <t>4. EMPLOYES, MANŒUVRES OUVRIERS ET APPRENTIS</t>
  </si>
  <si>
    <t>YE</t>
  </si>
  <si>
    <t>YF</t>
  </si>
  <si>
    <t>PERMANENTS</t>
  </si>
  <si>
    <t>YG</t>
  </si>
  <si>
    <t>SAISONNIERS</t>
  </si>
  <si>
    <t xml:space="preserve">FACTURATION </t>
  </si>
  <si>
    <t>2. Personnel extérieur et bénévole</t>
  </si>
  <si>
    <t>A L'ENTITE</t>
  </si>
  <si>
    <t>YH</t>
  </si>
  <si>
    <t>Commentaires</t>
  </si>
  <si>
    <t>Y I</t>
  </si>
  <si>
    <t>YJ</t>
  </si>
  <si>
    <t>YK</t>
  </si>
  <si>
    <t>YL</t>
  </si>
  <si>
    <t>YM</t>
  </si>
  <si>
    <t>YN</t>
  </si>
  <si>
    <t>M : Masculin</t>
  </si>
  <si>
    <t>YO</t>
  </si>
  <si>
    <t>TOTAL (1) + (2)</t>
  </si>
  <si>
    <t>F : Féminin</t>
  </si>
  <si>
    <t>NOTE 30</t>
  </si>
  <si>
    <t>DOTATIONS ET CHARGES POUR PROVISIONS ET DEPRECIATIONS</t>
  </si>
  <si>
    <t xml:space="preserve">                         SITUATIONS ET MOUVEMENTS 
NATURE</t>
  </si>
  <si>
    <t>PROVISIONS A L'OUVERTURE DE L'EXERCICE</t>
  </si>
  <si>
    <t>AUGMENTATIONS : DOTATIONS</t>
  </si>
  <si>
    <t>DIMINUTIONS : REPRISES</t>
  </si>
  <si>
    <t>PROVISIONS</t>
  </si>
  <si>
    <t>D'EXPLOITATION</t>
  </si>
  <si>
    <t>FINANCIERES</t>
  </si>
  <si>
    <t>HORS ACTIVITES ORDINAIRES</t>
  </si>
  <si>
    <t>A LA CLOTURE DE L'EXERCICE</t>
  </si>
  <si>
    <t>Provisions réglementées</t>
  </si>
  <si>
    <t>Dépréciations  des immobilisations</t>
  </si>
  <si>
    <t>Dépréciations des dons et legs temporaire d'usufruit et d'immobilisations reçues destinées à la vente</t>
  </si>
  <si>
    <t>Dotation de fonds affectés à un projet non consommés</t>
  </si>
  <si>
    <t xml:space="preserve"> TOTAL : DOTATIONS</t>
  </si>
  <si>
    <t>Dépréciations des stocks et en cours</t>
  </si>
  <si>
    <t xml:space="preserve">Dépréciations des comptes fournisseurs </t>
  </si>
  <si>
    <t>Dépréciations des comptes adhérents et clients</t>
  </si>
  <si>
    <t>Dépréciations autres créances d'exploitation</t>
  </si>
  <si>
    <t>Dépréciations des comptes de créances HAO</t>
  </si>
  <si>
    <t>Dépréciations des titres et valeurs à encaisser</t>
  </si>
  <si>
    <t>Dépréciations des comptes banques</t>
  </si>
  <si>
    <t>Dépréciations des comptes établissements financiers et assimilés</t>
  </si>
  <si>
    <t>Dépréciations des comptes d'instruments de monnaie électronique</t>
  </si>
  <si>
    <t>Provisions pour risques à court terme d'exploitation</t>
  </si>
  <si>
    <t>Provisions pour risques à court terme HAO</t>
  </si>
  <si>
    <t>Provisions pour risques à court termes à caractère financier</t>
  </si>
  <si>
    <t>TOTAL : CHARGES POUR DEPRECIATIONS ET PROVISIONS A COURT TERME</t>
  </si>
  <si>
    <t xml:space="preserve"> TOTAL</t>
  </si>
  <si>
    <t>NOTE 31</t>
  </si>
  <si>
    <t>CHARGES ET REVENUS FINANCIERS</t>
  </si>
  <si>
    <t>Intérêts des emprunts</t>
  </si>
  <si>
    <t>Intérêts dans loyers de locations-acquisition</t>
  </si>
  <si>
    <t>Escomptes accordés</t>
  </si>
  <si>
    <t>Autres intérêts</t>
  </si>
  <si>
    <t>Pertes de change financières</t>
  </si>
  <si>
    <t>Pertes sur titres de placement</t>
  </si>
  <si>
    <t>Pertes et charges sur risques financiers</t>
  </si>
  <si>
    <t>Charges pour dépréciations et provisions à court terme à caractère financier (voir note 30)</t>
  </si>
  <si>
    <t>SOUS TOTAL : FRAIS FINANCIERS</t>
  </si>
  <si>
    <t>Intérêts de prêts et créances diverses</t>
  </si>
  <si>
    <t>Revenus de participations et autres titres immobilisés</t>
  </si>
  <si>
    <t>Escomptes obtenus</t>
  </si>
  <si>
    <t>Revenus de placement</t>
  </si>
  <si>
    <t>Intérêts dans loyers de location-financement</t>
  </si>
  <si>
    <t>Gains sur cessions de titres de placement</t>
  </si>
  <si>
    <t>Gains sur risques financiers</t>
  </si>
  <si>
    <t>Transferts de charges financières</t>
  </si>
  <si>
    <t>Reprises de charges pour dépréciation et provisions à court terme à caractère financier (voir note 30)</t>
  </si>
  <si>
    <t>SOUS TOTAL : REVENUS FINANCIERS</t>
  </si>
  <si>
    <t>NOTE 32</t>
  </si>
  <si>
    <t>AUTRES CHARGES ET PRODUITS HAO</t>
  </si>
  <si>
    <t>Charges HAO constatées</t>
  </si>
  <si>
    <t>Dons en nature H.A.O. à distribuer non affectés</t>
  </si>
  <si>
    <t>Dons en nature H.A.O. à distribuer affectés</t>
  </si>
  <si>
    <t>Pertes sur créances HAO</t>
  </si>
  <si>
    <t>Dons et libéralités accordés</t>
  </si>
  <si>
    <t>Abandons de créances consentis</t>
  </si>
  <si>
    <t>Charges pour dépréciations et provisions pour risques à court terme  HAO</t>
  </si>
  <si>
    <t>Dotations hors activités ordinaires</t>
  </si>
  <si>
    <t>TOTAL : AUTRES CHARGES HAO</t>
  </si>
  <si>
    <t>Produits HAO constatés</t>
  </si>
  <si>
    <t>Contributions volontaires en nature : Dons en nature HAO vendus</t>
  </si>
  <si>
    <t>Contributions volontaires en nature : Prestations de services en nature HAO</t>
  </si>
  <si>
    <t>Contributions volontaires en nature : Dons en nature HAO à distribuer</t>
  </si>
  <si>
    <t>Contributions volontaires en numéraire</t>
  </si>
  <si>
    <t>Transferts de charges HAO</t>
  </si>
  <si>
    <t>Reprises des charges pour dépréciations et provisions à court terme HAO</t>
  </si>
  <si>
    <t>Reprises d'amortissements, provisions et dépréciations HAO</t>
  </si>
  <si>
    <t>Subventions d'équilibre</t>
  </si>
  <si>
    <t>TOTAL : AUTRES PRODUITS HAO</t>
  </si>
  <si>
    <t>NOTE 33</t>
  </si>
  <si>
    <t>FICHE DE SYNTHESE DES PRINCIPAUX INDICATEURS FINANCIERS</t>
  </si>
  <si>
    <t>ANALYSE DE L'ACTIVITE</t>
  </si>
  <si>
    <t>SOLDES INTERMEDIAIRES DE GESTION</t>
  </si>
  <si>
    <t>Résultat des activités ordinaires</t>
  </si>
  <si>
    <t>Résultat hors activités ordinaires</t>
  </si>
  <si>
    <t>Résultat net</t>
  </si>
  <si>
    <t>Capacité d'autofinancement globale (CAFG) (a)</t>
  </si>
  <si>
    <t>Ratio de cotisations acquises = Cotisations/Charges de l'exercice (b)</t>
  </si>
  <si>
    <t>Ratio d'utilisation des dons = Sommes versées directement aux bénéficiaires/Sommes collectées brutes</t>
  </si>
  <si>
    <t>ANALYSE DE LA STRUCTURE FINANCIERE</t>
  </si>
  <si>
    <t>+ Fonds propres et assimilés</t>
  </si>
  <si>
    <t>+ Dettes financières* et ressources assimilées (c)</t>
  </si>
  <si>
    <t>= RESSOURCES STABLES</t>
  </si>
  <si>
    <t xml:space="preserve"> - Actif immobilisé (c)</t>
  </si>
  <si>
    <t>= FONDS DE ROULEMENT (1)</t>
  </si>
  <si>
    <t>+ Actif circulant d'exploitation (c)</t>
  </si>
  <si>
    <t xml:space="preserve"> - Passif circulant d'exploitation (c)</t>
  </si>
  <si>
    <t>= BESOIN DE FINANCEMENT D'EXPLOITATION (2)</t>
  </si>
  <si>
    <t>+ Actifs circulant HAO (c)</t>
  </si>
  <si>
    <t xml:space="preserve"> - Passif circulant HAO (c)</t>
  </si>
  <si>
    <t>= BESOIN DE FINANCEMENT HAO (3)</t>
  </si>
  <si>
    <t>BESOIN DE FINANCEMENT GLOBAL (4) = (2) + (3)</t>
  </si>
  <si>
    <t>TRESORERIE NETTE (5) = (1) - (4)</t>
  </si>
  <si>
    <t>CONTRÔLE : TRESORERIE NETTE = (TRESORERIE-ACTIF) - (TRESORERIE-PASSIF)</t>
  </si>
  <si>
    <t>ANALYSE DE LA SOLVABILITE</t>
  </si>
  <si>
    <t>Ratio de liquidité générale = Créances **+ Trésorerie-acifs/Passif circulant</t>
  </si>
  <si>
    <t>ANALYSE DE LA VARIATION DE LA TRESORERIE</t>
  </si>
  <si>
    <t>Flux de trésorerie des activités opérationnelles</t>
  </si>
  <si>
    <t>Flux de trésorerie des activités d'investissement</t>
  </si>
  <si>
    <t>Flux de trésorerie des activités de financement</t>
  </si>
  <si>
    <t xml:space="preserve">= VARIATION DE LA TRESORERIE NETTE DE LA PERIODE </t>
  </si>
  <si>
    <t>NOTE 34</t>
  </si>
  <si>
    <t>LISTE DES INFORMATIONS SOCIALES, ENVIRONNEMENTALES ET SOCIETALES</t>
  </si>
  <si>
    <t>Note obligatoire pour les entités ayant un effectif de plus de 250 salariés y compris les bénévoles)</t>
  </si>
  <si>
    <t>INFORMATIONS SOCIALES</t>
  </si>
  <si>
    <r>
      <rPr>
        <b/>
        <sz val="9"/>
        <color theme="1"/>
        <rFont val="Cambria"/>
        <family val="1"/>
      </rPr>
      <t>Emploi :</t>
    </r>
    <r>
      <rPr>
        <sz val="9"/>
        <color theme="1"/>
        <rFont val="Cambria"/>
        <family val="1"/>
      </rPr>
      <t xml:space="preserve">
- l'effectif total et la répartition des salariés par sexe, âge et zone géographique;
- les embauches et les licenciements;
- les rémunérations et leur évolution.</t>
    </r>
  </si>
  <si>
    <r>
      <rPr>
        <b/>
        <sz val="9"/>
        <color theme="1"/>
        <rFont val="Cambria"/>
        <family val="1"/>
      </rPr>
      <t>Relations scociales :</t>
    </r>
    <r>
      <rPr>
        <sz val="9"/>
        <color theme="1"/>
        <rFont val="Cambria"/>
        <family val="1"/>
      </rPr>
      <t xml:space="preserve">
- l'organisation du dialogue social;
- le bilan des accords collectifs.</t>
    </r>
  </si>
  <si>
    <r>
      <rPr>
        <b/>
        <sz val="9"/>
        <color theme="1"/>
        <rFont val="Cambria"/>
        <family val="1"/>
      </rPr>
      <t>Santé et sécurité :</t>
    </r>
    <r>
      <rPr>
        <sz val="9"/>
        <color theme="1"/>
        <rFont val="Cambria"/>
        <family val="1"/>
      </rPr>
      <t xml:space="preserve">
- les conditions de santé et de sécurité au travail;
- le bilan des accords signés avec les organisations syndicales ou le représentants du personnel en matière de santé et de sécurité au travail.</t>
    </r>
  </si>
  <si>
    <r>
      <rPr>
        <b/>
        <sz val="9"/>
        <color theme="1"/>
        <rFont val="Cambria"/>
        <family val="1"/>
      </rPr>
      <t>Formation :</t>
    </r>
    <r>
      <rPr>
        <sz val="9"/>
        <color theme="1"/>
        <rFont val="Cambria"/>
        <family val="1"/>
      </rPr>
      <t xml:space="preserve">
- les politiques mises en œuvre en matière de formation;
- le nombre total d'heures de formation.</t>
    </r>
  </si>
  <si>
    <r>
      <rPr>
        <b/>
        <sz val="9"/>
        <color theme="1"/>
        <rFont val="Cambria"/>
        <family val="1"/>
      </rPr>
      <t>Egalité de traitement :</t>
    </r>
    <r>
      <rPr>
        <sz val="9"/>
        <color theme="1"/>
        <rFont val="Cambria"/>
        <family val="1"/>
      </rPr>
      <t xml:space="preserve">
- les mesures prises en faveur de l'égalité entre les femmes et les hommes;
- les mesures prises en faveur de l'emploi et de l'insertion des personnes handicapées.</t>
    </r>
  </si>
  <si>
    <t>INFORMATIONS ENVIRONNEMENTALES</t>
  </si>
  <si>
    <r>
      <rPr>
        <b/>
        <sz val="9"/>
        <color theme="1"/>
        <rFont val="Cambria"/>
        <family val="1"/>
      </rPr>
      <t>Politique générale en matière environnementale :</t>
    </r>
    <r>
      <rPr>
        <sz val="9"/>
        <color theme="1"/>
        <rFont val="Cambria"/>
        <family val="1"/>
      </rPr>
      <t xml:space="preserve">
- l'organisation de la société pour prendre en compte les questions environnementales et, le cas échéant, les démarches d'évaluation ou de certification en matière d'environnement;
- les actions de formation et d'information des salariés menées en matière de protection de l'environnement;
- les moyens consacrés à la prévention des risques environnementaux et des pollutions.</t>
    </r>
  </si>
  <si>
    <r>
      <rPr>
        <b/>
        <sz val="9"/>
        <color theme="1"/>
        <rFont val="Cambria"/>
        <family val="1"/>
      </rPr>
      <t>Pollution et gestion des déchets :</t>
    </r>
    <r>
      <rPr>
        <sz val="9"/>
        <color theme="1"/>
        <rFont val="Cambria"/>
        <family val="1"/>
      </rPr>
      <t xml:space="preserve">
- les mesures de prévention, de réduction ou de réparation de rejets dans l'air, l'eau et le sol affectant gravement l'environnement;
- les mesures de prévention, de recyclage et d'élimination des déchets;
- la prise en compte des nuisances sonores et de toute autre forme de pollution spécifique à une activité.</t>
    </r>
  </si>
  <si>
    <r>
      <rPr>
        <b/>
        <sz val="9"/>
        <color theme="1"/>
        <rFont val="Cambria"/>
        <family val="1"/>
      </rPr>
      <t>Utilisation durable des ressources :</t>
    </r>
    <r>
      <rPr>
        <sz val="9"/>
        <color theme="1"/>
        <rFont val="Cambria"/>
        <family val="1"/>
      </rPr>
      <t xml:space="preserve">
- la consommation d'eau et l'approvisionnement en eau en fonction des contraintes locales;
- la consommation de matières premières et les mesures prises pour améliorer l'efficacité dans leur utilisation;
- la consommation d'énergie, les mesures prises pour améliorer l'efficacité énergétique et le recours aux énergies renouvellables</t>
    </r>
  </si>
  <si>
    <r>
      <rPr>
        <b/>
        <sz val="9"/>
        <color theme="1"/>
        <rFont val="Cambria"/>
        <family val="1"/>
      </rPr>
      <t>Changement climatique :</t>
    </r>
    <r>
      <rPr>
        <sz val="9"/>
        <color theme="1"/>
        <rFont val="Cambria"/>
        <family val="1"/>
      </rPr>
      <t xml:space="preserve">
- les rejets e gaz à effet de serre.</t>
    </r>
  </si>
  <si>
    <r>
      <rPr>
        <b/>
        <sz val="9"/>
        <color theme="1"/>
        <rFont val="Cambria"/>
        <family val="1"/>
      </rPr>
      <t>Protection de la biodiversité :</t>
    </r>
    <r>
      <rPr>
        <sz val="9"/>
        <color theme="1"/>
        <rFont val="Cambria"/>
        <family val="1"/>
      </rPr>
      <t xml:space="preserve">
- les mesures prises pour préserver ou développer la biodiversité.</t>
    </r>
  </si>
  <si>
    <t>INFORMATIONS RELATIVES AUX ENGAGEMENTS SOCIETAUX EN FAVEUR DU DEVELOPPEMENT DURABLE</t>
  </si>
  <si>
    <r>
      <rPr>
        <b/>
        <sz val="9"/>
        <color theme="1"/>
        <rFont val="Cambria"/>
        <family val="1"/>
      </rPr>
      <t>Impact territorial, économique et social de l'activité de l'entité :</t>
    </r>
    <r>
      <rPr>
        <sz val="9"/>
        <color theme="1"/>
        <rFont val="Cambria"/>
        <family val="1"/>
      </rPr>
      <t xml:space="preserve">
- en matière d'emploi et de développement régional;
- sur les populations riveraines ou locales</t>
    </r>
  </si>
  <si>
    <r>
      <rPr>
        <b/>
        <sz val="9"/>
        <color theme="1"/>
        <rFont val="Cambria"/>
        <family val="1"/>
      </rPr>
      <t>Relations entretenues avec les personnes ou les organisations intéressées par l'activité de l'entité (autres associations et fondations, établissements d'enseignement…) :</t>
    </r>
    <r>
      <rPr>
        <sz val="9"/>
        <color theme="1"/>
        <rFont val="Cambria"/>
        <family val="1"/>
      </rPr>
      <t xml:space="preserve">
- les conditions du dialogue avec ces personnes ou organisations;
- les actions de pertenariat ou de mécénat,</t>
    </r>
  </si>
  <si>
    <r>
      <rPr>
        <b/>
        <sz val="9"/>
        <color theme="1"/>
        <rFont val="Cambria"/>
        <family val="1"/>
      </rPr>
      <t>Sous-traitance et fournisseurs :</t>
    </r>
    <r>
      <rPr>
        <sz val="9"/>
        <color theme="1"/>
        <rFont val="Cambria"/>
        <family val="1"/>
      </rPr>
      <t xml:space="preserve">
- la prise en compte dans la politique d'achat des enjeux sociaux et environnementaux.</t>
    </r>
  </si>
  <si>
    <t>NOTE 35</t>
  </si>
  <si>
    <t>TABLEAU D'EXECUTION BUDGETAIRE</t>
  </si>
  <si>
    <t>TABLEAU SUIVI EXECUTION BUDGET DU …………………….. AU ……………………………</t>
  </si>
  <si>
    <t>Code(1)</t>
  </si>
  <si>
    <t>Libellé (1)</t>
  </si>
  <si>
    <t>Budget de l'exercice</t>
  </si>
  <si>
    <t>Décaissement</t>
  </si>
  <si>
    <t>Engagement</t>
  </si>
  <si>
    <t>Réalisation</t>
  </si>
  <si>
    <t>Crédit Disponible</t>
  </si>
  <si>
    <t>Exécution budget (%)</t>
  </si>
  <si>
    <t>4=2+3</t>
  </si>
  <si>
    <t>5=1-4</t>
  </si>
  <si>
    <t>4/1</t>
  </si>
  <si>
    <t>(1) Remplir, code et libellé, suivant la nomenclature budgétaire du projet</t>
  </si>
  <si>
    <t>ETATS SUPPLEMENTAIRES
SYCEBNL
DIRECTION GENERALE DES IMPOTS</t>
  </si>
  <si>
    <t>FICHE RECAPITULATIVE DES ETATS SUPPLEMENTAIRES  DGI  PRESENTES (1)</t>
  </si>
  <si>
    <t xml:space="preserve">ETATS </t>
  </si>
  <si>
    <t>Etat supplémentaire 1</t>
  </si>
  <si>
    <t>DETAIL DES CHARGES 1</t>
  </si>
  <si>
    <t>DETAIL DES CHARGES 2</t>
  </si>
  <si>
    <t>DETAIL DES CHARGES 3</t>
  </si>
  <si>
    <t>DETAIL DES CHARGES 4</t>
  </si>
  <si>
    <t>Etat supplémentaire 2</t>
  </si>
  <si>
    <t>DETAIL DES PRODUITS 1</t>
  </si>
  <si>
    <t>DETAIL DES PRODUITS 2</t>
  </si>
  <si>
    <t>Etat supplémentaire 3</t>
  </si>
  <si>
    <t>TVA</t>
  </si>
  <si>
    <t>Etat supplémentaire 4</t>
  </si>
  <si>
    <t>ELEMENTS STATISTIQUES UEMOA</t>
  </si>
  <si>
    <t>Etat supplémentaire 5</t>
  </si>
  <si>
    <t xml:space="preserve">TABLEAU DES IMMOBILISATIONS ET DES AMORTISSEMENTS </t>
  </si>
  <si>
    <t>Etat supplémentaire 6</t>
  </si>
  <si>
    <t>DETAIL DES FRAIS ACCESSOIRES SUR ACHATS</t>
  </si>
  <si>
    <t>Etat supplémentaire 7</t>
  </si>
  <si>
    <t>DETAIL DES AVANTAGES EN NATURE  ALLOUES  AU PERSONNEL</t>
  </si>
  <si>
    <t>Etat supplémentaire 8</t>
  </si>
  <si>
    <t>CREANCES DE L'EXERCICE</t>
  </si>
  <si>
    <t>Etat supplémentaire 9</t>
  </si>
  <si>
    <t>DEBITEURS DIVERS-MOBILIERS ET MATERIELS DE LOGEMENT-VEHICULES AFFECTES AU PERSONNEL</t>
  </si>
  <si>
    <t>Etat supplémentaire 10</t>
  </si>
  <si>
    <t>DETTES  DE L'EXERCICE</t>
  </si>
  <si>
    <t>Etat supplémentaire 11</t>
  </si>
  <si>
    <t>CREDITEURS DIVERS- CHARGES D'IMPOTS ET TAXES</t>
  </si>
  <si>
    <t>Etat supplémentaire 12</t>
  </si>
  <si>
    <t>ETAT ANNUEL DES SALAIRES</t>
  </si>
  <si>
    <t>Etat supplémentaire 13</t>
  </si>
  <si>
    <t>ETAT ANNUEL des commissions, courtages, ristournes, honoraires, droits d'auteurs et autres rémunérations versées à des tiers</t>
  </si>
  <si>
    <t>Etat supplémentaire 14</t>
  </si>
  <si>
    <t>Relevé détaillé des loyers d'immeubles passés en charges avec indication de l'identité et de l'adresse des bailleurs</t>
  </si>
  <si>
    <t>Etat supplémentaire 15</t>
  </si>
  <si>
    <t xml:space="preserve">Liste des principaux clients </t>
  </si>
  <si>
    <t>Etat supplémentaire 16</t>
  </si>
  <si>
    <t>Liste des principaux fournisseurs</t>
  </si>
  <si>
    <t>Etat supplémentaire 17</t>
  </si>
  <si>
    <t>LISTE DES PRINCIPAUX DONATEURS ET/OU BAILLEURS DE FONDS</t>
  </si>
  <si>
    <t>Etat supplémentaire 18</t>
  </si>
  <si>
    <t>ETAT ANNUEL DES REMUNERATIONS VERSEES AUX MEMBRES DU CONSEIL D'ADMINISTRATION OU ASSIMILES</t>
  </si>
  <si>
    <t>A : Applicable       N/A : Non applicable.</t>
  </si>
  <si>
    <t>ETAT DETAILLE DES CHARGES</t>
  </si>
  <si>
    <t>DETAIL DES CHARGES EN FCFA (1/4)</t>
  </si>
  <si>
    <t>Exercice 2023</t>
  </si>
  <si>
    <t>Exercice 2022</t>
  </si>
  <si>
    <t>Variation 2023/2022</t>
  </si>
  <si>
    <t>En valeur</t>
  </si>
  <si>
    <t>En %</t>
  </si>
  <si>
    <t>Achats de biens et services liés à l'activité dans la Région</t>
  </si>
  <si>
    <t>frais sur achats de biens et services liés à l'activité</t>
  </si>
  <si>
    <t>Rabais, Remises et Ristournes obtenus (non ventilés)</t>
  </si>
  <si>
    <t>Variations des stocks de biens et services liés à l'activité</t>
  </si>
  <si>
    <t>Achats de marchandises et matières premières dans la Région</t>
  </si>
  <si>
    <t>frais sur achats de marchandises et matières</t>
  </si>
  <si>
    <t>Achats de marchandises, de matières premières et fournitures liées</t>
  </si>
  <si>
    <t>Variations des stocks de marchandises</t>
  </si>
  <si>
    <t>Variations des stocks de matières premières et fournitures liées</t>
  </si>
  <si>
    <t>Variation de stocks de marchandises, matières premières et fournitures liées</t>
  </si>
  <si>
    <t>Frais sur achats matières et fournitures consommables</t>
  </si>
  <si>
    <t>Fournitures de magasin</t>
  </si>
  <si>
    <t>Fournitures de bureau</t>
  </si>
  <si>
    <t>Fournitures non stockables-Eau</t>
  </si>
  <si>
    <t>Fournitures non stockables-Electricité</t>
  </si>
  <si>
    <t>Fournitures non stockables -Autres énergies</t>
  </si>
  <si>
    <t>Fournitures d'entretien non stockables</t>
  </si>
  <si>
    <t>Fournitures de bureau non stockables</t>
  </si>
  <si>
    <t>Achats de petit matériel et outillage</t>
  </si>
  <si>
    <t>Achats d'études et prestations de services</t>
  </si>
  <si>
    <t>Achats de travaux, matériels et equipements</t>
  </si>
  <si>
    <t>Billetteries</t>
  </si>
  <si>
    <t>Tombola et autres jeux</t>
  </si>
  <si>
    <t>Bons d'achats</t>
  </si>
  <si>
    <t>Voyages et sorties</t>
  </si>
  <si>
    <t>Autres activités</t>
  </si>
  <si>
    <t>Emballages perdus</t>
  </si>
  <si>
    <t>Emballages récupérables non identifiables</t>
  </si>
  <si>
    <t>Emballages à usage mixte</t>
  </si>
  <si>
    <t>Frais sur achats d'emballages</t>
  </si>
  <si>
    <t>Variations des stocks d'autres approvisionnements</t>
  </si>
  <si>
    <t>Variations de stocks de dons en nature à distribuer</t>
  </si>
  <si>
    <t>Variation de stocks d'autres approvisionnements</t>
  </si>
  <si>
    <t>Autres frais de transport</t>
  </si>
  <si>
    <t>Rabais, Remises et Ristournes Obtenus (non ventilés)</t>
  </si>
  <si>
    <t>Locations de terrains</t>
  </si>
  <si>
    <t>Locations de bâtiments</t>
  </si>
  <si>
    <t>Locations de matériels et outillages</t>
  </si>
  <si>
    <t>Malis sur emballages</t>
  </si>
  <si>
    <t>Locations d'emballages</t>
  </si>
  <si>
    <t>Fermages et loyers du foncier</t>
  </si>
  <si>
    <t>Locations et charges locatives diverses</t>
  </si>
  <si>
    <t>Crédit-bail immobilier</t>
  </si>
  <si>
    <t>Crédit-bail mobilier</t>
  </si>
  <si>
    <t>Autres contrats de location-acquisition</t>
  </si>
  <si>
    <t>DETAIL DES CHARGES EN FCFA (2/4)</t>
  </si>
  <si>
    <t>Entretien et réparation des biens immobiliers</t>
  </si>
  <si>
    <t>Entretien et réparation des biens mobiliers</t>
  </si>
  <si>
    <t>Maintenance</t>
  </si>
  <si>
    <t>Charges de démantèlement et remise en état</t>
  </si>
  <si>
    <t>Autres entretiens et réparation</t>
  </si>
  <si>
    <t>Assurances multirisques</t>
  </si>
  <si>
    <t>Assurances matériel de transport</t>
  </si>
  <si>
    <t>Assurances risques d'exploitation</t>
  </si>
  <si>
    <t>Autres primes d'assurances</t>
  </si>
  <si>
    <t>Etudes et recherches</t>
  </si>
  <si>
    <t>Documentation général</t>
  </si>
  <si>
    <t>Documentation technique</t>
  </si>
  <si>
    <t>Annonces, insertions</t>
  </si>
  <si>
    <t>Catalogues, imprimés publicitaires</t>
  </si>
  <si>
    <t>Congrès, universités et assimilés</t>
  </si>
  <si>
    <t>Manifestations</t>
  </si>
  <si>
    <t>Publications</t>
  </si>
  <si>
    <t>Frais de colloques, séminaires, conférences</t>
  </si>
  <si>
    <t>Autres charges de publicité et relations publiques</t>
  </si>
  <si>
    <t>Frais de téléphone</t>
  </si>
  <si>
    <t>Frais de télécopie</t>
  </si>
  <si>
    <t>Frais d'internet</t>
  </si>
  <si>
    <t>Autres frais de télécommunications</t>
  </si>
  <si>
    <t>Frais sur titres (vente, garde)</t>
  </si>
  <si>
    <t>Frais sur effets</t>
  </si>
  <si>
    <t>Location de coffres</t>
  </si>
  <si>
    <t>Commissions sur cartes de crédit</t>
  </si>
  <si>
    <t>Frais d'émission d'emprunts</t>
  </si>
  <si>
    <t>Frais sur instruments de monnaie électronique</t>
  </si>
  <si>
    <t>Autres frais bancaires</t>
  </si>
  <si>
    <t>Commissions</t>
  </si>
  <si>
    <t>Honoraires des professions règlementées</t>
  </si>
  <si>
    <t>Frais d'actes et de contentieux</t>
  </si>
  <si>
    <t>Rémunérations des autres prestataires de services</t>
  </si>
  <si>
    <t>Divers frais</t>
  </si>
  <si>
    <t>Frais de formation</t>
  </si>
  <si>
    <t>Redevances pour brevets, licences</t>
  </si>
  <si>
    <t>Redevances pour logiciels</t>
  </si>
  <si>
    <t>Redevances pour sites internet</t>
  </si>
  <si>
    <t>Redevances pour concessions, droits et valeurs similaires</t>
  </si>
  <si>
    <t>Autres redevances</t>
  </si>
  <si>
    <t>Concours divers</t>
  </si>
  <si>
    <t>Personnel intérimaire</t>
  </si>
  <si>
    <t>Personnel détaché ou prêté à l'entité</t>
  </si>
  <si>
    <t>Frais de recrutement du personnel</t>
  </si>
  <si>
    <t>Frais de déménagement</t>
  </si>
  <si>
    <t>Réceptions</t>
  </si>
  <si>
    <t>Missions</t>
  </si>
  <si>
    <t>Charges de copropriété</t>
  </si>
  <si>
    <t>Charges externes diverses</t>
  </si>
  <si>
    <t>Impôts fonciers et taxes annexes</t>
  </si>
  <si>
    <t>Licences et taxes annexes</t>
  </si>
  <si>
    <t>Taxes sur appointements et salaires</t>
  </si>
  <si>
    <t>Taxes d'apprentissage</t>
  </si>
  <si>
    <t>Formation professionnelle continue</t>
  </si>
  <si>
    <t>Patente ou contribution économique locale</t>
  </si>
  <si>
    <t>Autres impôts et taxes directs</t>
  </si>
  <si>
    <t>Droits de mutation</t>
  </si>
  <si>
    <t>Droits de timbre</t>
  </si>
  <si>
    <t>Vignettes</t>
  </si>
  <si>
    <t>DETAIL DES CHARGES EN FCFA (3/4)</t>
  </si>
  <si>
    <t>Autres droits d'enregistrement</t>
  </si>
  <si>
    <t>Pénalités d'assiette, impôts directs</t>
  </si>
  <si>
    <t>Pénalités d'assiette, impôts indirects</t>
  </si>
  <si>
    <t>Pénalités de recouvrement, impôts directs</t>
  </si>
  <si>
    <t>Pénalités de recouvrement, impôts indirects</t>
  </si>
  <si>
    <t>Autres pénalités et amendes fiscales</t>
  </si>
  <si>
    <t>Dégrèvements et annulations des impôts et taxes</t>
  </si>
  <si>
    <t>RI</t>
  </si>
  <si>
    <t>Autres débiteurs</t>
  </si>
  <si>
    <t>Dons en nature courants à distribuer non affectés</t>
  </si>
  <si>
    <t>Dons en nature courants à distribuer affectés</t>
  </si>
  <si>
    <t>Charges diverses</t>
  </si>
  <si>
    <t>Provisions sur risques à court terme</t>
  </si>
  <si>
    <t>Charges pour dépréciations sur stocks</t>
  </si>
  <si>
    <t>Charges pour dépréciations sur créances</t>
  </si>
  <si>
    <t>Autres charges pour dépréciations et provisions pour risques à court terme</t>
  </si>
  <si>
    <t>RJ</t>
  </si>
  <si>
    <t>Appointements salaires et commissions</t>
  </si>
  <si>
    <t>Primes et gratifications</t>
  </si>
  <si>
    <t>Congés payés</t>
  </si>
  <si>
    <t>Indemnités de préavis et de licenciement</t>
  </si>
  <si>
    <t>Indemnités de maladie versées aux travailleurs</t>
  </si>
  <si>
    <t>Supplément familial</t>
  </si>
  <si>
    <t>Avantages en nature</t>
  </si>
  <si>
    <t>Autres rémunérations directes</t>
  </si>
  <si>
    <t>Indemnités de logement</t>
  </si>
  <si>
    <t>Indemnités de représentation</t>
  </si>
  <si>
    <t>Indemnités d'expatriation</t>
  </si>
  <si>
    <t>Indemnités de transport</t>
  </si>
  <si>
    <t>Autres indemnités et avantages divers</t>
  </si>
  <si>
    <t>Charges sociales sur rémunération du personnel national</t>
  </si>
  <si>
    <t>Charges sociales sur rémunération du personnel non national</t>
  </si>
  <si>
    <t>Versements aux syndicats et assimilés</t>
  </si>
  <si>
    <t>Versements aux comités d'hygiène et de sécurité</t>
  </si>
  <si>
    <t>Versements et contributions aux autres oeuvres sociales</t>
  </si>
  <si>
    <t>Médecine du travail et pharmacie</t>
  </si>
  <si>
    <t>DETAIL DES CHARGES EN FCFA (4/4)</t>
  </si>
  <si>
    <t>Assurances et organismes de santé</t>
  </si>
  <si>
    <t>Assurances retraite et fonds de pensions</t>
  </si>
  <si>
    <t>Majorations et pénalités sociales</t>
  </si>
  <si>
    <t>Charges sociales diverses</t>
  </si>
  <si>
    <t>Dégrèvements et annulations des charges sociales</t>
  </si>
  <si>
    <t>RK</t>
  </si>
  <si>
    <t>Emprunts auprès des établissements de crédit</t>
  </si>
  <si>
    <t>Primes de remboursement des obligations</t>
  </si>
  <si>
    <t>Intérêts dans loyers de location- acquisition crédit-bail immobilier</t>
  </si>
  <si>
    <t>Intérêts dans loyers de location­ acquisition crédit-bail mobilier</t>
  </si>
  <si>
    <t>Intérêts dans loyers de location­ acquisition location-vente</t>
  </si>
  <si>
    <t>Intérêts dans loyers des autres locations acquisition</t>
  </si>
  <si>
    <t>Avances reçues et dépôts créditeurs</t>
  </si>
  <si>
    <t>Comptes courants bloqués</t>
  </si>
  <si>
    <t>Intérêts sur dettes commerciales</t>
  </si>
  <si>
    <t>Intérêts bancaires et sur opérations de financement (escompte... )</t>
  </si>
  <si>
    <t>Intérêts sur dettes diverses</t>
  </si>
  <si>
    <t>Pertes sur cessions de titres de placement</t>
  </si>
  <si>
    <t>sur rentes viagères</t>
  </si>
  <si>
    <t>sur opérations financières</t>
  </si>
  <si>
    <t>sur risques financiers</t>
  </si>
  <si>
    <t>sur titres de placement</t>
  </si>
  <si>
    <t>Autres charges poµr dépréciations et provisions pour risques à court terme financières</t>
  </si>
  <si>
    <t>RM</t>
  </si>
  <si>
    <t>Frais financiers et charges assimiliés</t>
  </si>
  <si>
    <t>Dotations aux amortissements des immobilisations incorporelles</t>
  </si>
  <si>
    <t>Dotations aux amortissements des immobilisations corporelles</t>
  </si>
  <si>
    <t>RL</t>
  </si>
  <si>
    <t>Dotations aux amortissements</t>
  </si>
  <si>
    <t>Dotations aux provisions pour risques et charges</t>
  </si>
  <si>
    <t>Dotations aux dépréciations des immobilisations incorporelles</t>
  </si>
  <si>
    <t>Dotations aux dépréciations des immobilisations corporelles</t>
  </si>
  <si>
    <t>Dotations aux dépréciations d'usufruit temporaire</t>
  </si>
  <si>
    <t>Dotations aux dépréciations d'immobilisations destinées à la vente provenant des dons et legs non encore reçus</t>
  </si>
  <si>
    <t>Dotations aux dépréciations des immobilisations financières</t>
  </si>
  <si>
    <t>RN</t>
  </si>
  <si>
    <t>Dotations aux provisions et aux dépréciations financières</t>
  </si>
  <si>
    <t>Valeurs comptables des cessions d'immobilisations incorporelles</t>
  </si>
  <si>
    <t>Valeurs comptables des cessions d'immobilisations corporelles</t>
  </si>
  <si>
    <t>Valeurs comptables des cessions d'immobilisations financières</t>
  </si>
  <si>
    <t>Valeurs comptables des cessions d'immobilisations reçues destinées à la vente provenant de dons et legs</t>
  </si>
  <si>
    <t>RO</t>
  </si>
  <si>
    <t>Valeur comptable nette des cessions</t>
  </si>
  <si>
    <t>Charges sur donations et legs</t>
  </si>
  <si>
    <t>Dons en nature H.A.O. non affectés</t>
  </si>
  <si>
    <t>Dons en nature H.A.O. affectés</t>
  </si>
  <si>
    <t>Pertes sur créances H.A.O.</t>
  </si>
  <si>
    <t>Transferts de charges H.A.O.</t>
  </si>
  <si>
    <t>Charges pour dépréciations et provisions pour risques à court terme H.A.O.</t>
  </si>
  <si>
    <t>RP</t>
  </si>
  <si>
    <t>Dotations aux provisions réglementées</t>
  </si>
  <si>
    <t>Dotations aux amortissements H.A.O.</t>
  </si>
  <si>
    <t>Dotations aux dépréciations H.A.O.</t>
  </si>
  <si>
    <t>Dotations aux provisions pour risques et charges H.A.O.</t>
  </si>
  <si>
    <t>Autres dotations H.A.O</t>
  </si>
  <si>
    <t>RQ</t>
  </si>
  <si>
    <t>Dotations HAO</t>
  </si>
  <si>
    <t>TOTAL DES CHARGES</t>
  </si>
  <si>
    <t>DETAIL DES PRODUITS</t>
  </si>
  <si>
    <t>DETAIL DES PRODUITS EN FCFA (1/2)</t>
  </si>
  <si>
    <t>Quote-part de fonds d'administration transférés</t>
  </si>
  <si>
    <t>Quote-part de dotation consomptible transférée</t>
  </si>
  <si>
    <t>Dons</t>
  </si>
  <si>
    <t>Legs</t>
  </si>
  <si>
    <t>Deniers du culte</t>
  </si>
  <si>
    <t>Zakat, Dîme, quête et assimilées</t>
  </si>
  <si>
    <t>Célébrations</t>
  </si>
  <si>
    <t>Mécénats</t>
  </si>
  <si>
    <t>Parrainage</t>
  </si>
  <si>
    <t>Autres revenus liés à la générosité</t>
  </si>
  <si>
    <t>Ventes marchandises</t>
  </si>
  <si>
    <t>Services vendus</t>
  </si>
  <si>
    <t>Ventes de produits finis</t>
  </si>
  <si>
    <t>Ventes de produits intermédiaires</t>
  </si>
  <si>
    <t>Ventes de produits résiduels</t>
  </si>
  <si>
    <t>Produits accessoires</t>
  </si>
  <si>
    <t>Ventes_de dons en nature</t>
  </si>
  <si>
    <t>Revenus d'usufruit</t>
  </si>
  <si>
    <t>REVENUS</t>
  </si>
  <si>
    <t>Subventions d'exploitation versées par l'Etat et les Collectivités publiques</t>
  </si>
  <si>
    <t>Subventions d'exploitation versées par les organismes nationaux et internationaux</t>
  </si>
  <si>
    <t>Autres subventions d'exploitation</t>
  </si>
  <si>
    <t>SUBVENTION D'EXPLOITATION</t>
  </si>
  <si>
    <t>Production immobilisée, immobilisations incorporelles</t>
  </si>
  <si>
    <t>Production immobilisée, immobilisations corporelles</t>
  </si>
  <si>
    <t>Production auto-consommée</t>
  </si>
  <si>
    <t>Production immobilisée, immobilisations financières</t>
  </si>
  <si>
    <t>PRODUCTION IMMOBILISEE</t>
  </si>
  <si>
    <t>Variations des stocks de produits finis et services en cours</t>
  </si>
  <si>
    <t>Variations des stocks de produits finis, produits intermédiaires et résiduels</t>
  </si>
  <si>
    <t>VARIATION DES STOCKS DE BIENS PRODUITS</t>
  </si>
  <si>
    <t>Profits sur créances Adhérents, clients­ usagers, et autres débiteurs</t>
  </si>
  <si>
    <t>Contribution du fondateur</t>
  </si>
  <si>
    <t>Dons en nature courants reçus à distribuer</t>
  </si>
  <si>
    <t>Indemnités d'assurances reçues</t>
  </si>
  <si>
    <t>Abandons de frais par les bénévoles</t>
  </si>
  <si>
    <t>Autres produits divers</t>
  </si>
  <si>
    <t>Reprises provisions sur risques à court terme</t>
  </si>
  <si>
    <t>Reprises de charges pour dépréciations sur stocks</t>
  </si>
  <si>
    <t>Reprises de charges pour dépréciations sur créances</t>
  </si>
  <si>
    <t>Autres reprises de charges pour dépréciations et provisions pour risques à court terme d'exploitation</t>
  </si>
  <si>
    <t>AUTRES PRODUITS</t>
  </si>
  <si>
    <t>Intérêts de prêts</t>
  </si>
  <si>
    <t>Intérêts sur créances diverses</t>
  </si>
  <si>
    <t>Revenus des titres de participation</t>
  </si>
  <si>
    <t>Revenus autres titres immobilisés</t>
  </si>
  <si>
    <t>Revenus des obligations</t>
  </si>
  <si>
    <t>Revenus des titres de placement</t>
  </si>
  <si>
    <t>Revenus des dépôts à terme et opérations assimilées</t>
  </si>
  <si>
    <t>Autres revenus de placement</t>
  </si>
  <si>
    <t>Gains de change financiers</t>
  </si>
  <si>
    <t>Gains sur rentes viagères</t>
  </si>
  <si>
    <t>Gains sur opérations financières</t>
  </si>
  <si>
    <t>Reprises de provisions sur risques financiers</t>
  </si>
  <si>
    <t>Reprises de charges pour dépréciations sur titres de placement</t>
  </si>
  <si>
    <t>Autre reprises de charges pour dépréciations et provisions pour risques à court terme financières</t>
  </si>
  <si>
    <t>REVENUS FINANCIERS ET PRODUITS ASSIMILES</t>
  </si>
  <si>
    <t>DETAIL DES PRODUITS EN FCFA (2/2)</t>
  </si>
  <si>
    <t>Transferts de charges d'exploitation</t>
  </si>
  <si>
    <t>TRANSFERTS DE CHARGES</t>
  </si>
  <si>
    <t>Reprises de provisions pour risques et charges</t>
  </si>
  <si>
    <t>Reprises de dépréciations des immobilisations incorporelles</t>
  </si>
  <si>
    <t>Reprises de dépréciati9ns des immobilisations corporelles</t>
  </si>
  <si>
    <t>Reprises de fonds affectés aux immobilisations</t>
  </si>
  <si>
    <t>Reprises de fonds affectés provenant de dons et legs d'immobilisations</t>
  </si>
  <si>
    <t>Reprises de fonds affectés à un projet spécifique</t>
  </si>
  <si>
    <t>Autres reprises de fonds affectés</t>
  </si>
  <si>
    <t>Reprises des dépréciations d'usufruit temporaire</t>
  </si>
  <si>
    <t>Reprises des dépréciations d'immobilisations reçues destinées à la vente provenant des dons et legs</t>
  </si>
  <si>
    <t>Reprises de fonds reportés provenant de la donation temporaire d'usufruit</t>
  </si>
  <si>
    <t>Reprises de fonds reportés provenant de dons et legs d'immobilisations reçues destinées à la vente</t>
  </si>
  <si>
    <t>Autres reprises de fonds reportés</t>
  </si>
  <si>
    <t>Reprises de dépréciations des immobilisations financières</t>
  </si>
  <si>
    <t>Reprises de subventions d'investissement</t>
  </si>
  <si>
    <t xml:space="preserve">REPRISES DE PROVISIONS, DE DEPRECIATIONS ET AUTRES </t>
  </si>
  <si>
    <t>Produits des cessions d'immobilisations incorporelles</t>
  </si>
  <si>
    <t>Produits des cessions d'immobilisations corporelles</t>
  </si>
  <si>
    <t>Produits des cessions d'immobilisations financières</t>
  </si>
  <si>
    <t>Produits des cessions d'immobilisations reçues destinées à la vente provenant de dons et legs</t>
  </si>
  <si>
    <t>PRODUITS DES CESSIONS D'IMMOBILISATIONS</t>
  </si>
  <si>
    <t>Produits sur donations et legs</t>
  </si>
  <si>
    <t>Dons en nature HAO vendus</t>
  </si>
  <si>
    <t>Prestations de services en nature HAO</t>
  </si>
  <si>
    <t>Dons en nature HAO à distribuer</t>
  </si>
  <si>
    <t>Abandons de créances obtenus</t>
  </si>
  <si>
    <t>Transferts de produits H.A.O</t>
  </si>
  <si>
    <t>Reprises de charges pour dépréciations et provisions pour risques à court terme H.A.O.</t>
  </si>
  <si>
    <t>REVENUS HORS ACTIVITES ORDINAIRES</t>
  </si>
  <si>
    <t>Reprises de provisions réglementées</t>
  </si>
  <si>
    <t>Reprises d'amortissements H.A.O.</t>
  </si>
  <si>
    <t>Reprises de dépréciations H.A.O.</t>
  </si>
  <si>
    <t>Reprises de provisions pour risques et charges H.A.O.</t>
  </si>
  <si>
    <t>Autres reprises H.A.O.</t>
  </si>
  <si>
    <t>REPRISES D'AMORTISSEMENTS, PROVISIONS ET DEPRECIATIONS H.A.O</t>
  </si>
  <si>
    <t>Subventions d'équilibre, Etat</t>
  </si>
  <si>
    <t>Subventions d'équilibre, Collectivités publiques</t>
  </si>
  <si>
    <t>Autres subventions d'équilibre</t>
  </si>
  <si>
    <t>SUBVENTIONS D'EQUILIBRE</t>
  </si>
  <si>
    <t>TOTAL DES PRODUITS</t>
  </si>
  <si>
    <t>ETAT DETAILLE DE LA TVA</t>
  </si>
  <si>
    <t>ETAT TVA 
(Inscrire les mouvements de la période et non les soldes des comptes)</t>
  </si>
  <si>
    <t>Mouvement Débit</t>
  </si>
  <si>
    <t>Mouvement Crédit</t>
  </si>
  <si>
    <t>SOLDE</t>
  </si>
  <si>
    <t>T.V.A. facturée sur ventes de la période</t>
  </si>
  <si>
    <t>T.V.A. facturée sur prestations de services de la période</t>
  </si>
  <si>
    <t>T.V.A. facturée sur travaux de la période</t>
  </si>
  <si>
    <t>T.V.A. facturée sur production livrée à soi-même de la période</t>
  </si>
  <si>
    <t>T.V.A. sur factures à établir de la période</t>
  </si>
  <si>
    <t>T.V.A. facturée de la période</t>
  </si>
  <si>
    <t>T.V.A. exigible de la période</t>
  </si>
  <si>
    <t>T.V.A. récupérable sur immobilisations de la période</t>
  </si>
  <si>
    <t>T.V.A. récupérable sur achats de la période</t>
  </si>
  <si>
    <t>T.V.A. récupérable sur transport de la période</t>
  </si>
  <si>
    <t>T.V.A. récupérable sur services extérieurs et autres charges de la période</t>
  </si>
  <si>
    <t>T.V.A. récupérable sur factures non parvenues de la période</t>
  </si>
  <si>
    <t>T.V.A. transférée par d'autres entités de la période</t>
  </si>
  <si>
    <t>T.V.A. Récupérable de la période</t>
  </si>
  <si>
    <t>T.V.A. Récupérée de la période</t>
  </si>
  <si>
    <t>Prorata de déduction</t>
  </si>
  <si>
    <t>État, T.V.A. due</t>
  </si>
  <si>
    <t>État, crédit de T.V.A. à reporter</t>
  </si>
  <si>
    <t xml:space="preserve">T.V.A. Due ou crédit de T.V.A.        </t>
  </si>
  <si>
    <t>TVA supportée et demandée en remboursement</t>
  </si>
  <si>
    <t>ETAT SUPPLEMENTAIRE : ELEMENTS STATISTIQUES UEMOA</t>
  </si>
  <si>
    <r>
      <t>COMPLEMENT NOTE ANNEXE (Valeur en</t>
    </r>
    <r>
      <rPr>
        <b/>
        <sz val="8"/>
        <rFont val="Cambria"/>
        <family val="1"/>
      </rPr>
      <t xml:space="preserve"> francs CFA)</t>
    </r>
  </si>
  <si>
    <r>
      <t>COMPLEMENT NOTE 32 (Valeurs en</t>
    </r>
    <r>
      <rPr>
        <b/>
        <sz val="8"/>
        <rFont val="Cambria"/>
        <family val="1"/>
      </rPr>
      <t xml:space="preserve"> francs CFA</t>
    </r>
    <r>
      <rPr>
        <sz val="8"/>
        <rFont val="Cambria"/>
        <family val="1"/>
      </rPr>
      <t>)</t>
    </r>
  </si>
  <si>
    <t>COMPLEMENT ETAT ANNEXE</t>
  </si>
  <si>
    <t>Montant
autres Etats
de l'UEMOA</t>
  </si>
  <si>
    <t>Montant autres
Etats de la
Région hors de
l'UEMOA</t>
  </si>
  <si>
    <t>DESIGNATION DU PRODUIT</t>
  </si>
  <si>
    <t>UNITE DE QUANTITE CHOISIE</t>
  </si>
  <si>
    <t>PRODUCTION VENDUE
DANS LES AUTRES ETATS
DE L'UEMOA</t>
  </si>
  <si>
    <t>PRODUCTION VENDUE
AUTRES ETATS DE LA
REGION HORS
DE L'UEMOA</t>
  </si>
  <si>
    <t>Quantité</t>
  </si>
  <si>
    <t>Valeur</t>
  </si>
  <si>
    <t>I - B12 - 1 DETAIL DE PRODUITS :</t>
  </si>
  <si>
    <t xml:space="preserve">Redevances pour brevets, concessions, </t>
  </si>
  <si>
    <t>licences, marques et droits similaires :</t>
  </si>
  <si>
    <t>Redevances pour location de terrains agricoles :</t>
  </si>
  <si>
    <t>I - C1 - BIENS ACQUIS D'OCCASION :</t>
  </si>
  <si>
    <t>NON VENTILE</t>
  </si>
  <si>
    <t>COMPLEMENT NOTE ANNEXE</t>
  </si>
  <si>
    <t>AUTRE ETATS DE L'UEMOA</t>
  </si>
  <si>
    <t>COMPLEMENT NOTE ANNEXE ACHATS DESTINES A LA PRODUCTION EN FCFA</t>
  </si>
  <si>
    <t>Exercice N</t>
  </si>
  <si>
    <t>PERSONNEL PROPRE</t>
  </si>
  <si>
    <t>EFFECTIFS</t>
  </si>
  <si>
    <t>Achats de marchandises dans l'UEMOA</t>
  </si>
  <si>
    <t>Achats de marchandises au groupe dans</t>
  </si>
  <si>
    <t>1. CADRE SUPERIEURS</t>
  </si>
  <si>
    <t>l'UEMOA</t>
  </si>
  <si>
    <t>2. TECHNICIENS SUPERIEURS ET
    CADRES MOYENS</t>
  </si>
  <si>
    <t>Achats de marchandises</t>
  </si>
  <si>
    <t>3. TECHNICIENS, AGENTS DE
    MAITRISE ET OUVRIERS QUALIFIES</t>
  </si>
  <si>
    <t>Achats de matières premières dans l'UEMOA</t>
  </si>
  <si>
    <t>4. EMPLOYES, MANŒUVRES,
    OUVRIERS ET APPRENTIS</t>
  </si>
  <si>
    <t>Achats de matières premières au groupe dans l'UEMOA</t>
  </si>
  <si>
    <t>Achats de matières premières</t>
  </si>
  <si>
    <t xml:space="preserve">TABLEAU  DES IMMOBILISATIONS ET DES AMORTISSEMENTS </t>
  </si>
  <si>
    <t>NUMERO DE COMPTE</t>
  </si>
  <si>
    <t>DESIGNATION DES IMMOBILISATIONS</t>
  </si>
  <si>
    <t>TAUX
AMORT. %</t>
  </si>
  <si>
    <t>DATE MISE SERVICE</t>
  </si>
  <si>
    <t>VALEUR
D'ACQUISITION</t>
  </si>
  <si>
    <t>AMORTISSEMENTS</t>
  </si>
  <si>
    <t>VALEUR
RESIDUELLE</t>
  </si>
  <si>
    <t>PRIX CESSION</t>
  </si>
  <si>
    <t>PLUES-VALUE</t>
  </si>
  <si>
    <t>MOINS-VALUES</t>
  </si>
  <si>
    <t>ANTERIEURS</t>
  </si>
  <si>
    <t>DE L'EXERCICE</t>
  </si>
  <si>
    <t>Achats de
matières premières
et fournitures liées</t>
  </si>
  <si>
    <t>Achats stockés
de matières et
fournitures
consommables</t>
  </si>
  <si>
    <t>Achats
d'emballages</t>
  </si>
  <si>
    <t>Total rubriques</t>
  </si>
  <si>
    <t>Immobilisations</t>
  </si>
  <si>
    <t>Droits de douane</t>
  </si>
  <si>
    <t>Frets et transports sur achats</t>
  </si>
  <si>
    <t>Assurances transport sur achats</t>
  </si>
  <si>
    <t>Commissions et courtages sur achats</t>
  </si>
  <si>
    <t>Rémunération du transitaire</t>
  </si>
  <si>
    <t>Autres frais accessoires d'achat</t>
  </si>
  <si>
    <t>Total frais accessoires d'achats</t>
  </si>
  <si>
    <t xml:space="preserve">DETAIL DES AVANTAGES EN NATURE  ALLOUES AU PERSONNEL </t>
  </si>
  <si>
    <t>Montant brut</t>
  </si>
  <si>
    <t>Montant à imposer</t>
  </si>
  <si>
    <t>IMMOBILISATIONS</t>
  </si>
  <si>
    <t>Bâtiment affecté au personnel, y compris le matériel et mobilier</t>
  </si>
  <si>
    <t>Matériels de transport mis à disposition du personnel</t>
  </si>
  <si>
    <t>Autres immobilisations</t>
  </si>
  <si>
    <t>CHARGES</t>
  </si>
  <si>
    <t>Electricité logement du personnel</t>
  </si>
  <si>
    <t>Frais de télécommunication</t>
  </si>
  <si>
    <t>Gardiennage logement du personnel</t>
  </si>
  <si>
    <t>Autres charges de domesticité</t>
  </si>
  <si>
    <t>Voyages congés personnel</t>
  </si>
  <si>
    <t>Loyers supportés pour le logement du personnel</t>
  </si>
  <si>
    <t>Eau logement du personnel</t>
  </si>
  <si>
    <t>Autres avantages en nature</t>
  </si>
  <si>
    <t>Frais de voyage de congé</t>
  </si>
  <si>
    <t>Nom et prénoms</t>
  </si>
  <si>
    <t>Montants</t>
  </si>
  <si>
    <t>Dates des voyages</t>
  </si>
  <si>
    <t>PRETS</t>
  </si>
  <si>
    <t>Nom &amp; adresse des bénéficiaires</t>
  </si>
  <si>
    <t>Montant du prêt</t>
  </si>
  <si>
    <t>Durée</t>
  </si>
  <si>
    <t>Échéances annuelles en principal</t>
  </si>
  <si>
    <t>Taux</t>
  </si>
  <si>
    <t>Montant intérêts annuels</t>
  </si>
  <si>
    <t>ETATS ET COLLECTIVITES PUBLIQUES</t>
  </si>
  <si>
    <t>Désignation du débiteur</t>
  </si>
  <si>
    <r>
      <t>Nature créance</t>
    </r>
    <r>
      <rPr>
        <vertAlign val="superscript"/>
        <sz val="10"/>
        <color theme="1"/>
        <rFont val="Cambria"/>
        <family val="1"/>
      </rPr>
      <t>(1)</t>
    </r>
  </si>
  <si>
    <t>(1) Pour les créances fiscales indiquer la nature de l'impôt ou de la taxe</t>
  </si>
  <si>
    <t>DEBITEURS DIVERS</t>
  </si>
  <si>
    <t>Nature créance</t>
  </si>
  <si>
    <t>MOBILIERS ET MATERIELS DE LOGEMENT AFFECTES AU PERSONNEL ET  AUX DIRIGEANTS</t>
  </si>
  <si>
    <t>Nature</t>
  </si>
  <si>
    <t>Date d'acquisition</t>
  </si>
  <si>
    <t>Valeur d'origine</t>
  </si>
  <si>
    <t>Amortissement annuel</t>
  </si>
  <si>
    <t>Nom &amp; qualité de l'affectataire</t>
  </si>
  <si>
    <t>VEHICULES  AFFECTES AU PERSONNEL ET  AUX DIRIGEANTS</t>
  </si>
  <si>
    <t>Caractéristique, marque et puissance</t>
  </si>
  <si>
    <t>DETTES DE L'EXERCICE</t>
  </si>
  <si>
    <t>EMPRUNTS ET DETTES FINANCIERES</t>
  </si>
  <si>
    <t>Nom &amp; adresse du créancier</t>
  </si>
  <si>
    <t>DETTES FISCALES</t>
  </si>
  <si>
    <t>Nature de l'impôt ou taxe</t>
  </si>
  <si>
    <t>Période d'exigibilité de l'impôt ou de la taxe</t>
  </si>
  <si>
    <t>Montant dû</t>
  </si>
  <si>
    <t>CREDITEURS DIVERS - CHARGES D'IMPOTS ET TAXES</t>
  </si>
  <si>
    <t>CREDITEURS DIVERS ( BILAN PASSIF)</t>
  </si>
  <si>
    <t>Nom et adresse du créancier</t>
  </si>
  <si>
    <t>Nature de la dette</t>
  </si>
  <si>
    <t>IMPOTS-TAXES-PENALITES (COMPTE DE RESULTAT)</t>
  </si>
  <si>
    <t>DESIGNATION DES SALARIES</t>
  </si>
  <si>
    <t>MONTANT des traitements ou Salaires bruts</t>
  </si>
  <si>
    <t>NOMBRE de personnes à charge</t>
  </si>
  <si>
    <t>PERIODE</t>
  </si>
  <si>
    <t>INDEMNITE de fonction</t>
  </si>
  <si>
    <t>INDEMNITE de logement</t>
  </si>
  <si>
    <t>INDEMNITE de transport</t>
  </si>
  <si>
    <t>RETENUES pour pension</t>
  </si>
  <si>
    <t>RETENUES    IUTS</t>
  </si>
  <si>
    <t>NOM ET PRENOMS</t>
  </si>
  <si>
    <t>EMPLOI</t>
  </si>
  <si>
    <t>ETAT ANNUEL DES COMMISSIONS, VACATIONS, COURTAGES, RISTOURNES, HONORAIRES ET DROITS D'AUTEUR</t>
  </si>
  <si>
    <t xml:space="preserve">N° IFU </t>
  </si>
  <si>
    <t>NOM, RAISON SOCIALE</t>
  </si>
  <si>
    <t>Pays de résidence</t>
  </si>
  <si>
    <t>NATURE DE L'OPERATION</t>
  </si>
  <si>
    <t>Montant annuel HTVA</t>
  </si>
  <si>
    <t>TOTAL TTC</t>
  </si>
  <si>
    <t>ETAT DES LOYERS ENREGISTRES EN CHARGES</t>
  </si>
  <si>
    <t>N° IFU du bailleur (éventuellement)</t>
  </si>
  <si>
    <t>NOM DU BAILLEUR</t>
  </si>
  <si>
    <t>Adresse, Téléphone</t>
  </si>
  <si>
    <t>Lieu de situation de l'immeuble loué</t>
  </si>
  <si>
    <t>Loyer mensuel</t>
  </si>
  <si>
    <t>Montant total loyers passés en charges</t>
  </si>
  <si>
    <t>LISTE DES PRINCIPAUX CLIENTS</t>
  </si>
  <si>
    <t>N° IFU</t>
  </si>
  <si>
    <t>SERVICE DES IMPOTS DE RATTACHEMENT</t>
  </si>
  <si>
    <t>LISTE DES PRINCIPAUX FOURNISSEURS</t>
  </si>
  <si>
    <t>NOM &amp; PRENOMS OU RAISON SOCIALE</t>
  </si>
  <si>
    <t>ADRESSE</t>
  </si>
  <si>
    <t>PAYS DE RESIDENCE</t>
  </si>
  <si>
    <t>N° IFU 
(Eventuellement)</t>
  </si>
  <si>
    <t>SERVICE DES IMPOTS DE RATTACHEMENT 
(Eventuellement)</t>
  </si>
  <si>
    <t>NATURE</t>
  </si>
  <si>
    <t>OBJET</t>
  </si>
  <si>
    <t>Valeur en F CFA</t>
  </si>
  <si>
    <t>TELEPHONE</t>
  </si>
  <si>
    <t>Type de rémunération</t>
  </si>
  <si>
    <t>Montant brut perçu</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</si>
</sst>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1" formatCode="_-* #,##0_-;\-* #,##0_-;_-* &quot;-&quot;_-;_-@_-"/>
    <numFmt numFmtId="164" formatCode="d/mm/yyyy;@"/>
    <numFmt numFmtId="165" formatCode="_(* #,##0.00_);_(* \(#,##0.00\);_(* &quot;-&quot;??_);_(@_)"/>
    <numFmt numFmtId="166" formatCode="_-* #,##0\ _€_-;\-* #,##0\ _€_-;_-* &quot;-&quot;??\ _€_-;_-@_-"/>
    <numFmt numFmtId="167" formatCode="_(* #,##0_);_(* \(#,##0\);_(* &quot;-&quot;??_);_(@_)"/>
  </numFmts>
  <fonts count="74" x14ac:knownFonts="1">
    <font>
      <sz val="11"/>
      <color theme="1"/>
      <name val="Calibri"/>
      <family val="2"/>
      <scheme val="minor"/>
    </font>
    <font>
      <b/>
      <sz val="11"/>
      <color theme="1"/>
      <name val="Calibri"/>
      <family val="2"/>
      <scheme val="minor"/>
    </font>
    <font>
      <b/>
      <sz val="14"/>
      <color rgb="FF00B0F0"/>
      <name val="Calibri Light"/>
      <family val="1"/>
      <scheme val="major"/>
    </font>
    <font>
      <b/>
      <sz val="9"/>
      <name val="Calibri Light"/>
      <family val="1"/>
      <scheme val="major"/>
    </font>
    <font>
      <b/>
      <sz val="8"/>
      <name val="Calibri Light"/>
      <family val="1"/>
      <scheme val="major"/>
    </font>
    <font>
      <i/>
      <sz val="8"/>
      <name val="Calibri Light"/>
      <family val="1"/>
      <scheme val="major"/>
    </font>
    <font>
      <b/>
      <sz val="9"/>
      <color theme="1"/>
      <name val="Calibri Light"/>
      <family val="1"/>
      <scheme val="major"/>
    </font>
    <font>
      <sz val="10"/>
      <name val="Arial"/>
      <family val="2"/>
    </font>
    <font>
      <sz val="8"/>
      <name val="Calibri Light"/>
      <family val="1"/>
      <scheme val="major"/>
    </font>
    <font>
      <b/>
      <sz val="11"/>
      <color theme="1"/>
      <name val="Calibri Light"/>
      <family val="1"/>
      <scheme val="major"/>
    </font>
    <font>
      <b/>
      <sz val="10"/>
      <name val="Calibri Light"/>
      <family val="1"/>
      <scheme val="major"/>
    </font>
    <font>
      <b/>
      <sz val="10"/>
      <color theme="1"/>
      <name val="Calibri Light"/>
      <family val="1"/>
      <scheme val="major"/>
    </font>
    <font>
      <sz val="11"/>
      <color theme="1"/>
      <name val="Cambria"/>
      <family val="1"/>
    </font>
    <font>
      <b/>
      <sz val="11"/>
      <color theme="1"/>
      <name val="Cambria"/>
      <family val="1"/>
    </font>
    <font>
      <b/>
      <sz val="10"/>
      <color theme="1"/>
      <name val="Cambria"/>
      <family val="1"/>
    </font>
    <font>
      <b/>
      <sz val="12"/>
      <color theme="1"/>
      <name val="Cambria"/>
      <family val="1"/>
    </font>
    <font>
      <sz val="12"/>
      <color theme="1"/>
      <name val="Cambria"/>
      <family val="1"/>
    </font>
    <font>
      <b/>
      <u/>
      <sz val="12"/>
      <color theme="1"/>
      <name val="Cambria"/>
      <family val="1"/>
    </font>
    <font>
      <b/>
      <sz val="26"/>
      <color theme="1"/>
      <name val="Cambria"/>
      <family val="1"/>
    </font>
    <font>
      <sz val="10"/>
      <color theme="1"/>
      <name val="Cambria"/>
      <family val="1"/>
    </font>
    <font>
      <b/>
      <sz val="14"/>
      <color theme="1"/>
      <name val="Cambria"/>
      <family val="1"/>
    </font>
    <font>
      <b/>
      <sz val="12"/>
      <name val="Cambria"/>
      <family val="1"/>
    </font>
    <font>
      <b/>
      <u/>
      <sz val="12"/>
      <name val="Cambria"/>
      <family val="1"/>
    </font>
    <font>
      <sz val="10"/>
      <name val="Cambria"/>
      <family val="1"/>
    </font>
    <font>
      <b/>
      <sz val="11"/>
      <name val="Cambria"/>
      <family val="1"/>
    </font>
    <font>
      <sz val="8"/>
      <name val="Cambria"/>
      <family val="1"/>
    </font>
    <font>
      <b/>
      <sz val="9"/>
      <name val="Cambria"/>
      <family val="1"/>
    </font>
    <font>
      <vertAlign val="superscript"/>
      <sz val="11"/>
      <color theme="1"/>
      <name val="Cambria"/>
      <family val="1"/>
    </font>
    <font>
      <b/>
      <sz val="8"/>
      <name val="Cambria"/>
      <family val="1"/>
    </font>
    <font>
      <vertAlign val="superscript"/>
      <sz val="10"/>
      <name val="Cambria"/>
      <family val="1"/>
    </font>
    <font>
      <sz val="11"/>
      <name val="Cambria"/>
      <family val="1"/>
    </font>
    <font>
      <b/>
      <sz val="10"/>
      <name val="Cambria"/>
      <family val="1"/>
    </font>
    <font>
      <sz val="9"/>
      <name val="Cambria"/>
      <family val="1"/>
    </font>
    <font>
      <b/>
      <sz val="7"/>
      <name val="Cambria"/>
      <family val="1"/>
    </font>
    <font>
      <sz val="7"/>
      <name val="Cambria"/>
      <family val="1"/>
    </font>
    <font>
      <u/>
      <sz val="11"/>
      <color theme="10"/>
      <name val="Calibri"/>
      <family val="2"/>
      <scheme val="minor"/>
    </font>
    <font>
      <u/>
      <sz val="11"/>
      <color theme="10"/>
      <name val="Cambria"/>
      <family val="1"/>
    </font>
    <font>
      <sz val="6"/>
      <name val="Cambria"/>
      <family val="1"/>
    </font>
    <font>
      <vertAlign val="superscript"/>
      <sz val="10"/>
      <color theme="1"/>
      <name val="Cambria"/>
      <family val="1"/>
    </font>
    <font>
      <b/>
      <vertAlign val="superscript"/>
      <sz val="11"/>
      <name val="Cambria"/>
      <family val="1"/>
    </font>
    <font>
      <vertAlign val="superscript"/>
      <sz val="8"/>
      <name val="Cambria"/>
      <family val="1"/>
    </font>
    <font>
      <vertAlign val="superscript"/>
      <sz val="9"/>
      <color theme="1"/>
      <name val="Cambria"/>
      <family val="1"/>
    </font>
    <font>
      <sz val="9"/>
      <color theme="1"/>
      <name val="Cambria"/>
      <family val="1"/>
    </font>
    <font>
      <vertAlign val="superscript"/>
      <sz val="9"/>
      <name val="Cambria"/>
      <family val="1"/>
    </font>
    <font>
      <sz val="11"/>
      <color theme="1"/>
      <name val="Calibri"/>
      <family val="2"/>
      <scheme val="minor"/>
    </font>
    <font>
      <b/>
      <sz val="36"/>
      <color theme="1"/>
      <name val="Cambria"/>
      <family val="1"/>
    </font>
    <font>
      <b/>
      <sz val="9"/>
      <color theme="1"/>
      <name val="Cambria"/>
      <family val="1"/>
    </font>
    <font>
      <b/>
      <sz val="12"/>
      <color theme="1"/>
      <name val="Calibri Light"/>
      <family val="1"/>
      <scheme val="major"/>
    </font>
    <font>
      <i/>
      <sz val="9"/>
      <color theme="1"/>
      <name val="Cambria"/>
      <family val="1"/>
    </font>
    <font>
      <i/>
      <vertAlign val="superscript"/>
      <sz val="9"/>
      <color theme="1"/>
      <name val="Cambria"/>
      <family val="1"/>
    </font>
    <font>
      <sz val="10"/>
      <color theme="1"/>
      <name val="Calibri Light"/>
      <family val="1"/>
      <scheme val="major"/>
    </font>
    <font>
      <sz val="11"/>
      <name val="Calibri Light"/>
      <family val="1"/>
      <scheme val="major"/>
    </font>
    <font>
      <i/>
      <sz val="10"/>
      <name val="Cambria"/>
      <family val="1"/>
    </font>
    <font>
      <u/>
      <sz val="10"/>
      <name val="Cambria"/>
      <family val="1"/>
    </font>
    <font>
      <i/>
      <sz val="9"/>
      <name val="Cambria"/>
      <family val="1"/>
    </font>
    <font>
      <i/>
      <vertAlign val="superscript"/>
      <sz val="9"/>
      <name val="Cambria"/>
      <family val="1"/>
    </font>
    <font>
      <sz val="10"/>
      <name val="Calibri Light"/>
      <family val="1"/>
      <scheme val="major"/>
    </font>
    <font>
      <sz val="9"/>
      <name val="Calibri Light"/>
      <family val="1"/>
      <scheme val="major"/>
    </font>
    <font>
      <i/>
      <sz val="10"/>
      <color theme="1"/>
      <name val="Cambria"/>
      <family val="1"/>
    </font>
    <font>
      <sz val="11"/>
      <color theme="1"/>
      <name val="Calibri Light"/>
      <family val="1"/>
      <scheme val="major"/>
    </font>
    <font>
      <sz val="11"/>
      <color theme="0"/>
      <name val="Cambria"/>
      <family val="1"/>
    </font>
    <font>
      <sz val="8"/>
      <color theme="1"/>
      <name val="Cambria"/>
      <family val="1"/>
    </font>
    <font>
      <b/>
      <i/>
      <sz val="9"/>
      <name val="Cambria"/>
      <family val="1"/>
    </font>
    <font>
      <b/>
      <i/>
      <sz val="9"/>
      <color theme="1"/>
      <name val="Cambria"/>
      <family val="1"/>
    </font>
    <font>
      <sz val="9"/>
      <color rgb="FF000000"/>
      <name val="Cambria"/>
      <family val="1"/>
    </font>
    <font>
      <b/>
      <sz val="10"/>
      <color indexed="8"/>
      <name val="Cambria"/>
      <family val="1"/>
    </font>
    <font>
      <sz val="9"/>
      <color indexed="8"/>
      <name val="Cambria"/>
      <family val="1"/>
    </font>
    <font>
      <b/>
      <i/>
      <sz val="9"/>
      <color indexed="8"/>
      <name val="Cambria"/>
      <family val="1"/>
    </font>
    <font>
      <i/>
      <sz val="8"/>
      <name val="Cambria"/>
      <family val="1"/>
    </font>
    <font>
      <b/>
      <u/>
      <sz val="8"/>
      <name val="Cambria"/>
      <family val="1"/>
    </font>
    <font>
      <b/>
      <i/>
      <sz val="8"/>
      <name val="Cambria"/>
      <family val="1"/>
    </font>
    <font>
      <sz val="8"/>
      <color indexed="8"/>
      <name val="Cambria"/>
      <family val="1"/>
    </font>
    <font>
      <i/>
      <sz val="8"/>
      <color theme="1"/>
      <name val="Cambria"/>
      <family val="1"/>
    </font>
    <font>
      <b/>
      <sz val="8"/>
      <color theme="1"/>
      <name val="Cambria"/>
      <family val="1"/>
    </font>
  </fonts>
  <fills count="16">
    <fill>
      <patternFill patternType="none"/>
    </fill>
    <fill>
      <patternFill patternType="gray125"/>
    </fill>
    <fill>
      <patternFill patternType="solid">
        <fgColor rgb="FFFFFFCC"/>
        <bgColor indexed="64"/>
      </patternFill>
    </fill>
    <fill>
      <patternFill patternType="solid">
        <fgColor theme="0" tint="-0.249977111117893"/>
        <bgColor indexed="64"/>
      </patternFill>
    </fill>
    <fill>
      <patternFill patternType="solid">
        <fgColor theme="0" tint="-4.9989318521683403E-2"/>
        <bgColor indexed="64"/>
      </patternFill>
    </fill>
    <fill>
      <patternFill patternType="solid">
        <fgColor theme="1"/>
        <bgColor indexed="64"/>
      </patternFill>
    </fill>
    <fill>
      <patternFill patternType="solid">
        <fgColor indexed="22"/>
        <bgColor indexed="64"/>
      </patternFill>
    </fill>
    <fill>
      <patternFill patternType="solid">
        <fgColor theme="4" tint="0.79998168889431442"/>
        <bgColor indexed="64"/>
      </patternFill>
    </fill>
    <fill>
      <patternFill patternType="solid">
        <fgColor indexed="9"/>
        <bgColor indexed="64"/>
      </patternFill>
    </fill>
    <fill>
      <patternFill patternType="solid">
        <fgColor theme="0" tint="-0.14999847407452621"/>
        <bgColor indexed="64"/>
      </patternFill>
    </fill>
    <fill>
      <patternFill patternType="solid">
        <fgColor theme="8" tint="0.79998168889431442"/>
        <bgColor indexed="64"/>
      </patternFill>
    </fill>
    <fill>
      <patternFill patternType="solid">
        <fgColor theme="0" tint="-0.34998626667073579"/>
        <bgColor indexed="64"/>
      </patternFill>
    </fill>
    <fill>
      <patternFill patternType="solid">
        <fgColor theme="8" tint="0.59999389629810485"/>
        <bgColor indexed="64"/>
      </patternFill>
    </fill>
    <fill>
      <patternFill patternType="lightGrid">
        <bgColor auto="1"/>
      </patternFill>
    </fill>
    <fill>
      <patternFill patternType="solid">
        <fgColor theme="4" tint="0.59999389629810485"/>
        <bgColor indexed="64"/>
      </patternFill>
    </fill>
    <fill>
      <patternFill patternType="solid">
        <fgColor theme="0"/>
        <bgColor indexed="64"/>
      </patternFill>
    </fill>
  </fills>
  <borders count="159">
    <border>
      <left/>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right/>
      <top/>
      <bottom style="dotted">
        <color auto="1"/>
      </bottom>
      <diagonal/>
    </border>
    <border>
      <left/>
      <right/>
      <top style="dotted">
        <color auto="1"/>
      </top>
      <bottom style="dotted">
        <color auto="1"/>
      </bottom>
      <diagonal/>
    </border>
    <border>
      <left style="thin">
        <color indexed="64"/>
      </left>
      <right/>
      <top style="thin">
        <color indexed="64"/>
      </top>
      <bottom/>
      <diagonal/>
    </border>
    <border>
      <left style="thin">
        <color indexed="64"/>
      </left>
      <right style="thin">
        <color indexed="64"/>
      </right>
      <top/>
      <bottom/>
      <diagonal/>
    </border>
    <border>
      <left/>
      <right style="thin">
        <color indexed="64"/>
      </right>
      <top/>
      <bottom/>
      <diagonal/>
    </border>
    <border>
      <left/>
      <right/>
      <top/>
      <bottom style="hair">
        <color indexed="64"/>
      </bottom>
      <diagonal/>
    </border>
    <border>
      <left/>
      <right/>
      <top style="hair">
        <color indexed="64"/>
      </top>
      <bottom/>
      <diagonal/>
    </border>
    <border>
      <left/>
      <right/>
      <top style="hair">
        <color indexed="64"/>
      </top>
      <bottom style="hair">
        <color indexed="64"/>
      </bottom>
      <diagonal/>
    </border>
    <border>
      <left style="thin">
        <color indexed="64"/>
      </left>
      <right/>
      <top style="thin">
        <color indexed="64"/>
      </top>
      <bottom style="hair">
        <color indexed="64"/>
      </bottom>
      <diagonal/>
    </border>
    <border>
      <left/>
      <right/>
      <top style="thin">
        <color indexed="64"/>
      </top>
      <bottom style="hair">
        <color indexed="64"/>
      </bottom>
      <diagonal/>
    </border>
    <border>
      <left/>
      <right style="thin">
        <color indexed="64"/>
      </right>
      <top style="thin">
        <color indexed="64"/>
      </top>
      <bottom style="hair">
        <color indexed="64"/>
      </bottom>
      <diagonal/>
    </border>
    <border>
      <left style="thin">
        <color indexed="64"/>
      </left>
      <right/>
      <top style="hair">
        <color indexed="64"/>
      </top>
      <bottom style="hair">
        <color indexed="64"/>
      </bottom>
      <diagonal/>
    </border>
    <border>
      <left/>
      <right style="thin">
        <color indexed="64"/>
      </right>
      <top style="hair">
        <color indexed="64"/>
      </top>
      <bottom style="hair">
        <color indexed="64"/>
      </bottom>
      <diagonal/>
    </border>
    <border>
      <left style="thin">
        <color indexed="64"/>
      </left>
      <right/>
      <top style="hair">
        <color indexed="64"/>
      </top>
      <bottom style="thin">
        <color indexed="64"/>
      </bottom>
      <diagonal/>
    </border>
    <border>
      <left/>
      <right/>
      <top style="hair">
        <color indexed="64"/>
      </top>
      <bottom style="thin">
        <color indexed="64"/>
      </bottom>
      <diagonal/>
    </border>
    <border>
      <left/>
      <right style="thin">
        <color indexed="64"/>
      </right>
      <top style="hair">
        <color indexed="64"/>
      </top>
      <bottom style="thin">
        <color indexed="64"/>
      </bottom>
      <diagonal/>
    </border>
    <border>
      <left style="thin">
        <color indexed="64"/>
      </left>
      <right style="thin">
        <color indexed="64"/>
      </right>
      <top style="thin">
        <color indexed="64"/>
      </top>
      <bottom style="dashed">
        <color indexed="64"/>
      </bottom>
      <diagonal/>
    </border>
    <border>
      <left style="thin">
        <color indexed="64"/>
      </left>
      <right style="thin">
        <color indexed="64"/>
      </right>
      <top style="dashed">
        <color indexed="64"/>
      </top>
      <bottom style="dashed">
        <color indexed="64"/>
      </bottom>
      <diagonal/>
    </border>
    <border>
      <left style="thin">
        <color indexed="64"/>
      </left>
      <right style="thin">
        <color indexed="64"/>
      </right>
      <top style="dashed">
        <color indexed="64"/>
      </top>
      <bottom/>
      <diagonal/>
    </border>
    <border>
      <left style="thin">
        <color indexed="64"/>
      </left>
      <right style="thin">
        <color indexed="64"/>
      </right>
      <top/>
      <bottom style="dashed">
        <color indexed="64"/>
      </bottom>
      <diagonal/>
    </border>
    <border>
      <left style="thin">
        <color indexed="64"/>
      </left>
      <right style="thin">
        <color indexed="64"/>
      </right>
      <top style="dashed">
        <color indexed="64"/>
      </top>
      <bottom style="thin">
        <color indexed="64"/>
      </bottom>
      <diagonal/>
    </border>
    <border>
      <left style="thin">
        <color indexed="64"/>
      </left>
      <right/>
      <top/>
      <bottom style="dashed">
        <color indexed="64"/>
      </bottom>
      <diagonal/>
    </border>
    <border>
      <left/>
      <right style="thin">
        <color indexed="64"/>
      </right>
      <top/>
      <bottom style="dashed">
        <color indexed="64"/>
      </bottom>
      <diagonal/>
    </border>
    <border>
      <left style="thin">
        <color indexed="64"/>
      </left>
      <right/>
      <top style="dashed">
        <color indexed="64"/>
      </top>
      <bottom/>
      <diagonal/>
    </border>
    <border>
      <left/>
      <right style="thin">
        <color indexed="64"/>
      </right>
      <top style="dashed">
        <color indexed="64"/>
      </top>
      <bottom/>
      <diagonal/>
    </border>
    <border>
      <left style="thin">
        <color indexed="64"/>
      </left>
      <right style="thin">
        <color indexed="64"/>
      </right>
      <top/>
      <bottom style="dotted">
        <color indexed="64"/>
      </bottom>
      <diagonal/>
    </border>
    <border>
      <left style="thin">
        <color auto="1"/>
      </left>
      <right style="thin">
        <color auto="1"/>
      </right>
      <top style="dotted">
        <color auto="1"/>
      </top>
      <bottom style="dotted">
        <color auto="1"/>
      </bottom>
      <diagonal/>
    </border>
    <border>
      <left style="thin">
        <color auto="1"/>
      </left>
      <right style="thin">
        <color auto="1"/>
      </right>
      <top style="dotted">
        <color auto="1"/>
      </top>
      <bottom style="thin">
        <color auto="1"/>
      </bottom>
      <diagonal/>
    </border>
    <border>
      <left style="thin">
        <color indexed="64"/>
      </left>
      <right/>
      <top style="dashed">
        <color indexed="64"/>
      </top>
      <bottom style="dashed">
        <color indexed="64"/>
      </bottom>
      <diagonal/>
    </border>
    <border>
      <left/>
      <right style="thin">
        <color indexed="64"/>
      </right>
      <top style="dashed">
        <color indexed="64"/>
      </top>
      <bottom style="dashed">
        <color indexed="64"/>
      </bottom>
      <diagonal/>
    </border>
    <border>
      <left style="thin">
        <color indexed="64"/>
      </left>
      <right/>
      <top style="thin">
        <color indexed="64"/>
      </top>
      <bottom style="dashed">
        <color indexed="64"/>
      </bottom>
      <diagonal/>
    </border>
    <border>
      <left/>
      <right style="thin">
        <color indexed="64"/>
      </right>
      <top style="thin">
        <color indexed="64"/>
      </top>
      <bottom style="dashed">
        <color indexed="64"/>
      </bottom>
      <diagonal/>
    </border>
    <border>
      <left style="thin">
        <color indexed="64"/>
      </left>
      <right/>
      <top style="dashed">
        <color indexed="64"/>
      </top>
      <bottom style="thin">
        <color indexed="64"/>
      </bottom>
      <diagonal/>
    </border>
    <border>
      <left/>
      <right style="thin">
        <color indexed="64"/>
      </right>
      <top style="dashed">
        <color indexed="64"/>
      </top>
      <bottom style="thin">
        <color indexed="64"/>
      </bottom>
      <diagonal/>
    </border>
    <border>
      <left/>
      <right/>
      <top style="thin">
        <color indexed="64"/>
      </top>
      <bottom style="dashed">
        <color indexed="64"/>
      </bottom>
      <diagonal/>
    </border>
    <border>
      <left/>
      <right/>
      <top style="dashed">
        <color indexed="64"/>
      </top>
      <bottom style="dashed">
        <color indexed="64"/>
      </bottom>
      <diagonal/>
    </border>
    <border>
      <left/>
      <right/>
      <top style="dashed">
        <color indexed="64"/>
      </top>
      <bottom style="thin">
        <color indexed="64"/>
      </bottom>
      <diagonal/>
    </border>
    <border diagonalDown="1">
      <left style="thin">
        <color indexed="64"/>
      </left>
      <right style="thin">
        <color indexed="64"/>
      </right>
      <top style="thin">
        <color indexed="64"/>
      </top>
      <bottom/>
      <diagonal style="thin">
        <color indexed="64"/>
      </diagonal>
    </border>
    <border diagonalDown="1">
      <left style="thin">
        <color indexed="64"/>
      </left>
      <right style="thin">
        <color indexed="64"/>
      </right>
      <top/>
      <bottom/>
      <diagonal style="thin">
        <color indexed="64"/>
      </diagonal>
    </border>
    <border diagonalDown="1">
      <left style="thin">
        <color indexed="64"/>
      </left>
      <right style="thin">
        <color indexed="64"/>
      </right>
      <top/>
      <bottom style="thin">
        <color indexed="64"/>
      </bottom>
      <diagonal style="thin">
        <color indexed="64"/>
      </diagonal>
    </border>
    <border>
      <left style="thin">
        <color indexed="64"/>
      </left>
      <right style="thin">
        <color indexed="64"/>
      </right>
      <top style="dashed">
        <color indexed="64"/>
      </top>
      <bottom style="hair">
        <color indexed="64"/>
      </bottom>
      <diagonal/>
    </border>
    <border>
      <left style="thin">
        <color indexed="64"/>
      </left>
      <right style="thin">
        <color indexed="64"/>
      </right>
      <top/>
      <bottom style="hair">
        <color indexed="64"/>
      </bottom>
      <diagonal/>
    </border>
    <border>
      <left/>
      <right style="thin">
        <color indexed="64"/>
      </right>
      <top/>
      <bottom style="hair">
        <color indexed="64"/>
      </bottom>
      <diagonal/>
    </border>
    <border>
      <left style="thin">
        <color indexed="64"/>
      </left>
      <right/>
      <top/>
      <bottom style="hair">
        <color indexed="64"/>
      </bottom>
      <diagonal/>
    </border>
    <border>
      <left style="thin">
        <color indexed="64"/>
      </left>
      <right style="thin">
        <color indexed="64"/>
      </right>
      <top style="hair">
        <color indexed="64"/>
      </top>
      <bottom/>
      <diagonal/>
    </border>
    <border>
      <left style="thin">
        <color indexed="64"/>
      </left>
      <right/>
      <top style="hair">
        <color indexed="64"/>
      </top>
      <bottom/>
      <diagonal/>
    </border>
    <border diagonalDown="1">
      <left style="thin">
        <color indexed="64"/>
      </left>
      <right style="thin">
        <color indexed="64"/>
      </right>
      <top style="thin">
        <color indexed="64"/>
      </top>
      <bottom style="thin">
        <color indexed="64"/>
      </bottom>
      <diagonal style="thin">
        <color indexed="64"/>
      </diagonal>
    </border>
    <border diagonalDown="1">
      <left style="thin">
        <color indexed="64"/>
      </left>
      <right/>
      <top style="thin">
        <color indexed="64"/>
      </top>
      <bottom/>
      <diagonal style="thin">
        <color indexed="64"/>
      </diagonal>
    </border>
    <border diagonalDown="1">
      <left/>
      <right style="thin">
        <color indexed="64"/>
      </right>
      <top style="thin">
        <color indexed="64"/>
      </top>
      <bottom/>
      <diagonal style="thin">
        <color indexed="64"/>
      </diagonal>
    </border>
    <border diagonalDown="1">
      <left style="thin">
        <color indexed="64"/>
      </left>
      <right/>
      <top/>
      <bottom/>
      <diagonal style="thin">
        <color indexed="64"/>
      </diagonal>
    </border>
    <border diagonalDown="1">
      <left/>
      <right style="thin">
        <color indexed="64"/>
      </right>
      <top/>
      <bottom/>
      <diagonal style="thin">
        <color indexed="64"/>
      </diagonal>
    </border>
    <border diagonalDown="1">
      <left style="thin">
        <color indexed="64"/>
      </left>
      <right/>
      <top/>
      <bottom style="thin">
        <color indexed="64"/>
      </bottom>
      <diagonal style="thin">
        <color indexed="64"/>
      </diagonal>
    </border>
    <border diagonalDown="1">
      <left/>
      <right style="thin">
        <color indexed="64"/>
      </right>
      <top/>
      <bottom style="thin">
        <color indexed="64"/>
      </bottom>
      <diagonal style="thin">
        <color indexed="64"/>
      </diagonal>
    </border>
    <border>
      <left style="thin">
        <color indexed="64"/>
      </left>
      <right style="thin">
        <color indexed="64"/>
      </right>
      <top style="thin">
        <color indexed="64"/>
      </top>
      <bottom style="hair">
        <color indexed="64"/>
      </bottom>
      <diagonal/>
    </border>
    <border>
      <left style="thin">
        <color indexed="64"/>
      </left>
      <right style="thin">
        <color indexed="64"/>
      </right>
      <top style="hair">
        <color indexed="64"/>
      </top>
      <bottom style="thin">
        <color indexed="64"/>
      </bottom>
      <diagonal/>
    </border>
    <border>
      <left style="thin">
        <color indexed="64"/>
      </left>
      <right style="thin">
        <color indexed="64"/>
      </right>
      <top style="hair">
        <color indexed="64"/>
      </top>
      <bottom style="hair">
        <color indexed="64"/>
      </bottom>
      <diagonal/>
    </border>
    <border>
      <left/>
      <right style="thin">
        <color indexed="64"/>
      </right>
      <top style="hair">
        <color indexed="64"/>
      </top>
      <bottom/>
      <diagonal/>
    </border>
    <border>
      <left style="medium">
        <color auto="1"/>
      </left>
      <right/>
      <top style="medium">
        <color auto="1"/>
      </top>
      <bottom style="medium">
        <color auto="1"/>
      </bottom>
      <diagonal/>
    </border>
    <border>
      <left/>
      <right/>
      <top style="medium">
        <color auto="1"/>
      </top>
      <bottom style="medium">
        <color auto="1"/>
      </bottom>
      <diagonal/>
    </border>
    <border>
      <left/>
      <right style="medium">
        <color auto="1"/>
      </right>
      <top style="medium">
        <color auto="1"/>
      </top>
      <bottom style="medium">
        <color auto="1"/>
      </bottom>
      <diagonal/>
    </border>
    <border>
      <left style="medium">
        <color indexed="64"/>
      </left>
      <right/>
      <top style="medium">
        <color indexed="64"/>
      </top>
      <bottom/>
      <diagonal/>
    </border>
    <border>
      <left/>
      <right/>
      <top style="medium">
        <color auto="1"/>
      </top>
      <bottom/>
      <diagonal/>
    </border>
    <border>
      <left/>
      <right style="medium">
        <color auto="1"/>
      </right>
      <top style="medium">
        <color indexed="64"/>
      </top>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auto="1"/>
      </left>
      <right/>
      <top/>
      <bottom style="medium">
        <color auto="1"/>
      </bottom>
      <diagonal/>
    </border>
    <border>
      <left/>
      <right/>
      <top/>
      <bottom style="medium">
        <color auto="1"/>
      </bottom>
      <diagonal/>
    </border>
    <border>
      <left/>
      <right style="medium">
        <color indexed="64"/>
      </right>
      <top/>
      <bottom style="medium">
        <color auto="1"/>
      </bottom>
      <diagonal/>
    </border>
    <border>
      <left style="medium">
        <color indexed="64"/>
      </left>
      <right style="medium">
        <color indexed="64"/>
      </right>
      <top/>
      <bottom style="medium">
        <color indexed="64"/>
      </bottom>
      <diagonal/>
    </border>
    <border>
      <left style="thin">
        <color indexed="64"/>
      </left>
      <right style="thin">
        <color indexed="64"/>
      </right>
      <top style="medium">
        <color auto="1"/>
      </top>
      <bottom/>
      <diagonal/>
    </border>
    <border>
      <left style="medium">
        <color indexed="64"/>
      </left>
      <right style="thin">
        <color theme="1" tint="0.499984740745262"/>
      </right>
      <top style="thin">
        <color theme="1" tint="0.499984740745262"/>
      </top>
      <bottom/>
      <diagonal/>
    </border>
    <border>
      <left style="thin">
        <color theme="1" tint="0.499984740745262"/>
      </left>
      <right style="thin">
        <color theme="1" tint="0.499984740745262"/>
      </right>
      <top style="thin">
        <color theme="1" tint="0.499984740745262"/>
      </top>
      <bottom/>
      <diagonal/>
    </border>
    <border>
      <left style="thin">
        <color theme="1" tint="0.499984740745262"/>
      </left>
      <right style="medium">
        <color indexed="64"/>
      </right>
      <top style="thin">
        <color theme="1" tint="0.499984740745262"/>
      </top>
      <bottom/>
      <diagonal/>
    </border>
    <border>
      <left style="medium">
        <color indexed="64"/>
      </left>
      <right style="thin">
        <color theme="1" tint="0.499984740745262"/>
      </right>
      <top style="thin">
        <color theme="1" tint="0.499984740745262"/>
      </top>
      <bottom style="thin">
        <color theme="1" tint="0.499984740745262"/>
      </bottom>
      <diagonal/>
    </border>
    <border>
      <left style="thin">
        <color theme="1" tint="0.499984740745262"/>
      </left>
      <right style="thin">
        <color theme="1" tint="0.499984740745262"/>
      </right>
      <top style="thin">
        <color theme="1" tint="0.499984740745262"/>
      </top>
      <bottom style="thin">
        <color theme="1" tint="0.499984740745262"/>
      </bottom>
      <diagonal/>
    </border>
    <border>
      <left style="thin">
        <color theme="1" tint="0.499984740745262"/>
      </left>
      <right style="medium">
        <color indexed="64"/>
      </right>
      <top style="thin">
        <color theme="1" tint="0.499984740745262"/>
      </top>
      <bottom style="thin">
        <color theme="1" tint="0.499984740745262"/>
      </bottom>
      <diagonal/>
    </border>
    <border>
      <left style="medium">
        <color indexed="64"/>
      </left>
      <right style="thin">
        <color theme="1" tint="0.499984740745262"/>
      </right>
      <top/>
      <bottom/>
      <diagonal/>
    </border>
    <border>
      <left style="thin">
        <color theme="1" tint="0.499984740745262"/>
      </left>
      <right style="thin">
        <color theme="1" tint="0.499984740745262"/>
      </right>
      <top/>
      <bottom/>
      <diagonal/>
    </border>
    <border>
      <left style="thin">
        <color theme="1" tint="0.499984740745262"/>
      </left>
      <right style="medium">
        <color indexed="64"/>
      </right>
      <top/>
      <bottom/>
      <diagonal/>
    </border>
    <border>
      <left style="medium">
        <color indexed="64"/>
      </left>
      <right style="thin">
        <color theme="1" tint="0.499984740745262"/>
      </right>
      <top/>
      <bottom style="thin">
        <color theme="1" tint="0.499984740745262"/>
      </bottom>
      <diagonal/>
    </border>
    <border>
      <left style="thin">
        <color theme="1" tint="0.499984740745262"/>
      </left>
      <right style="thin">
        <color theme="1" tint="0.499984740745262"/>
      </right>
      <top/>
      <bottom style="thin">
        <color theme="1" tint="0.499984740745262"/>
      </bottom>
      <diagonal/>
    </border>
    <border>
      <left style="thin">
        <color theme="1" tint="0.499984740745262"/>
      </left>
      <right style="medium">
        <color indexed="64"/>
      </right>
      <top/>
      <bottom style="thin">
        <color theme="1" tint="0.499984740745262"/>
      </bottom>
      <diagonal/>
    </border>
    <border>
      <left style="medium">
        <color auto="1"/>
      </left>
      <right/>
      <top/>
      <bottom/>
      <diagonal/>
    </border>
    <border>
      <left style="medium">
        <color indexed="64"/>
      </left>
      <right/>
      <top style="thin">
        <color theme="1" tint="0.499984740745262"/>
      </top>
      <bottom style="thin">
        <color theme="1" tint="0.499984740745262"/>
      </bottom>
      <diagonal/>
    </border>
    <border>
      <left/>
      <right/>
      <top style="thin">
        <color theme="1" tint="0.499984740745262"/>
      </top>
      <bottom style="thin">
        <color theme="1" tint="0.499984740745262"/>
      </bottom>
      <diagonal/>
    </border>
    <border>
      <left/>
      <right style="thin">
        <color theme="1" tint="0.499984740745262"/>
      </right>
      <top style="thin">
        <color theme="1" tint="0.499984740745262"/>
      </top>
      <bottom style="thin">
        <color theme="1" tint="0.499984740745262"/>
      </bottom>
      <diagonal/>
    </border>
    <border>
      <left style="medium">
        <color indexed="64"/>
      </left>
      <right/>
      <top style="thin">
        <color theme="1" tint="0.499984740745262"/>
      </top>
      <bottom style="medium">
        <color indexed="64"/>
      </bottom>
      <diagonal/>
    </border>
    <border>
      <left/>
      <right style="thin">
        <color theme="1" tint="0.499984740745262"/>
      </right>
      <top style="thin">
        <color theme="1" tint="0.499984740745262"/>
      </top>
      <bottom style="medium">
        <color indexed="64"/>
      </bottom>
      <diagonal/>
    </border>
    <border>
      <left style="thin">
        <color theme="1" tint="0.499984740745262"/>
      </left>
      <right style="thin">
        <color theme="1" tint="0.499984740745262"/>
      </right>
      <top style="thin">
        <color theme="1" tint="0.499984740745262"/>
      </top>
      <bottom style="medium">
        <color indexed="64"/>
      </bottom>
      <diagonal/>
    </border>
    <border>
      <left style="thin">
        <color theme="1" tint="0.499984740745262"/>
      </left>
      <right style="medium">
        <color indexed="64"/>
      </right>
      <top style="thin">
        <color theme="1" tint="0.499984740745262"/>
      </top>
      <bottom style="medium">
        <color indexed="64"/>
      </bottom>
      <diagonal/>
    </border>
    <border>
      <left/>
      <right style="medium">
        <color auto="1"/>
      </right>
      <top/>
      <bottom/>
      <diagonal/>
    </border>
    <border>
      <left style="medium">
        <color indexed="64"/>
      </left>
      <right/>
      <top style="medium">
        <color indexed="64"/>
      </top>
      <bottom style="thin">
        <color theme="1" tint="0.499984740745262"/>
      </bottom>
      <diagonal/>
    </border>
    <border>
      <left style="thin">
        <color theme="1" tint="0.499984740745262"/>
      </left>
      <right/>
      <top style="medium">
        <color indexed="64"/>
      </top>
      <bottom style="thin">
        <color theme="1" tint="0.499984740745262"/>
      </bottom>
      <diagonal/>
    </border>
    <border>
      <left/>
      <right/>
      <top style="medium">
        <color indexed="64"/>
      </top>
      <bottom style="thin">
        <color theme="1" tint="0.499984740745262"/>
      </bottom>
      <diagonal/>
    </border>
    <border>
      <left/>
      <right style="medium">
        <color indexed="64"/>
      </right>
      <top style="medium">
        <color indexed="64"/>
      </top>
      <bottom style="thin">
        <color theme="1" tint="0.499984740745262"/>
      </bottom>
      <diagonal/>
    </border>
    <border>
      <left style="medium">
        <color indexed="64"/>
      </left>
      <right style="thin">
        <color theme="1" tint="0.499984740745262"/>
      </right>
      <top style="medium">
        <color indexed="64"/>
      </top>
      <bottom style="thin">
        <color theme="1" tint="0.499984740745262"/>
      </bottom>
      <diagonal/>
    </border>
    <border>
      <left style="thin">
        <color theme="1" tint="0.499984740745262"/>
      </left>
      <right style="thin">
        <color theme="1" tint="0.499984740745262"/>
      </right>
      <top style="medium">
        <color indexed="64"/>
      </top>
      <bottom style="thin">
        <color theme="1" tint="0.499984740745262"/>
      </bottom>
      <diagonal/>
    </border>
    <border>
      <left style="thin">
        <color theme="1" tint="0.499984740745262"/>
      </left>
      <right style="thin">
        <color theme="1" tint="0.499984740745262"/>
      </right>
      <top style="medium">
        <color indexed="64"/>
      </top>
      <bottom/>
      <diagonal/>
    </border>
    <border>
      <left style="thin">
        <color theme="1" tint="0.499984740745262"/>
      </left>
      <right style="medium">
        <color indexed="64"/>
      </right>
      <top style="medium">
        <color indexed="64"/>
      </top>
      <bottom/>
      <diagonal/>
    </border>
    <border>
      <left style="medium">
        <color indexed="64"/>
      </left>
      <right/>
      <top style="thin">
        <color theme="1" tint="0.499984740745262"/>
      </top>
      <bottom/>
      <diagonal/>
    </border>
    <border>
      <left/>
      <right/>
      <top style="thin">
        <color theme="1" tint="0.499984740745262"/>
      </top>
      <bottom/>
      <diagonal/>
    </border>
    <border>
      <left/>
      <right style="thin">
        <color theme="1" tint="0.499984740745262"/>
      </right>
      <top style="thin">
        <color theme="1" tint="0.499984740745262"/>
      </top>
      <bottom/>
      <diagonal/>
    </border>
    <border>
      <left style="thin">
        <color theme="1" tint="0.499984740745262"/>
      </left>
      <right/>
      <top style="thin">
        <color theme="1" tint="0.499984740745262"/>
      </top>
      <bottom style="thin">
        <color theme="1" tint="0.499984740745262"/>
      </bottom>
      <diagonal/>
    </border>
    <border>
      <left/>
      <right style="medium">
        <color indexed="64"/>
      </right>
      <top style="thin">
        <color theme="1" tint="0.499984740745262"/>
      </top>
      <bottom style="thin">
        <color theme="1" tint="0.499984740745262"/>
      </bottom>
      <diagonal/>
    </border>
    <border>
      <left/>
      <right style="thin">
        <color theme="1" tint="0.499984740745262"/>
      </right>
      <top/>
      <bottom/>
      <diagonal/>
    </border>
    <border>
      <left style="thin">
        <color theme="1" tint="0.499984740745262"/>
      </left>
      <right/>
      <top style="thin">
        <color theme="1" tint="0.499984740745262"/>
      </top>
      <bottom/>
      <diagonal/>
    </border>
    <border>
      <left/>
      <right style="medium">
        <color indexed="64"/>
      </right>
      <top style="thin">
        <color theme="1" tint="0.499984740745262"/>
      </top>
      <bottom/>
      <diagonal/>
    </border>
    <border>
      <left style="thin">
        <color theme="1" tint="0.499984740745262"/>
      </left>
      <right/>
      <top/>
      <bottom style="thin">
        <color theme="1" tint="0.499984740745262"/>
      </bottom>
      <diagonal/>
    </border>
    <border>
      <left/>
      <right style="medium">
        <color indexed="64"/>
      </right>
      <top/>
      <bottom style="thin">
        <color theme="1" tint="0.499984740745262"/>
      </bottom>
      <diagonal/>
    </border>
    <border>
      <left style="thin">
        <color theme="1" tint="0.499984740745262"/>
      </left>
      <right/>
      <top/>
      <bottom/>
      <diagonal/>
    </border>
    <border>
      <left style="medium">
        <color indexed="64"/>
      </left>
      <right/>
      <top/>
      <bottom style="thin">
        <color theme="1" tint="0.499984740745262"/>
      </bottom>
      <diagonal/>
    </border>
    <border>
      <left/>
      <right/>
      <top/>
      <bottom style="thin">
        <color theme="1" tint="0.499984740745262"/>
      </bottom>
      <diagonal/>
    </border>
    <border>
      <left/>
      <right style="thin">
        <color theme="1" tint="0.499984740745262"/>
      </right>
      <top/>
      <bottom style="thin">
        <color theme="1" tint="0.499984740745262"/>
      </bottom>
      <diagonal/>
    </border>
    <border>
      <left style="medium">
        <color indexed="64"/>
      </left>
      <right style="thin">
        <color theme="1" tint="0.499984740745262"/>
      </right>
      <top style="thin">
        <color theme="1" tint="0.499984740745262"/>
      </top>
      <bottom style="medium">
        <color indexed="64"/>
      </bottom>
      <diagonal/>
    </border>
    <border>
      <left style="thin">
        <color theme="1" tint="0.499984740745262"/>
      </left>
      <right/>
      <top style="thin">
        <color theme="1" tint="0.499984740745262"/>
      </top>
      <bottom style="medium">
        <color indexed="64"/>
      </bottom>
      <diagonal/>
    </border>
    <border>
      <left/>
      <right style="medium">
        <color indexed="64"/>
      </right>
      <top style="thin">
        <color theme="1" tint="0.499984740745262"/>
      </top>
      <bottom style="medium">
        <color indexed="64"/>
      </bottom>
      <diagonal/>
    </border>
    <border>
      <left style="thin">
        <color theme="1" tint="0.499984740745262"/>
      </left>
      <right style="medium">
        <color indexed="64"/>
      </right>
      <top style="medium">
        <color indexed="64"/>
      </top>
      <bottom style="thin">
        <color theme="1" tint="0.499984740745262"/>
      </bottom>
      <diagonal/>
    </border>
    <border>
      <left style="medium">
        <color indexed="64"/>
      </left>
      <right style="thin">
        <color theme="1" tint="0.499984740745262"/>
      </right>
      <top style="medium">
        <color theme="1" tint="0.499984740745262"/>
      </top>
      <bottom style="thin">
        <color theme="1" tint="0.499984740745262"/>
      </bottom>
      <diagonal/>
    </border>
    <border>
      <left style="thin">
        <color theme="1" tint="0.499984740745262"/>
      </left>
      <right style="thin">
        <color theme="1" tint="0.499984740745262"/>
      </right>
      <top style="medium">
        <color theme="1" tint="0.499984740745262"/>
      </top>
      <bottom style="thin">
        <color theme="1" tint="0.499984740745262"/>
      </bottom>
      <diagonal/>
    </border>
    <border>
      <left style="thin">
        <color theme="1" tint="0.499984740745262"/>
      </left>
      <right style="thin">
        <color theme="1" tint="0.499984740745262"/>
      </right>
      <top style="medium">
        <color theme="1" tint="0.499984740745262"/>
      </top>
      <bottom/>
      <diagonal/>
    </border>
    <border>
      <left style="thin">
        <color theme="1" tint="0.499984740745262"/>
      </left>
      <right style="medium">
        <color indexed="64"/>
      </right>
      <top style="medium">
        <color theme="1" tint="0.499984740745262"/>
      </top>
      <bottom style="thin">
        <color theme="1" tint="0.499984740745262"/>
      </bottom>
      <diagonal/>
    </border>
    <border>
      <left style="medium">
        <color indexed="64"/>
      </left>
      <right/>
      <top style="medium">
        <color theme="1" tint="0.499984740745262"/>
      </top>
      <bottom style="medium">
        <color indexed="64"/>
      </bottom>
      <diagonal/>
    </border>
    <border>
      <left/>
      <right/>
      <top style="medium">
        <color theme="1" tint="0.499984740745262"/>
      </top>
      <bottom style="medium">
        <color indexed="64"/>
      </bottom>
      <diagonal/>
    </border>
    <border>
      <left/>
      <right style="thin">
        <color theme="1" tint="0.499984740745262"/>
      </right>
      <top style="medium">
        <color theme="1" tint="0.499984740745262"/>
      </top>
      <bottom style="medium">
        <color indexed="64"/>
      </bottom>
      <diagonal/>
    </border>
    <border>
      <left style="thin">
        <color theme="1" tint="0.499984740745262"/>
      </left>
      <right style="thin">
        <color theme="1" tint="0.499984740745262"/>
      </right>
      <top style="medium">
        <color theme="1" tint="0.499984740745262"/>
      </top>
      <bottom style="medium">
        <color indexed="64"/>
      </bottom>
      <diagonal/>
    </border>
    <border>
      <left style="thin">
        <color theme="1" tint="0.499984740745262"/>
      </left>
      <right style="medium">
        <color indexed="64"/>
      </right>
      <top style="medium">
        <color theme="1" tint="0.499984740745262"/>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style="medium">
        <color indexed="64"/>
      </right>
      <top/>
      <bottom style="thin">
        <color indexed="64"/>
      </bottom>
      <diagonal/>
    </border>
    <border>
      <left style="medium">
        <color indexed="64"/>
      </left>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right style="medium">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top style="thin">
        <color indexed="64"/>
      </top>
      <bottom style="medium">
        <color indexed="64"/>
      </bottom>
      <diagonal/>
    </border>
    <border>
      <left/>
      <right style="thin">
        <color indexed="64"/>
      </right>
      <top style="thin">
        <color indexed="64"/>
      </top>
      <bottom style="medium">
        <color indexed="64"/>
      </bottom>
      <diagonal/>
    </border>
    <border>
      <left style="medium">
        <color indexed="64"/>
      </left>
      <right style="thin">
        <color indexed="64"/>
      </right>
      <top/>
      <bottom style="thin">
        <color indexed="64"/>
      </bottom>
      <diagonal/>
    </border>
    <border>
      <left style="thin">
        <color indexed="64"/>
      </left>
      <right/>
      <top style="medium">
        <color indexed="64"/>
      </top>
      <bottom style="thin">
        <color indexed="64"/>
      </bottom>
      <diagonal/>
    </border>
    <border>
      <left/>
      <right style="thin">
        <color indexed="64"/>
      </right>
      <top style="medium">
        <color indexed="64"/>
      </top>
      <bottom style="medium">
        <color indexed="64"/>
      </bottom>
      <diagonal/>
    </border>
  </borders>
  <cellStyleXfs count="8">
    <xf numFmtId="0" fontId="0" fillId="0" borderId="0"/>
    <xf numFmtId="0" fontId="7" fillId="0" borderId="0"/>
    <xf numFmtId="0" fontId="7" fillId="0" borderId="0"/>
    <xf numFmtId="0" fontId="35" fillId="0" borderId="0" applyNumberFormat="0" applyFill="0" applyBorder="0" applyAlignment="0" applyProtection="0"/>
    <xf numFmtId="165" fontId="44" fillId="0" borderId="0" applyFont="0" applyFill="0" applyBorder="0" applyAlignment="0" applyProtection="0"/>
    <xf numFmtId="41" fontId="44" fillId="0" borderId="0" applyFont="0" applyFill="0" applyBorder="0" applyAlignment="0" applyProtection="0"/>
    <xf numFmtId="9" fontId="44" fillId="0" borderId="0" applyFont="0" applyFill="0" applyBorder="0" applyAlignment="0" applyProtection="0"/>
    <xf numFmtId="0" fontId="7" fillId="0" borderId="0"/>
  </cellStyleXfs>
  <cellXfs count="1755">
    <xf numFmtId="0" fontId="0" fillId="0" borderId="0" xfId="0"/>
    <xf numFmtId="3" fontId="3" fillId="0" borderId="4" xfId="0" applyNumberFormat="1" applyFont="1" applyBorder="1" applyAlignment="1">
      <alignment horizontal="right"/>
    </xf>
    <xf numFmtId="0" fontId="3" fillId="2" borderId="6" xfId="0" applyFont="1" applyFill="1" applyBorder="1" applyAlignment="1" applyProtection="1">
      <alignment horizontal="center" vertical="center"/>
      <protection locked="0"/>
    </xf>
    <xf numFmtId="3" fontId="3" fillId="0" borderId="4" xfId="0" applyNumberFormat="1" applyFont="1" applyBorder="1"/>
    <xf numFmtId="3" fontId="3" fillId="0" borderId="4" xfId="0" applyNumberFormat="1" applyFont="1" applyBorder="1" applyAlignment="1">
      <alignment horizontal="right" vertical="center"/>
    </xf>
    <xf numFmtId="3" fontId="3" fillId="0" borderId="0" xfId="0" applyNumberFormat="1" applyFont="1" applyAlignment="1">
      <alignment horizontal="center" vertical="center"/>
    </xf>
    <xf numFmtId="14" fontId="3" fillId="2" borderId="6" xfId="0" applyNumberFormat="1" applyFont="1" applyFill="1" applyBorder="1" applyAlignment="1" applyProtection="1">
      <alignment horizontal="center" vertical="center"/>
      <protection locked="0"/>
    </xf>
    <xf numFmtId="0" fontId="4" fillId="0" borderId="0" xfId="0" applyFont="1" applyAlignment="1">
      <alignment horizontal="center" vertical="center"/>
    </xf>
    <xf numFmtId="0" fontId="9" fillId="2" borderId="6" xfId="0" applyFont="1" applyFill="1" applyBorder="1" applyAlignment="1" applyProtection="1">
      <alignment horizontal="center" vertical="center"/>
      <protection locked="0"/>
    </xf>
    <xf numFmtId="3" fontId="3" fillId="0" borderId="5" xfId="0" applyNumberFormat="1" applyFont="1" applyBorder="1" applyAlignment="1">
      <alignment horizontal="right" vertical="center"/>
    </xf>
    <xf numFmtId="0" fontId="3" fillId="0" borderId="5" xfId="0" applyFont="1" applyBorder="1" applyAlignment="1">
      <alignment horizontal="right" vertical="center"/>
    </xf>
    <xf numFmtId="49" fontId="3" fillId="2" borderId="6" xfId="0" applyNumberFormat="1" applyFont="1" applyFill="1" applyBorder="1" applyAlignment="1" applyProtection="1">
      <alignment horizontal="center" vertical="center"/>
      <protection locked="0"/>
    </xf>
    <xf numFmtId="3" fontId="3" fillId="0" borderId="6" xfId="0" applyNumberFormat="1" applyFont="1" applyBorder="1" applyAlignment="1">
      <alignment horizontal="right" vertical="center"/>
    </xf>
    <xf numFmtId="49" fontId="3" fillId="0" borderId="6" xfId="1" applyNumberFormat="1" applyFont="1" applyBorder="1" applyAlignment="1">
      <alignment horizontal="right" vertical="center"/>
    </xf>
    <xf numFmtId="0" fontId="11" fillId="2" borderId="6" xfId="0" applyFont="1" applyFill="1" applyBorder="1" applyAlignment="1" applyProtection="1">
      <alignment horizontal="center" vertical="center"/>
      <protection locked="0"/>
    </xf>
    <xf numFmtId="0" fontId="0" fillId="3" borderId="0" xfId="0" applyFill="1"/>
    <xf numFmtId="0" fontId="0" fillId="4" borderId="0" xfId="0" applyFill="1"/>
    <xf numFmtId="0" fontId="1" fillId="4" borderId="6" xfId="0" applyFont="1" applyFill="1" applyBorder="1" applyAlignment="1">
      <alignment vertical="center" wrapText="1"/>
    </xf>
    <xf numFmtId="0" fontId="1" fillId="4" borderId="6" xfId="0" applyFont="1" applyFill="1" applyBorder="1" applyAlignment="1">
      <alignment vertical="center"/>
    </xf>
    <xf numFmtId="0" fontId="1" fillId="4" borderId="5" xfId="0" applyFont="1" applyFill="1" applyBorder="1" applyAlignment="1">
      <alignment vertical="center" wrapText="1"/>
    </xf>
    <xf numFmtId="0" fontId="1" fillId="4" borderId="5" xfId="0" applyFont="1" applyFill="1" applyBorder="1" applyAlignment="1">
      <alignment vertical="center"/>
    </xf>
    <xf numFmtId="0" fontId="1" fillId="4" borderId="5" xfId="0" applyFont="1" applyFill="1" applyBorder="1" applyAlignment="1">
      <alignment horizontal="center" vertical="center"/>
    </xf>
    <xf numFmtId="0" fontId="1" fillId="4" borderId="7" xfId="0" applyFont="1" applyFill="1" applyBorder="1" applyAlignment="1">
      <alignment vertical="center"/>
    </xf>
    <xf numFmtId="0" fontId="1" fillId="4" borderId="7" xfId="0" applyFont="1" applyFill="1" applyBorder="1" applyAlignment="1">
      <alignment vertical="center" wrapText="1"/>
    </xf>
    <xf numFmtId="0" fontId="12" fillId="0" borderId="0" xfId="0" applyFont="1" applyProtection="1">
      <protection hidden="1"/>
    </xf>
    <xf numFmtId="0" fontId="12" fillId="5" borderId="0" xfId="0" applyFont="1" applyFill="1" applyProtection="1">
      <protection hidden="1"/>
    </xf>
    <xf numFmtId="0" fontId="12" fillId="3" borderId="0" xfId="0" applyFont="1" applyFill="1" applyProtection="1">
      <protection hidden="1"/>
    </xf>
    <xf numFmtId="0" fontId="12" fillId="0" borderId="0" xfId="0" applyFont="1" applyAlignment="1" applyProtection="1">
      <alignment horizontal="center" vertical="center"/>
      <protection locked="0"/>
    </xf>
    <xf numFmtId="0" fontId="12" fillId="0" borderId="0" xfId="0" applyFont="1" applyProtection="1">
      <protection locked="0"/>
    </xf>
    <xf numFmtId="3" fontId="13" fillId="0" borderId="0" xfId="0" applyNumberFormat="1" applyFont="1" applyAlignment="1" applyProtection="1">
      <alignment vertical="center"/>
      <protection locked="0"/>
    </xf>
    <xf numFmtId="0" fontId="13" fillId="0" borderId="0" xfId="0" applyFont="1" applyAlignment="1" applyProtection="1">
      <alignment vertical="center"/>
      <protection locked="0"/>
    </xf>
    <xf numFmtId="0" fontId="15" fillId="0" borderId="0" xfId="0" applyFont="1" applyAlignment="1" applyProtection="1">
      <alignment horizontal="center" vertical="center"/>
      <protection hidden="1"/>
    </xf>
    <xf numFmtId="0" fontId="13" fillId="0" borderId="0" xfId="0" applyFont="1" applyAlignment="1" applyProtection="1">
      <alignment vertical="center"/>
      <protection hidden="1"/>
    </xf>
    <xf numFmtId="0" fontId="16" fillId="0" borderId="0" xfId="0" applyFont="1" applyProtection="1">
      <protection hidden="1"/>
    </xf>
    <xf numFmtId="49" fontId="15" fillId="0" borderId="0" xfId="0" applyNumberFormat="1" applyFont="1" applyAlignment="1" applyProtection="1">
      <alignment horizontal="center" vertical="center"/>
      <protection hidden="1"/>
    </xf>
    <xf numFmtId="49" fontId="15" fillId="0" borderId="0" xfId="0" applyNumberFormat="1" applyFont="1" applyAlignment="1" applyProtection="1">
      <alignment vertical="center"/>
      <protection hidden="1"/>
    </xf>
    <xf numFmtId="0" fontId="16" fillId="0" borderId="0" xfId="0" applyFont="1" applyAlignment="1" applyProtection="1">
      <alignment horizontal="center" vertical="center"/>
      <protection hidden="1"/>
    </xf>
    <xf numFmtId="0" fontId="15" fillId="0" borderId="0" xfId="0" applyFont="1" applyAlignment="1" applyProtection="1">
      <alignment vertical="center"/>
      <protection hidden="1"/>
    </xf>
    <xf numFmtId="0" fontId="12" fillId="0" borderId="0" xfId="0" applyFont="1" applyAlignment="1" applyProtection="1">
      <alignment horizontal="left" vertical="center"/>
      <protection hidden="1"/>
    </xf>
    <xf numFmtId="0" fontId="17" fillId="0" borderId="0" xfId="0" applyFont="1" applyAlignment="1" applyProtection="1">
      <alignment vertical="center"/>
      <protection hidden="1"/>
    </xf>
    <xf numFmtId="0" fontId="12" fillId="0" borderId="0" xfId="0" applyFont="1" applyAlignment="1" applyProtection="1">
      <alignment vertical="center"/>
      <protection hidden="1"/>
    </xf>
    <xf numFmtId="0" fontId="12" fillId="0" borderId="0" xfId="0" applyFont="1" applyAlignment="1" applyProtection="1">
      <alignment horizontal="center" vertical="center"/>
      <protection hidden="1"/>
    </xf>
    <xf numFmtId="0" fontId="15" fillId="0" borderId="14" xfId="0" applyFont="1" applyBorder="1" applyAlignment="1" applyProtection="1">
      <alignment vertical="center"/>
      <protection hidden="1"/>
    </xf>
    <xf numFmtId="0" fontId="12" fillId="0" borderId="14" xfId="0" applyFont="1" applyBorder="1" applyProtection="1">
      <protection hidden="1"/>
    </xf>
    <xf numFmtId="0" fontId="18" fillId="0" borderId="0" xfId="0" applyFont="1" applyAlignment="1" applyProtection="1">
      <alignment vertical="center"/>
      <protection hidden="1"/>
    </xf>
    <xf numFmtId="0" fontId="13" fillId="0" borderId="0" xfId="0" applyFont="1" applyAlignment="1" applyProtection="1">
      <alignment vertical="center" wrapText="1"/>
      <protection hidden="1"/>
    </xf>
    <xf numFmtId="0" fontId="14" fillId="0" borderId="0" xfId="0" applyFont="1" applyAlignment="1" applyProtection="1">
      <alignment horizontal="center" vertical="center"/>
      <protection hidden="1"/>
    </xf>
    <xf numFmtId="0" fontId="18" fillId="0" borderId="7" xfId="0" applyFont="1" applyBorder="1" applyAlignment="1" applyProtection="1">
      <alignment vertical="center"/>
      <protection hidden="1"/>
    </xf>
    <xf numFmtId="0" fontId="12" fillId="0" borderId="4" xfId="0" applyFont="1" applyBorder="1" applyProtection="1">
      <protection hidden="1"/>
    </xf>
    <xf numFmtId="0" fontId="18" fillId="0" borderId="16" xfId="0" applyFont="1" applyBorder="1" applyAlignment="1" applyProtection="1">
      <alignment vertical="center"/>
      <protection hidden="1"/>
    </xf>
    <xf numFmtId="0" fontId="18" fillId="0" borderId="4" xfId="0" applyFont="1" applyBorder="1" applyAlignment="1" applyProtection="1">
      <alignment vertical="center"/>
      <protection hidden="1"/>
    </xf>
    <xf numFmtId="0" fontId="12" fillId="0" borderId="17" xfId="0" applyFont="1" applyBorder="1" applyProtection="1">
      <protection hidden="1"/>
    </xf>
    <xf numFmtId="0" fontId="18" fillId="0" borderId="5" xfId="0" applyFont="1" applyBorder="1" applyAlignment="1" applyProtection="1">
      <alignment vertical="center"/>
      <protection hidden="1"/>
    </xf>
    <xf numFmtId="0" fontId="12" fillId="0" borderId="15" xfId="0" applyFont="1" applyBorder="1" applyProtection="1">
      <protection hidden="1"/>
    </xf>
    <xf numFmtId="0" fontId="12" fillId="0" borderId="8" xfId="0" applyFont="1" applyBorder="1" applyProtection="1">
      <protection hidden="1"/>
    </xf>
    <xf numFmtId="0" fontId="18" fillId="0" borderId="8" xfId="0" applyFont="1" applyBorder="1" applyAlignment="1" applyProtection="1">
      <alignment vertical="center"/>
      <protection hidden="1"/>
    </xf>
    <xf numFmtId="0" fontId="18" fillId="0" borderId="9" xfId="0" applyFont="1" applyBorder="1" applyAlignment="1" applyProtection="1">
      <alignment vertical="center"/>
      <protection hidden="1"/>
    </xf>
    <xf numFmtId="0" fontId="20" fillId="0" borderId="6" xfId="0" applyFont="1" applyBorder="1" applyAlignment="1" applyProtection="1">
      <alignment horizontal="center" vertical="center"/>
      <protection locked="0"/>
    </xf>
    <xf numFmtId="0" fontId="18" fillId="0" borderId="17" xfId="0" applyFont="1" applyBorder="1" applyAlignment="1" applyProtection="1">
      <alignment vertical="center"/>
      <protection hidden="1"/>
    </xf>
    <xf numFmtId="0" fontId="12" fillId="0" borderId="10" xfId="0" applyFont="1" applyBorder="1" applyProtection="1">
      <protection hidden="1"/>
    </xf>
    <xf numFmtId="0" fontId="12" fillId="0" borderId="11" xfId="0" applyFont="1" applyBorder="1" applyProtection="1">
      <protection hidden="1"/>
    </xf>
    <xf numFmtId="0" fontId="18" fillId="0" borderId="11" xfId="0" applyFont="1" applyBorder="1" applyAlignment="1" applyProtection="1">
      <alignment vertical="center"/>
      <protection hidden="1"/>
    </xf>
    <xf numFmtId="0" fontId="18" fillId="0" borderId="12" xfId="0" applyFont="1" applyBorder="1" applyAlignment="1" applyProtection="1">
      <alignment vertical="center"/>
      <protection hidden="1"/>
    </xf>
    <xf numFmtId="0" fontId="21" fillId="0" borderId="0" xfId="2" applyFont="1" applyProtection="1">
      <protection hidden="1"/>
    </xf>
    <xf numFmtId="0" fontId="22" fillId="0" borderId="0" xfId="2" applyFont="1" applyProtection="1">
      <protection hidden="1"/>
    </xf>
    <xf numFmtId="0" fontId="23" fillId="0" borderId="0" xfId="1" applyFont="1" applyProtection="1">
      <protection hidden="1"/>
    </xf>
    <xf numFmtId="0" fontId="24" fillId="0" borderId="0" xfId="1" applyFont="1" applyProtection="1">
      <protection hidden="1"/>
    </xf>
    <xf numFmtId="0" fontId="25" fillId="0" borderId="0" xfId="1" applyFont="1" applyAlignment="1" applyProtection="1">
      <alignment vertical="center"/>
      <protection hidden="1"/>
    </xf>
    <xf numFmtId="0" fontId="24" fillId="0" borderId="15" xfId="1" applyFont="1" applyBorder="1" applyProtection="1">
      <protection hidden="1"/>
    </xf>
    <xf numFmtId="0" fontId="24" fillId="0" borderId="8" xfId="1" applyFont="1" applyBorder="1" applyProtection="1">
      <protection hidden="1"/>
    </xf>
    <xf numFmtId="0" fontId="25" fillId="0" borderId="8" xfId="1" applyFont="1" applyBorder="1" applyAlignment="1" applyProtection="1">
      <alignment horizontal="center" vertical="center"/>
      <protection hidden="1"/>
    </xf>
    <xf numFmtId="0" fontId="25" fillId="0" borderId="9" xfId="1" applyFont="1" applyBorder="1" applyAlignment="1" applyProtection="1">
      <alignment horizontal="center" vertical="center"/>
      <protection hidden="1"/>
    </xf>
    <xf numFmtId="0" fontId="25" fillId="0" borderId="8" xfId="1" applyFont="1" applyBorder="1" applyAlignment="1" applyProtection="1">
      <alignment vertical="center"/>
      <protection hidden="1"/>
    </xf>
    <xf numFmtId="0" fontId="25" fillId="0" borderId="9" xfId="1" applyFont="1" applyBorder="1" applyAlignment="1" applyProtection="1">
      <alignment vertical="center"/>
      <protection hidden="1"/>
    </xf>
    <xf numFmtId="0" fontId="25" fillId="0" borderId="4" xfId="1" applyFont="1" applyBorder="1" applyAlignment="1" applyProtection="1">
      <alignment vertical="center"/>
      <protection hidden="1"/>
    </xf>
    <xf numFmtId="0" fontId="28" fillId="0" borderId="0" xfId="1" applyFont="1" applyAlignment="1" applyProtection="1">
      <alignment vertical="center"/>
      <protection hidden="1"/>
    </xf>
    <xf numFmtId="49" fontId="25" fillId="0" borderId="0" xfId="1" applyNumberFormat="1" applyFont="1" applyAlignment="1" applyProtection="1">
      <alignment horizontal="right" vertical="center"/>
      <protection hidden="1"/>
    </xf>
    <xf numFmtId="49" fontId="25" fillId="0" borderId="17" xfId="1" applyNumberFormat="1" applyFont="1" applyBorder="1" applyAlignment="1" applyProtection="1">
      <alignment horizontal="left" vertical="center"/>
      <protection hidden="1"/>
    </xf>
    <xf numFmtId="0" fontId="25" fillId="0" borderId="17" xfId="1" applyFont="1" applyBorder="1" applyAlignment="1" applyProtection="1">
      <alignment horizontal="left" vertical="center"/>
      <protection hidden="1"/>
    </xf>
    <xf numFmtId="0" fontId="23" fillId="0" borderId="4" xfId="1" applyFont="1" applyBorder="1" applyAlignment="1" applyProtection="1">
      <alignment vertical="center"/>
      <protection hidden="1"/>
    </xf>
    <xf numFmtId="49" fontId="23" fillId="0" borderId="0" xfId="1" applyNumberFormat="1" applyFont="1" applyAlignment="1" applyProtection="1">
      <alignment horizontal="right" vertical="center"/>
      <protection hidden="1"/>
    </xf>
    <xf numFmtId="49" fontId="23" fillId="0" borderId="0" xfId="1" applyNumberFormat="1" applyFont="1" applyAlignment="1" applyProtection="1">
      <alignment horizontal="left" vertical="center"/>
      <protection hidden="1"/>
    </xf>
    <xf numFmtId="0" fontId="25" fillId="0" borderId="17" xfId="1" applyFont="1" applyBorder="1" applyAlignment="1" applyProtection="1">
      <alignment vertical="center"/>
      <protection hidden="1"/>
    </xf>
    <xf numFmtId="0" fontId="30" fillId="0" borderId="0" xfId="1" applyFont="1" applyProtection="1">
      <protection hidden="1"/>
    </xf>
    <xf numFmtId="49" fontId="23" fillId="0" borderId="0" xfId="1" applyNumberFormat="1" applyFont="1" applyAlignment="1" applyProtection="1">
      <alignment horizontal="center" vertical="center"/>
      <protection hidden="1"/>
    </xf>
    <xf numFmtId="0" fontId="25" fillId="0" borderId="0" xfId="1" applyFont="1" applyAlignment="1" applyProtection="1">
      <alignment horizontal="center" vertical="center"/>
      <protection hidden="1"/>
    </xf>
    <xf numFmtId="49" fontId="25" fillId="0" borderId="0" xfId="1" applyNumberFormat="1" applyFont="1" applyAlignment="1" applyProtection="1">
      <alignment horizontal="center" vertical="center"/>
      <protection hidden="1"/>
    </xf>
    <xf numFmtId="0" fontId="23" fillId="0" borderId="0" xfId="1" applyFont="1" applyAlignment="1" applyProtection="1">
      <alignment vertical="center"/>
      <protection hidden="1"/>
    </xf>
    <xf numFmtId="0" fontId="23" fillId="0" borderId="0" xfId="1" applyFont="1" applyAlignment="1" applyProtection="1">
      <alignment horizontal="center" vertical="center"/>
      <protection hidden="1"/>
    </xf>
    <xf numFmtId="0" fontId="23" fillId="0" borderId="0" xfId="1" applyFont="1" applyAlignment="1" applyProtection="1">
      <alignment horizontal="center"/>
      <protection hidden="1"/>
    </xf>
    <xf numFmtId="0" fontId="23" fillId="0" borderId="0" xfId="1" quotePrefix="1" applyFont="1" applyAlignment="1" applyProtection="1">
      <alignment horizontal="center" vertical="center"/>
      <protection hidden="1"/>
    </xf>
    <xf numFmtId="0" fontId="30" fillId="0" borderId="0" xfId="1" applyFont="1" applyAlignment="1" applyProtection="1">
      <alignment vertical="center"/>
      <protection hidden="1"/>
    </xf>
    <xf numFmtId="0" fontId="24" fillId="0" borderId="0" xfId="1" applyFont="1" applyAlignment="1" applyProtection="1">
      <alignment vertical="center"/>
      <protection hidden="1"/>
    </xf>
    <xf numFmtId="0" fontId="28" fillId="0" borderId="10" xfId="1" applyFont="1" applyBorder="1" applyAlignment="1" applyProtection="1">
      <alignment vertical="center"/>
      <protection hidden="1"/>
    </xf>
    <xf numFmtId="0" fontId="28" fillId="0" borderId="11" xfId="1" applyFont="1" applyBorder="1" applyAlignment="1" applyProtection="1">
      <alignment vertical="center"/>
      <protection hidden="1"/>
    </xf>
    <xf numFmtId="0" fontId="25" fillId="0" borderId="11" xfId="1" applyFont="1" applyBorder="1" applyAlignment="1" applyProtection="1">
      <alignment vertical="center"/>
      <protection hidden="1"/>
    </xf>
    <xf numFmtId="0" fontId="25" fillId="0" borderId="12" xfId="1" applyFont="1" applyBorder="1" applyAlignment="1" applyProtection="1">
      <alignment vertical="center"/>
      <protection hidden="1"/>
    </xf>
    <xf numFmtId="0" fontId="25" fillId="0" borderId="10" xfId="1" applyFont="1" applyBorder="1" applyAlignment="1" applyProtection="1">
      <alignment vertical="center"/>
      <protection hidden="1"/>
    </xf>
    <xf numFmtId="0" fontId="24" fillId="0" borderId="11" xfId="1" applyFont="1" applyBorder="1" applyProtection="1">
      <protection hidden="1"/>
    </xf>
    <xf numFmtId="0" fontId="23" fillId="0" borderId="0" xfId="1" applyFont="1" applyAlignment="1" applyProtection="1">
      <alignment vertical="top"/>
      <protection hidden="1"/>
    </xf>
    <xf numFmtId="49" fontId="28" fillId="0" borderId="4" xfId="1" applyNumberFormat="1" applyFont="1" applyBorder="1" applyAlignment="1" applyProtection="1">
      <alignment vertical="center"/>
      <protection hidden="1"/>
    </xf>
    <xf numFmtId="49" fontId="25" fillId="0" borderId="0" xfId="1" applyNumberFormat="1" applyFont="1" applyAlignment="1" applyProtection="1">
      <alignment vertical="center"/>
      <protection hidden="1"/>
    </xf>
    <xf numFmtId="49" fontId="25" fillId="0" borderId="17" xfId="1" applyNumberFormat="1" applyFont="1" applyBorder="1" applyAlignment="1" applyProtection="1">
      <alignment vertical="center"/>
      <protection hidden="1"/>
    </xf>
    <xf numFmtId="49" fontId="25" fillId="0" borderId="4" xfId="1" applyNumberFormat="1" applyFont="1" applyBorder="1" applyAlignment="1" applyProtection="1">
      <alignment vertical="center"/>
      <protection hidden="1"/>
    </xf>
    <xf numFmtId="49" fontId="28" fillId="0" borderId="0" xfId="1" applyNumberFormat="1" applyFont="1" applyAlignment="1" applyProtection="1">
      <alignment vertical="center"/>
      <protection hidden="1"/>
    </xf>
    <xf numFmtId="49" fontId="28" fillId="0" borderId="17" xfId="1" applyNumberFormat="1" applyFont="1" applyBorder="1" applyAlignment="1" applyProtection="1">
      <alignment vertical="center"/>
      <protection hidden="1"/>
    </xf>
    <xf numFmtId="49" fontId="25" fillId="0" borderId="10" xfId="1" applyNumberFormat="1" applyFont="1" applyBorder="1" applyAlignment="1" applyProtection="1">
      <alignment vertical="center"/>
      <protection hidden="1"/>
    </xf>
    <xf numFmtId="49" fontId="25" fillId="0" borderId="11" xfId="1" applyNumberFormat="1" applyFont="1" applyBorder="1" applyAlignment="1" applyProtection="1">
      <alignment vertical="center"/>
      <protection hidden="1"/>
    </xf>
    <xf numFmtId="49" fontId="25" fillId="0" borderId="12" xfId="1" applyNumberFormat="1" applyFont="1" applyBorder="1" applyAlignment="1" applyProtection="1">
      <alignment vertical="center"/>
      <protection hidden="1"/>
    </xf>
    <xf numFmtId="49" fontId="25" fillId="0" borderId="8" xfId="1" applyNumberFormat="1" applyFont="1" applyBorder="1" applyAlignment="1">
      <alignment vertical="center"/>
    </xf>
    <xf numFmtId="49" fontId="25" fillId="0" borderId="0" xfId="1" applyNumberFormat="1" applyFont="1" applyAlignment="1">
      <alignment vertical="center"/>
    </xf>
    <xf numFmtId="0" fontId="30" fillId="0" borderId="0" xfId="1" applyFont="1" applyAlignment="1" applyProtection="1">
      <alignment horizontal="center"/>
      <protection hidden="1"/>
    </xf>
    <xf numFmtId="0" fontId="32" fillId="0" borderId="0" xfId="1" applyFont="1" applyAlignment="1" applyProtection="1">
      <alignment horizontal="center"/>
      <protection hidden="1"/>
    </xf>
    <xf numFmtId="0" fontId="32" fillId="0" borderId="19" xfId="1" applyFont="1" applyBorder="1" applyAlignment="1" applyProtection="1">
      <alignment horizontal="left"/>
      <protection hidden="1"/>
    </xf>
    <xf numFmtId="14" fontId="26" fillId="0" borderId="20" xfId="1" applyNumberFormat="1" applyFont="1" applyBorder="1" applyAlignment="1" applyProtection="1">
      <alignment horizontal="center"/>
      <protection hidden="1"/>
    </xf>
    <xf numFmtId="0" fontId="26" fillId="0" borderId="20" xfId="1" applyFont="1" applyBorder="1" applyAlignment="1" applyProtection="1">
      <alignment horizontal="center"/>
      <protection hidden="1"/>
    </xf>
    <xf numFmtId="0" fontId="33" fillId="6" borderId="6" xfId="1" applyFont="1" applyFill="1" applyBorder="1" applyAlignment="1" applyProtection="1">
      <alignment horizontal="center" vertical="center"/>
      <protection hidden="1"/>
    </xf>
    <xf numFmtId="0" fontId="25" fillId="0" borderId="0" xfId="1" applyFont="1" applyProtection="1">
      <protection hidden="1"/>
    </xf>
    <xf numFmtId="0" fontId="25" fillId="0" borderId="0" xfId="1" applyFont="1" applyAlignment="1" applyProtection="1">
      <alignment horizontal="right"/>
      <protection hidden="1"/>
    </xf>
    <xf numFmtId="0" fontId="25" fillId="0" borderId="0" xfId="1" applyFont="1" applyAlignment="1" applyProtection="1">
      <alignment horizontal="center"/>
      <protection hidden="1"/>
    </xf>
    <xf numFmtId="0" fontId="23" fillId="0" borderId="8" xfId="1" applyFont="1" applyBorder="1" applyAlignment="1" applyProtection="1">
      <alignment horizontal="center"/>
      <protection hidden="1"/>
    </xf>
    <xf numFmtId="0" fontId="31" fillId="0" borderId="5" xfId="1" applyFont="1" applyBorder="1" applyAlignment="1" applyProtection="1">
      <alignment horizontal="center"/>
      <protection hidden="1"/>
    </xf>
    <xf numFmtId="49" fontId="31" fillId="0" borderId="0" xfId="1" applyNumberFormat="1" applyFont="1" applyAlignment="1" applyProtection="1">
      <alignment horizontal="center"/>
      <protection hidden="1"/>
    </xf>
    <xf numFmtId="0" fontId="34" fillId="0" borderId="8" xfId="1" applyFont="1" applyBorder="1" applyAlignment="1" applyProtection="1">
      <alignment horizontal="center" vertical="top"/>
      <protection hidden="1"/>
    </xf>
    <xf numFmtId="0" fontId="34" fillId="0" borderId="0" xfId="1" applyFont="1" applyAlignment="1" applyProtection="1">
      <alignment horizontal="center" vertical="top"/>
      <protection hidden="1"/>
    </xf>
    <xf numFmtId="0" fontId="23" fillId="0" borderId="8" xfId="1" applyFont="1" applyBorder="1" applyProtection="1">
      <protection hidden="1"/>
    </xf>
    <xf numFmtId="49" fontId="34" fillId="0" borderId="0" xfId="1" applyNumberFormat="1" applyFont="1" applyAlignment="1" applyProtection="1">
      <alignment horizontal="center" vertical="top"/>
      <protection hidden="1"/>
    </xf>
    <xf numFmtId="0" fontId="34" fillId="0" borderId="0" xfId="1" applyFont="1" applyAlignment="1" applyProtection="1">
      <alignment horizontal="left" vertical="top"/>
      <protection hidden="1"/>
    </xf>
    <xf numFmtId="0" fontId="23" fillId="7" borderId="11" xfId="1" applyFont="1" applyFill="1" applyBorder="1" applyAlignment="1" applyProtection="1">
      <alignment horizontal="center"/>
      <protection locked="0"/>
    </xf>
    <xf numFmtId="0" fontId="23" fillId="7" borderId="12" xfId="1" applyFont="1" applyFill="1" applyBorder="1" applyAlignment="1" applyProtection="1">
      <alignment horizontal="center"/>
      <protection locked="0"/>
    </xf>
    <xf numFmtId="0" fontId="25" fillId="7" borderId="10" xfId="1" applyFont="1" applyFill="1" applyBorder="1" applyProtection="1">
      <protection locked="0"/>
    </xf>
    <xf numFmtId="0" fontId="31" fillId="0" borderId="0" xfId="1" applyFont="1" applyAlignment="1" applyProtection="1">
      <alignment horizontal="center"/>
      <protection hidden="1"/>
    </xf>
    <xf numFmtId="0" fontId="31" fillId="0" borderId="4" xfId="1" applyFont="1" applyBorder="1" applyAlignment="1" applyProtection="1">
      <alignment horizontal="left"/>
      <protection hidden="1"/>
    </xf>
    <xf numFmtId="0" fontId="31" fillId="0" borderId="4" xfId="1" applyFont="1" applyBorder="1" applyAlignment="1" applyProtection="1">
      <alignment horizontal="center"/>
      <protection hidden="1"/>
    </xf>
    <xf numFmtId="0" fontId="34" fillId="0" borderId="0" xfId="1" applyFont="1" applyAlignment="1" applyProtection="1">
      <alignment horizontal="center" vertical="center"/>
      <protection hidden="1"/>
    </xf>
    <xf numFmtId="0" fontId="33" fillId="0" borderId="0" xfId="1" applyFont="1" applyAlignment="1" applyProtection="1">
      <alignment horizontal="center" vertical="top"/>
      <protection hidden="1"/>
    </xf>
    <xf numFmtId="0" fontId="31" fillId="0" borderId="0" xfId="1" applyFont="1" applyAlignment="1" applyProtection="1">
      <alignment horizontal="left"/>
      <protection hidden="1"/>
    </xf>
    <xf numFmtId="0" fontId="33" fillId="0" borderId="6" xfId="1" applyFont="1" applyBorder="1" applyAlignment="1" applyProtection="1">
      <alignment horizontal="center" vertical="center"/>
      <protection hidden="1"/>
    </xf>
    <xf numFmtId="0" fontId="34" fillId="0" borderId="15" xfId="1" applyFont="1" applyBorder="1" applyAlignment="1" applyProtection="1">
      <alignment vertical="top"/>
      <protection hidden="1"/>
    </xf>
    <xf numFmtId="0" fontId="34" fillId="0" borderId="8" xfId="1" applyFont="1" applyBorder="1" applyAlignment="1" applyProtection="1">
      <alignment vertical="top"/>
      <protection hidden="1"/>
    </xf>
    <xf numFmtId="0" fontId="34" fillId="0" borderId="9" xfId="1" applyFont="1" applyBorder="1" applyAlignment="1" applyProtection="1">
      <alignment vertical="top"/>
      <protection hidden="1"/>
    </xf>
    <xf numFmtId="0" fontId="34" fillId="0" borderId="4" xfId="1" applyFont="1" applyBorder="1" applyAlignment="1" applyProtection="1">
      <alignment vertical="top"/>
      <protection hidden="1"/>
    </xf>
    <xf numFmtId="0" fontId="34" fillId="0" borderId="0" xfId="1" applyFont="1" applyAlignment="1" applyProtection="1">
      <alignment vertical="top"/>
      <protection hidden="1"/>
    </xf>
    <xf numFmtId="0" fontId="34" fillId="0" borderId="17" xfId="1" applyFont="1" applyBorder="1" applyAlignment="1" applyProtection="1">
      <alignment vertical="top"/>
      <protection hidden="1"/>
    </xf>
    <xf numFmtId="0" fontId="34" fillId="0" borderId="4" xfId="1" applyFont="1" applyBorder="1" applyAlignment="1" applyProtection="1">
      <alignment vertical="center"/>
      <protection hidden="1"/>
    </xf>
    <xf numFmtId="0" fontId="34" fillId="0" borderId="0" xfId="1" applyFont="1" applyAlignment="1" applyProtection="1">
      <alignment vertical="center"/>
      <protection hidden="1"/>
    </xf>
    <xf numFmtId="0" fontId="34" fillId="0" borderId="6" xfId="1" applyFont="1" applyBorder="1" applyAlignment="1" applyProtection="1">
      <alignment horizontal="center" vertical="center"/>
      <protection locked="0"/>
    </xf>
    <xf numFmtId="0" fontId="34" fillId="0" borderId="17" xfId="1" applyFont="1" applyBorder="1" applyAlignment="1" applyProtection="1">
      <alignment vertical="center"/>
      <protection hidden="1"/>
    </xf>
    <xf numFmtId="0" fontId="34" fillId="0" borderId="10" xfId="1" applyFont="1" applyBorder="1" applyAlignment="1" applyProtection="1">
      <alignment vertical="top"/>
      <protection hidden="1"/>
    </xf>
    <xf numFmtId="0" fontId="34" fillId="0" borderId="11" xfId="1" applyFont="1" applyBorder="1" applyAlignment="1" applyProtection="1">
      <alignment vertical="top"/>
      <protection hidden="1"/>
    </xf>
    <xf numFmtId="0" fontId="34" fillId="0" borderId="12" xfId="1" applyFont="1" applyBorder="1" applyAlignment="1" applyProtection="1">
      <alignment vertical="top"/>
      <protection hidden="1"/>
    </xf>
    <xf numFmtId="0" fontId="26" fillId="0" borderId="10" xfId="1" applyFont="1" applyBorder="1" applyAlignment="1" applyProtection="1">
      <alignment vertical="center"/>
      <protection hidden="1"/>
    </xf>
    <xf numFmtId="0" fontId="34" fillId="0" borderId="11" xfId="1" applyFont="1" applyBorder="1" applyAlignment="1" applyProtection="1">
      <alignment vertical="center"/>
      <protection hidden="1"/>
    </xf>
    <xf numFmtId="0" fontId="26" fillId="0" borderId="11" xfId="1" applyFont="1" applyBorder="1" applyAlignment="1" applyProtection="1">
      <alignment vertical="center"/>
      <protection hidden="1"/>
    </xf>
    <xf numFmtId="0" fontId="34" fillId="0" borderId="12" xfId="1" applyFont="1" applyBorder="1" applyAlignment="1" applyProtection="1">
      <alignment vertical="center"/>
      <protection hidden="1"/>
    </xf>
    <xf numFmtId="0" fontId="28" fillId="6" borderId="6" xfId="1" applyFont="1" applyFill="1" applyBorder="1" applyAlignment="1" applyProtection="1">
      <alignment horizontal="center" vertical="center"/>
      <protection hidden="1"/>
    </xf>
    <xf numFmtId="0" fontId="23" fillId="7" borderId="15" xfId="1" applyFont="1" applyFill="1" applyBorder="1" applyAlignment="1" applyProtection="1">
      <alignment horizontal="center"/>
      <protection locked="0"/>
    </xf>
    <xf numFmtId="0" fontId="23" fillId="7" borderId="8" xfId="1" applyFont="1" applyFill="1" applyBorder="1" applyAlignment="1" applyProtection="1">
      <alignment horizontal="center"/>
      <protection locked="0"/>
    </xf>
    <xf numFmtId="0" fontId="23" fillId="7" borderId="9" xfId="1" applyFont="1" applyFill="1" applyBorder="1" applyAlignment="1" applyProtection="1">
      <alignment horizontal="center"/>
      <protection locked="0"/>
    </xf>
    <xf numFmtId="0" fontId="23" fillId="7" borderId="4" xfId="1" applyFont="1" applyFill="1" applyBorder="1" applyAlignment="1" applyProtection="1">
      <alignment horizontal="center"/>
      <protection locked="0"/>
    </xf>
    <xf numFmtId="0" fontId="23" fillId="7" borderId="0" xfId="1" applyFont="1" applyFill="1" applyAlignment="1" applyProtection="1">
      <alignment horizontal="center"/>
      <protection locked="0"/>
    </xf>
    <xf numFmtId="0" fontId="23" fillId="7" borderId="17" xfId="1" applyFont="1" applyFill="1" applyBorder="1" applyAlignment="1" applyProtection="1">
      <alignment horizontal="center"/>
      <protection locked="0"/>
    </xf>
    <xf numFmtId="0" fontId="23" fillId="7" borderId="10" xfId="1" applyFont="1" applyFill="1" applyBorder="1" applyAlignment="1" applyProtection="1">
      <alignment horizontal="center"/>
      <protection locked="0"/>
    </xf>
    <xf numFmtId="0" fontId="31" fillId="0" borderId="8" xfId="1" applyFont="1" applyBorder="1" applyAlignment="1" applyProtection="1">
      <alignment horizontal="left" vertical="center"/>
      <protection hidden="1"/>
    </xf>
    <xf numFmtId="0" fontId="37" fillId="0" borderId="0" xfId="1" applyFont="1" applyAlignment="1">
      <alignment horizontal="right"/>
    </xf>
    <xf numFmtId="0" fontId="32" fillId="0" borderId="0" xfId="1" applyFont="1" applyAlignment="1" applyProtection="1">
      <alignment horizontal="left"/>
      <protection hidden="1"/>
    </xf>
    <xf numFmtId="0" fontId="30" fillId="0" borderId="0" xfId="1" applyFont="1" applyAlignment="1" applyProtection="1">
      <alignment horizontal="left"/>
      <protection hidden="1"/>
    </xf>
    <xf numFmtId="0" fontId="32" fillId="0" borderId="19" xfId="1" applyFont="1" applyBorder="1" applyAlignment="1" applyProtection="1">
      <alignment horizontal="center"/>
      <protection hidden="1"/>
    </xf>
    <xf numFmtId="14" fontId="31" fillId="0" borderId="0" xfId="1" applyNumberFormat="1" applyFont="1" applyAlignment="1" applyProtection="1">
      <alignment horizontal="center"/>
      <protection hidden="1"/>
    </xf>
    <xf numFmtId="1" fontId="37" fillId="0" borderId="15" xfId="1" applyNumberFormat="1" applyFont="1" applyBorder="1" applyAlignment="1" applyProtection="1">
      <alignment horizontal="right" vertical="center"/>
      <protection hidden="1"/>
    </xf>
    <xf numFmtId="1" fontId="37" fillId="0" borderId="8" xfId="1" applyNumberFormat="1" applyFont="1" applyBorder="1" applyAlignment="1" applyProtection="1">
      <alignment horizontal="right" vertical="center"/>
      <protection hidden="1"/>
    </xf>
    <xf numFmtId="1" fontId="31" fillId="0" borderId="8" xfId="1" applyNumberFormat="1" applyFont="1" applyBorder="1" applyAlignment="1" applyProtection="1">
      <alignment horizontal="center" vertical="center"/>
      <protection hidden="1"/>
    </xf>
    <xf numFmtId="0" fontId="23" fillId="0" borderId="9" xfId="1" applyFont="1" applyBorder="1" applyProtection="1">
      <protection hidden="1"/>
    </xf>
    <xf numFmtId="0" fontId="32" fillId="0" borderId="17" xfId="1" applyFont="1" applyBorder="1" applyProtection="1">
      <protection hidden="1"/>
    </xf>
    <xf numFmtId="0" fontId="33" fillId="0" borderId="15" xfId="1" applyFont="1" applyBorder="1" applyAlignment="1" applyProtection="1">
      <alignment horizontal="center" vertical="center"/>
      <protection hidden="1"/>
    </xf>
    <xf numFmtId="0" fontId="32" fillId="0" borderId="0" xfId="1" applyFont="1" applyProtection="1">
      <protection hidden="1"/>
    </xf>
    <xf numFmtId="49" fontId="31" fillId="0" borderId="8" xfId="1" applyNumberFormat="1" applyFont="1" applyBorder="1" applyAlignment="1" applyProtection="1">
      <alignment horizontal="center" vertical="center"/>
      <protection hidden="1"/>
    </xf>
    <xf numFmtId="0" fontId="23" fillId="0" borderId="17" xfId="1" applyFont="1" applyBorder="1" applyProtection="1">
      <protection hidden="1"/>
    </xf>
    <xf numFmtId="0" fontId="24" fillId="0" borderId="4" xfId="1" applyFont="1" applyBorder="1" applyProtection="1">
      <protection hidden="1"/>
    </xf>
    <xf numFmtId="0" fontId="23" fillId="0" borderId="4" xfId="1" applyFont="1" applyBorder="1" applyProtection="1">
      <protection hidden="1"/>
    </xf>
    <xf numFmtId="49" fontId="24" fillId="7" borderId="5" xfId="1" applyNumberFormat="1" applyFont="1" applyFill="1" applyBorder="1" applyAlignment="1" applyProtection="1">
      <alignment horizontal="center"/>
      <protection locked="0"/>
    </xf>
    <xf numFmtId="49" fontId="24" fillId="8" borderId="4" xfId="1" applyNumberFormat="1" applyFont="1" applyFill="1" applyBorder="1" applyAlignment="1" applyProtection="1">
      <alignment horizontal="center"/>
      <protection hidden="1"/>
    </xf>
    <xf numFmtId="0" fontId="33" fillId="0" borderId="4" xfId="1" applyFont="1" applyBorder="1" applyAlignment="1" applyProtection="1">
      <alignment horizontal="center" vertical="center"/>
      <protection hidden="1"/>
    </xf>
    <xf numFmtId="49" fontId="31" fillId="0" borderId="0" xfId="1" applyNumberFormat="1" applyFont="1" applyAlignment="1" applyProtection="1">
      <alignment horizontal="center" vertical="center"/>
      <protection hidden="1"/>
    </xf>
    <xf numFmtId="2" fontId="32" fillId="0" borderId="17" xfId="1" applyNumberFormat="1" applyFont="1" applyBorder="1" applyProtection="1">
      <protection hidden="1"/>
    </xf>
    <xf numFmtId="0" fontId="23" fillId="0" borderId="10" xfId="1" applyFont="1" applyBorder="1" applyProtection="1">
      <protection hidden="1"/>
    </xf>
    <xf numFmtId="0" fontId="23" fillId="0" borderId="11" xfId="1" applyFont="1" applyBorder="1" applyProtection="1">
      <protection hidden="1"/>
    </xf>
    <xf numFmtId="0" fontId="23" fillId="0" borderId="12" xfId="1" applyFont="1" applyBorder="1" applyProtection="1">
      <protection hidden="1"/>
    </xf>
    <xf numFmtId="0" fontId="19" fillId="0" borderId="15" xfId="0" applyFont="1" applyBorder="1" applyProtection="1">
      <protection hidden="1"/>
    </xf>
    <xf numFmtId="0" fontId="12" fillId="0" borderId="9" xfId="0" applyFont="1" applyBorder="1" applyProtection="1">
      <protection hidden="1"/>
    </xf>
    <xf numFmtId="0" fontId="12" fillId="0" borderId="12" xfId="0" applyFont="1" applyBorder="1" applyProtection="1">
      <protection hidden="1"/>
    </xf>
    <xf numFmtId="0" fontId="23" fillId="0" borderId="0" xfId="2" applyFont="1" applyProtection="1">
      <protection hidden="1"/>
    </xf>
    <xf numFmtId="0" fontId="28" fillId="0" borderId="20" xfId="1" applyFont="1" applyBorder="1" applyAlignment="1" applyProtection="1">
      <alignment horizontal="center" vertical="center"/>
      <protection hidden="1"/>
    </xf>
    <xf numFmtId="0" fontId="32" fillId="7" borderId="6" xfId="2" applyFont="1" applyFill="1" applyBorder="1" applyProtection="1">
      <protection locked="0"/>
    </xf>
    <xf numFmtId="49" fontId="32" fillId="7" borderId="6" xfId="2" applyNumberFormat="1" applyFont="1" applyFill="1" applyBorder="1" applyAlignment="1" applyProtection="1">
      <alignment horizontal="center"/>
      <protection locked="0"/>
    </xf>
    <xf numFmtId="0" fontId="32" fillId="0" borderId="0" xfId="2" applyFont="1" applyProtection="1">
      <protection hidden="1"/>
    </xf>
    <xf numFmtId="0" fontId="0" fillId="0" borderId="0" xfId="0" applyProtection="1">
      <protection hidden="1"/>
    </xf>
    <xf numFmtId="0" fontId="14" fillId="0" borderId="0" xfId="0" applyFont="1" applyAlignment="1" applyProtection="1">
      <alignment horizontal="center" vertical="center"/>
      <protection locked="0"/>
    </xf>
    <xf numFmtId="0" fontId="14" fillId="0" borderId="0" xfId="0" applyFont="1" applyProtection="1">
      <protection hidden="1"/>
    </xf>
    <xf numFmtId="0" fontId="14" fillId="0" borderId="0" xfId="0" applyFont="1" applyAlignment="1" applyProtection="1">
      <alignment vertical="center"/>
      <protection hidden="1"/>
    </xf>
    <xf numFmtId="0" fontId="14" fillId="0" borderId="0" xfId="0" applyFont="1" applyAlignment="1" applyProtection="1">
      <alignment horizontal="left" vertical="center"/>
      <protection hidden="1"/>
    </xf>
    <xf numFmtId="49" fontId="14" fillId="0" borderId="0" xfId="0" applyNumberFormat="1" applyFont="1" applyAlignment="1" applyProtection="1">
      <alignment vertical="center"/>
      <protection hidden="1"/>
    </xf>
    <xf numFmtId="14" fontId="14" fillId="0" borderId="20" xfId="0" applyNumberFormat="1" applyFont="1" applyBorder="1" applyAlignment="1" applyProtection="1">
      <alignment horizontal="center" vertical="center"/>
      <protection hidden="1"/>
    </xf>
    <xf numFmtId="0" fontId="19" fillId="0" borderId="0" xfId="0" applyFont="1" applyProtection="1">
      <protection hidden="1"/>
    </xf>
    <xf numFmtId="0" fontId="14" fillId="0" borderId="6" xfId="0" applyFont="1" applyBorder="1" applyAlignment="1" applyProtection="1">
      <alignment horizontal="center" vertical="center"/>
      <protection locked="0"/>
    </xf>
    <xf numFmtId="0" fontId="14" fillId="0" borderId="7" xfId="0" applyFont="1" applyBorder="1" applyAlignment="1">
      <alignment horizontal="center" vertical="center"/>
    </xf>
    <xf numFmtId="14" fontId="14" fillId="0" borderId="5" xfId="0" applyNumberFormat="1" applyFont="1" applyBorder="1" applyAlignment="1" applyProtection="1">
      <alignment horizontal="center" vertical="center"/>
      <protection hidden="1"/>
    </xf>
    <xf numFmtId="14" fontId="14" fillId="0" borderId="5" xfId="0" applyNumberFormat="1" applyFont="1" applyBorder="1" applyAlignment="1" applyProtection="1">
      <alignment horizontal="center" vertical="center" wrapText="1"/>
      <protection hidden="1"/>
    </xf>
    <xf numFmtId="0" fontId="14" fillId="4" borderId="29" xfId="0" applyFont="1" applyFill="1" applyBorder="1" applyAlignment="1" applyProtection="1">
      <alignment horizontal="center" vertical="center"/>
      <protection locked="0"/>
    </xf>
    <xf numFmtId="0" fontId="14" fillId="4" borderId="29" xfId="0" applyFont="1" applyFill="1" applyBorder="1" applyAlignment="1" applyProtection="1">
      <alignment vertical="center" wrapText="1"/>
      <protection locked="0"/>
    </xf>
    <xf numFmtId="166" fontId="46" fillId="4" borderId="29" xfId="4" applyNumberFormat="1" applyFont="1" applyFill="1" applyBorder="1" applyAlignment="1">
      <alignment vertical="center"/>
    </xf>
    <xf numFmtId="0" fontId="19" fillId="0" borderId="29" xfId="0" applyFont="1" applyBorder="1" applyAlignment="1" applyProtection="1">
      <alignment horizontal="center" vertical="center"/>
      <protection locked="0"/>
    </xf>
    <xf numFmtId="0" fontId="19" fillId="0" borderId="29" xfId="0" applyFont="1" applyBorder="1" applyAlignment="1" applyProtection="1">
      <alignment vertical="center"/>
      <protection locked="0"/>
    </xf>
    <xf numFmtId="166" fontId="42" fillId="0" borderId="29" xfId="4" applyNumberFormat="1" applyFont="1" applyBorder="1" applyAlignment="1" applyProtection="1">
      <alignment vertical="center"/>
      <protection hidden="1"/>
    </xf>
    <xf numFmtId="0" fontId="19" fillId="0" borderId="30" xfId="0" applyFont="1" applyBorder="1" applyAlignment="1" applyProtection="1">
      <alignment horizontal="center" vertical="center"/>
      <protection locked="0"/>
    </xf>
    <xf numFmtId="0" fontId="19" fillId="0" borderId="30" xfId="0" applyFont="1" applyBorder="1" applyAlignment="1" applyProtection="1">
      <alignment vertical="center"/>
      <protection locked="0"/>
    </xf>
    <xf numFmtId="166" fontId="42" fillId="0" borderId="30" xfId="4" applyNumberFormat="1" applyFont="1" applyBorder="1" applyAlignment="1" applyProtection="1">
      <alignment vertical="center"/>
      <protection hidden="1"/>
    </xf>
    <xf numFmtId="0" fontId="14" fillId="4" borderId="30" xfId="0" applyFont="1" applyFill="1" applyBorder="1" applyAlignment="1" applyProtection="1">
      <alignment horizontal="center" vertical="center"/>
      <protection locked="0"/>
    </xf>
    <xf numFmtId="0" fontId="14" fillId="4" borderId="30" xfId="0" applyFont="1" applyFill="1" applyBorder="1" applyAlignment="1" applyProtection="1">
      <alignment vertical="center"/>
      <protection locked="0"/>
    </xf>
    <xf numFmtId="166" fontId="46" fillId="4" borderId="30" xfId="4" applyNumberFormat="1" applyFont="1" applyFill="1" applyBorder="1" applyAlignment="1" applyProtection="1">
      <alignment vertical="center"/>
      <protection hidden="1"/>
    </xf>
    <xf numFmtId="0" fontId="19" fillId="0" borderId="30" xfId="0" applyFont="1" applyBorder="1" applyAlignment="1" applyProtection="1">
      <alignment vertical="center" wrapText="1"/>
      <protection locked="0"/>
    </xf>
    <xf numFmtId="0" fontId="19" fillId="0" borderId="31" xfId="0" applyFont="1" applyBorder="1" applyAlignment="1" applyProtection="1">
      <alignment horizontal="center" vertical="center"/>
      <protection locked="0"/>
    </xf>
    <xf numFmtId="0" fontId="19" fillId="0" borderId="31" xfId="0" applyFont="1" applyBorder="1" applyAlignment="1" applyProtection="1">
      <alignment vertical="center"/>
      <protection locked="0"/>
    </xf>
    <xf numFmtId="166" fontId="42" fillId="0" borderId="31" xfId="4" applyNumberFormat="1" applyFont="1" applyBorder="1" applyAlignment="1" applyProtection="1">
      <alignment vertical="center"/>
      <protection hidden="1"/>
    </xf>
    <xf numFmtId="0" fontId="19" fillId="0" borderId="32" xfId="0" applyFont="1" applyBorder="1" applyAlignment="1" applyProtection="1">
      <alignment horizontal="center" vertical="center"/>
      <protection locked="0"/>
    </xf>
    <xf numFmtId="0" fontId="19" fillId="0" borderId="32" xfId="0" applyFont="1" applyBorder="1" applyAlignment="1" applyProtection="1">
      <alignment vertical="center"/>
      <protection locked="0"/>
    </xf>
    <xf numFmtId="166" fontId="42" fillId="0" borderId="32" xfId="4" applyNumberFormat="1" applyFont="1" applyBorder="1" applyAlignment="1" applyProtection="1">
      <alignment vertical="center"/>
      <protection hidden="1"/>
    </xf>
    <xf numFmtId="0" fontId="14" fillId="4" borderId="30" xfId="0" applyFont="1" applyFill="1" applyBorder="1" applyAlignment="1" applyProtection="1">
      <alignment vertical="center" wrapText="1"/>
      <protection locked="0"/>
    </xf>
    <xf numFmtId="0" fontId="14" fillId="9" borderId="30" xfId="0" applyFont="1" applyFill="1" applyBorder="1" applyAlignment="1" applyProtection="1">
      <alignment horizontal="center" vertical="center"/>
      <protection locked="0"/>
    </xf>
    <xf numFmtId="0" fontId="14" fillId="9" borderId="30" xfId="0" applyFont="1" applyFill="1" applyBorder="1" applyAlignment="1" applyProtection="1">
      <alignment vertical="center"/>
      <protection locked="0"/>
    </xf>
    <xf numFmtId="166" fontId="46" fillId="9" borderId="30" xfId="4" applyNumberFormat="1" applyFont="1" applyFill="1" applyBorder="1" applyAlignment="1" applyProtection="1">
      <alignment vertical="center"/>
      <protection hidden="1"/>
    </xf>
    <xf numFmtId="0" fontId="14" fillId="3" borderId="33" xfId="0" applyFont="1" applyFill="1" applyBorder="1" applyAlignment="1" applyProtection="1">
      <alignment horizontal="center" vertical="center"/>
      <protection locked="0"/>
    </xf>
    <xf numFmtId="0" fontId="14" fillId="3" borderId="33" xfId="0" applyFont="1" applyFill="1" applyBorder="1" applyAlignment="1" applyProtection="1">
      <alignment vertical="center"/>
      <protection locked="0"/>
    </xf>
    <xf numFmtId="166" fontId="46" fillId="3" borderId="33" xfId="4" applyNumberFormat="1" applyFont="1" applyFill="1" applyBorder="1" applyAlignment="1" applyProtection="1">
      <alignment vertical="center"/>
      <protection hidden="1"/>
    </xf>
    <xf numFmtId="166" fontId="14" fillId="3" borderId="33" xfId="0" applyNumberFormat="1" applyFont="1" applyFill="1" applyBorder="1" applyAlignment="1" applyProtection="1">
      <alignment vertical="center"/>
      <protection hidden="1"/>
    </xf>
    <xf numFmtId="0" fontId="14" fillId="0" borderId="20" xfId="0" applyFont="1" applyBorder="1" applyAlignment="1" applyProtection="1">
      <alignment vertical="center"/>
      <protection hidden="1"/>
    </xf>
    <xf numFmtId="14" fontId="14" fillId="0" borderId="0" xfId="0" applyNumberFormat="1" applyFont="1" applyAlignment="1" applyProtection="1">
      <alignment vertical="center"/>
      <protection hidden="1"/>
    </xf>
    <xf numFmtId="0" fontId="14" fillId="0" borderId="0" xfId="0" applyFont="1"/>
    <xf numFmtId="0" fontId="14" fillId="0" borderId="0" xfId="0" applyFont="1" applyAlignment="1">
      <alignment vertical="center"/>
    </xf>
    <xf numFmtId="14" fontId="14" fillId="0" borderId="0" xfId="0" applyNumberFormat="1" applyFont="1" applyAlignment="1" applyProtection="1">
      <alignment horizontal="center" vertical="center"/>
      <protection hidden="1"/>
    </xf>
    <xf numFmtId="14" fontId="14" fillId="0" borderId="0" xfId="0" applyNumberFormat="1" applyFont="1" applyAlignment="1">
      <alignment horizontal="center" vertical="center"/>
    </xf>
    <xf numFmtId="0" fontId="19" fillId="0" borderId="0" xfId="0" applyFont="1"/>
    <xf numFmtId="0" fontId="47" fillId="0" borderId="0" xfId="0" applyFont="1" applyAlignment="1" applyProtection="1">
      <alignment vertical="center"/>
      <protection hidden="1"/>
    </xf>
    <xf numFmtId="0" fontId="19" fillId="0" borderId="32" xfId="0" applyFont="1" applyBorder="1" applyAlignment="1">
      <alignment horizontal="center" vertical="center"/>
    </xf>
    <xf numFmtId="0" fontId="19" fillId="0" borderId="30" xfId="0" applyFont="1" applyBorder="1" applyAlignment="1">
      <alignment horizontal="center" vertical="center"/>
    </xf>
    <xf numFmtId="0" fontId="14" fillId="9" borderId="30" xfId="0" applyFont="1" applyFill="1" applyBorder="1" applyAlignment="1">
      <alignment horizontal="center" vertical="center"/>
    </xf>
    <xf numFmtId="0" fontId="14" fillId="0" borderId="30" xfId="0" applyFont="1" applyBorder="1" applyAlignment="1">
      <alignment horizontal="center" vertical="center"/>
    </xf>
    <xf numFmtId="0" fontId="14" fillId="3" borderId="33" xfId="0" applyFont="1" applyFill="1" applyBorder="1" applyAlignment="1">
      <alignment horizontal="center" vertical="center"/>
    </xf>
    <xf numFmtId="0" fontId="14" fillId="3" borderId="16" xfId="0" applyFont="1" applyFill="1" applyBorder="1" applyAlignment="1" applyProtection="1">
      <alignment vertical="center" wrapText="1"/>
      <protection locked="0"/>
    </xf>
    <xf numFmtId="0" fontId="14" fillId="3" borderId="32" xfId="0" applyFont="1" applyFill="1" applyBorder="1" applyAlignment="1" applyProtection="1">
      <alignment vertical="center" wrapText="1"/>
      <protection locked="0"/>
    </xf>
    <xf numFmtId="0" fontId="14" fillId="0" borderId="30" xfId="0" applyFont="1" applyBorder="1" applyAlignment="1" applyProtection="1">
      <alignment horizontal="center" vertical="center"/>
      <protection locked="0"/>
    </xf>
    <xf numFmtId="0" fontId="14" fillId="0" borderId="30" xfId="0" applyFont="1" applyBorder="1" applyAlignment="1" applyProtection="1">
      <alignment vertical="center" wrapText="1"/>
      <protection locked="0"/>
    </xf>
    <xf numFmtId="0" fontId="14" fillId="0" borderId="30" xfId="0" applyFont="1" applyBorder="1" applyProtection="1">
      <protection locked="0"/>
    </xf>
    <xf numFmtId="0" fontId="19" fillId="0" borderId="30" xfId="0" quotePrefix="1" applyFont="1" applyBorder="1" applyAlignment="1" applyProtection="1">
      <alignment vertical="center" wrapText="1"/>
      <protection locked="0"/>
    </xf>
    <xf numFmtId="0" fontId="19" fillId="0" borderId="30" xfId="0" quotePrefix="1" applyFont="1" applyBorder="1" applyAlignment="1" applyProtection="1">
      <alignment horizontal="center" vertical="center"/>
      <protection locked="0"/>
    </xf>
    <xf numFmtId="0" fontId="19" fillId="0" borderId="30" xfId="0" applyFont="1" applyBorder="1" applyProtection="1">
      <protection locked="0"/>
    </xf>
    <xf numFmtId="0" fontId="14" fillId="3" borderId="30" xfId="0" applyFont="1" applyFill="1" applyBorder="1" applyAlignment="1" applyProtection="1">
      <alignment horizontal="center" vertical="center"/>
      <protection locked="0"/>
    </xf>
    <xf numFmtId="0" fontId="14" fillId="3" borderId="30" xfId="0" applyFont="1" applyFill="1" applyBorder="1" applyAlignment="1" applyProtection="1">
      <alignment vertical="center" wrapText="1"/>
      <protection locked="0"/>
    </xf>
    <xf numFmtId="0" fontId="14" fillId="3" borderId="30" xfId="0" applyFont="1" applyFill="1" applyBorder="1" applyProtection="1">
      <protection locked="0"/>
    </xf>
    <xf numFmtId="0" fontId="14" fillId="0" borderId="30" xfId="0" applyFont="1" applyBorder="1" applyAlignment="1" applyProtection="1">
      <alignment horizontal="center" vertical="center" wrapText="1"/>
      <protection locked="0"/>
    </xf>
    <xf numFmtId="0" fontId="14" fillId="4" borderId="30" xfId="0" applyFont="1" applyFill="1" applyBorder="1" applyProtection="1">
      <protection locked="0"/>
    </xf>
    <xf numFmtId="0" fontId="14" fillId="3" borderId="31" xfId="0" applyFont="1" applyFill="1" applyBorder="1" applyAlignment="1" applyProtection="1">
      <alignment vertical="center" wrapText="1"/>
      <protection locked="0"/>
    </xf>
    <xf numFmtId="0" fontId="14" fillId="3" borderId="5" xfId="0" applyFont="1" applyFill="1" applyBorder="1" applyAlignment="1" applyProtection="1">
      <alignment vertical="center" wrapText="1"/>
      <protection locked="0"/>
    </xf>
    <xf numFmtId="0" fontId="48" fillId="0" borderId="0" xfId="0" applyFont="1"/>
    <xf numFmtId="0" fontId="14" fillId="9" borderId="6" xfId="0" applyFont="1" applyFill="1" applyBorder="1" applyAlignment="1">
      <alignment horizontal="center" vertical="center"/>
    </xf>
    <xf numFmtId="0" fontId="19" fillId="0" borderId="39" xfId="0" applyFont="1" applyBorder="1" applyAlignment="1">
      <alignment vertical="center"/>
    </xf>
    <xf numFmtId="0" fontId="19" fillId="0" borderId="39" xfId="0" applyFont="1" applyBorder="1" applyAlignment="1" applyProtection="1">
      <alignment horizontal="center" vertical="center"/>
      <protection hidden="1"/>
    </xf>
    <xf numFmtId="0" fontId="19" fillId="0" borderId="40" xfId="0" applyFont="1" applyBorder="1" applyAlignment="1">
      <alignment vertical="center"/>
    </xf>
    <xf numFmtId="0" fontId="19" fillId="0" borderId="40" xfId="0" applyFont="1" applyBorder="1" applyAlignment="1" applyProtection="1">
      <alignment horizontal="center" vertical="center"/>
      <protection hidden="1"/>
    </xf>
    <xf numFmtId="0" fontId="42" fillId="0" borderId="0" xfId="0" applyFont="1"/>
    <xf numFmtId="0" fontId="50" fillId="0" borderId="0" xfId="0" applyFont="1" applyProtection="1">
      <protection hidden="1"/>
    </xf>
    <xf numFmtId="0" fontId="11" fillId="0" borderId="0" xfId="0" applyFont="1" applyAlignment="1" applyProtection="1">
      <alignment horizontal="center" vertical="center"/>
      <protection hidden="1"/>
    </xf>
    <xf numFmtId="0" fontId="11" fillId="0" borderId="0" xfId="0" applyFont="1" applyAlignment="1" applyProtection="1">
      <alignment horizontal="right" vertical="center"/>
      <protection hidden="1"/>
    </xf>
    <xf numFmtId="14" fontId="11" fillId="0" borderId="0" xfId="0" applyNumberFormat="1" applyFont="1" applyAlignment="1" applyProtection="1">
      <alignment horizontal="center" vertical="center"/>
      <protection hidden="1"/>
    </xf>
    <xf numFmtId="0" fontId="11" fillId="0" borderId="0" xfId="0" applyFont="1" applyAlignment="1" applyProtection="1">
      <alignment vertical="center"/>
      <protection hidden="1"/>
    </xf>
    <xf numFmtId="0" fontId="14" fillId="0" borderId="6" xfId="0" applyFont="1" applyBorder="1" applyAlignment="1" applyProtection="1">
      <alignment horizontal="center" vertical="center"/>
      <protection hidden="1"/>
    </xf>
    <xf numFmtId="0" fontId="14" fillId="0" borderId="6" xfId="0" applyFont="1" applyBorder="1" applyAlignment="1" applyProtection="1">
      <alignment vertical="center"/>
      <protection hidden="1"/>
    </xf>
    <xf numFmtId="0" fontId="19" fillId="9" borderId="16" xfId="0" applyFont="1" applyFill="1" applyBorder="1" applyAlignment="1" applyProtection="1">
      <alignment horizontal="center" vertical="center"/>
      <protection locked="0"/>
    </xf>
    <xf numFmtId="0" fontId="19" fillId="9" borderId="16" xfId="0" applyFont="1" applyFill="1" applyBorder="1" applyProtection="1">
      <protection locked="0"/>
    </xf>
    <xf numFmtId="0" fontId="42" fillId="9" borderId="16" xfId="0" applyFont="1" applyFill="1" applyBorder="1" applyProtection="1">
      <protection locked="0"/>
    </xf>
    <xf numFmtId="0" fontId="42" fillId="9" borderId="4" xfId="0" applyFont="1" applyFill="1" applyBorder="1" applyProtection="1">
      <protection locked="0"/>
    </xf>
    <xf numFmtId="0" fontId="19" fillId="0" borderId="4" xfId="0" applyFont="1" applyBorder="1" applyAlignment="1" applyProtection="1">
      <alignment vertical="center"/>
      <protection hidden="1"/>
    </xf>
    <xf numFmtId="3" fontId="19" fillId="10" borderId="16" xfId="0" applyNumberFormat="1" applyFont="1" applyFill="1" applyBorder="1" applyProtection="1">
      <protection locked="0"/>
    </xf>
    <xf numFmtId="166" fontId="42" fillId="10" borderId="32" xfId="4" applyNumberFormat="1" applyFont="1" applyFill="1" applyBorder="1" applyProtection="1">
      <protection locked="0"/>
    </xf>
    <xf numFmtId="3" fontId="42" fillId="10" borderId="32" xfId="0" applyNumberFormat="1" applyFont="1" applyFill="1" applyBorder="1" applyProtection="1">
      <protection locked="0"/>
    </xf>
    <xf numFmtId="3" fontId="42" fillId="10" borderId="4" xfId="0" applyNumberFormat="1" applyFont="1" applyFill="1" applyBorder="1" applyProtection="1">
      <protection locked="0"/>
    </xf>
    <xf numFmtId="166" fontId="42" fillId="10" borderId="30" xfId="4" applyNumberFormat="1" applyFont="1" applyFill="1" applyBorder="1" applyProtection="1">
      <protection locked="0"/>
    </xf>
    <xf numFmtId="3" fontId="42" fillId="10" borderId="30" xfId="0" applyNumberFormat="1" applyFont="1" applyFill="1" applyBorder="1" applyProtection="1">
      <protection locked="0"/>
    </xf>
    <xf numFmtId="3" fontId="42" fillId="10" borderId="41" xfId="0" applyNumberFormat="1" applyFont="1" applyFill="1" applyBorder="1" applyProtection="1">
      <protection locked="0"/>
    </xf>
    <xf numFmtId="3" fontId="19" fillId="10" borderId="5" xfId="0" applyNumberFormat="1" applyFont="1" applyFill="1" applyBorder="1" applyProtection="1">
      <protection locked="0"/>
    </xf>
    <xf numFmtId="3" fontId="42" fillId="10" borderId="36" xfId="0" applyNumberFormat="1" applyFont="1" applyFill="1" applyBorder="1" applyProtection="1">
      <protection locked="0"/>
    </xf>
    <xf numFmtId="3" fontId="19" fillId="11" borderId="6" xfId="0" applyNumberFormat="1" applyFont="1" applyFill="1" applyBorder="1" applyAlignment="1" applyProtection="1">
      <alignment vertical="center"/>
      <protection locked="0"/>
    </xf>
    <xf numFmtId="166" fontId="42" fillId="11" borderId="6" xfId="4" applyNumberFormat="1" applyFont="1" applyFill="1" applyBorder="1" applyAlignment="1" applyProtection="1">
      <alignment vertical="center"/>
      <protection locked="0"/>
    </xf>
    <xf numFmtId="3" fontId="42" fillId="11" borderId="6" xfId="0" applyNumberFormat="1" applyFont="1" applyFill="1" applyBorder="1" applyAlignment="1" applyProtection="1">
      <alignment vertical="center"/>
      <protection locked="0"/>
    </xf>
    <xf numFmtId="3" fontId="42" fillId="11" borderId="1" xfId="0" applyNumberFormat="1" applyFont="1" applyFill="1" applyBorder="1" applyAlignment="1" applyProtection="1">
      <alignment vertical="center"/>
      <protection locked="0"/>
    </xf>
    <xf numFmtId="166" fontId="42" fillId="10" borderId="16" xfId="4" applyNumberFormat="1" applyFont="1" applyFill="1" applyBorder="1" applyProtection="1">
      <protection locked="0"/>
    </xf>
    <xf numFmtId="3" fontId="42" fillId="10" borderId="16" xfId="0" applyNumberFormat="1" applyFont="1" applyFill="1" applyBorder="1" applyProtection="1">
      <protection locked="0"/>
    </xf>
    <xf numFmtId="0" fontId="19" fillId="10" borderId="16" xfId="0" applyFont="1" applyFill="1" applyBorder="1" applyAlignment="1" applyProtection="1">
      <alignment horizontal="center" vertical="center"/>
      <protection locked="0"/>
    </xf>
    <xf numFmtId="166" fontId="42" fillId="10" borderId="32" xfId="4" applyNumberFormat="1" applyFont="1" applyFill="1" applyBorder="1" applyAlignment="1" applyProtection="1">
      <alignment vertical="center"/>
      <protection locked="0"/>
    </xf>
    <xf numFmtId="3" fontId="42" fillId="10" borderId="32" xfId="0" applyNumberFormat="1" applyFont="1" applyFill="1" applyBorder="1" applyAlignment="1" applyProtection="1">
      <alignment vertical="center"/>
      <protection locked="0"/>
    </xf>
    <xf numFmtId="3" fontId="42" fillId="10" borderId="34" xfId="0" applyNumberFormat="1" applyFont="1" applyFill="1" applyBorder="1" applyAlignment="1" applyProtection="1">
      <alignment vertical="center"/>
      <protection locked="0"/>
    </xf>
    <xf numFmtId="3" fontId="42" fillId="10" borderId="41" xfId="0" applyNumberFormat="1" applyFont="1" applyFill="1" applyBorder="1" applyAlignment="1" applyProtection="1">
      <alignment vertical="center"/>
      <protection locked="0"/>
    </xf>
    <xf numFmtId="0" fontId="19" fillId="0" borderId="0" xfId="0" applyFont="1" applyAlignment="1" applyProtection="1">
      <alignment vertical="center"/>
      <protection hidden="1"/>
    </xf>
    <xf numFmtId="0" fontId="14" fillId="9" borderId="6" xfId="0" applyFont="1" applyFill="1" applyBorder="1" applyAlignment="1" applyProtection="1">
      <alignment horizontal="center" vertical="center" wrapText="1"/>
      <protection hidden="1"/>
    </xf>
    <xf numFmtId="166" fontId="46" fillId="10" borderId="30" xfId="4" applyNumberFormat="1" applyFont="1" applyFill="1" applyBorder="1" applyAlignment="1" applyProtection="1">
      <alignment horizontal="center" vertical="center"/>
      <protection locked="0"/>
    </xf>
    <xf numFmtId="166" fontId="46" fillId="11" borderId="6" xfId="4" applyNumberFormat="1" applyFont="1" applyFill="1" applyBorder="1" applyAlignment="1" applyProtection="1">
      <alignment horizontal="center" vertical="center"/>
      <protection locked="0"/>
    </xf>
    <xf numFmtId="0" fontId="14" fillId="0" borderId="0" xfId="0" applyFont="1" applyAlignment="1" applyProtection="1">
      <alignment horizontal="right" vertical="center"/>
      <protection hidden="1"/>
    </xf>
    <xf numFmtId="0" fontId="48" fillId="0" borderId="0" xfId="0" applyFont="1" applyProtection="1">
      <protection hidden="1"/>
    </xf>
    <xf numFmtId="0" fontId="12" fillId="0" borderId="0" xfId="0" applyFont="1"/>
    <xf numFmtId="14" fontId="14" fillId="0" borderId="18" xfId="0" applyNumberFormat="1" applyFont="1" applyBorder="1" applyAlignment="1" applyProtection="1">
      <alignment horizontal="center" vertical="center"/>
      <protection hidden="1"/>
    </xf>
    <xf numFmtId="0" fontId="14" fillId="0" borderId="18" xfId="0" applyFont="1" applyBorder="1" applyAlignment="1" applyProtection="1">
      <alignment vertical="center"/>
      <protection hidden="1"/>
    </xf>
    <xf numFmtId="0" fontId="14" fillId="0" borderId="0" xfId="0" applyFont="1" applyAlignment="1">
      <alignment horizontal="left" vertical="center"/>
    </xf>
    <xf numFmtId="0" fontId="51" fillId="0" borderId="0" xfId="7" applyFont="1" applyProtection="1">
      <protection hidden="1"/>
    </xf>
    <xf numFmtId="0" fontId="31" fillId="0" borderId="0" xfId="7" applyFont="1" applyAlignment="1" applyProtection="1">
      <alignment horizontal="center" vertical="center"/>
      <protection locked="0"/>
    </xf>
    <xf numFmtId="0" fontId="23" fillId="0" borderId="0" xfId="7" applyFont="1" applyProtection="1">
      <protection locked="0"/>
    </xf>
    <xf numFmtId="0" fontId="19" fillId="0" borderId="0" xfId="0" applyFont="1" applyProtection="1">
      <protection locked="0"/>
    </xf>
    <xf numFmtId="0" fontId="31" fillId="0" borderId="6" xfId="7" applyFont="1" applyBorder="1" applyAlignment="1" applyProtection="1">
      <alignment horizontal="center" vertical="center"/>
      <protection locked="0"/>
    </xf>
    <xf numFmtId="0" fontId="31" fillId="0" borderId="1" xfId="7" applyFont="1" applyBorder="1" applyAlignment="1" applyProtection="1">
      <alignment horizontal="center" vertical="center"/>
      <protection locked="0"/>
    </xf>
    <xf numFmtId="0" fontId="31" fillId="0" borderId="3" xfId="7" applyFont="1" applyBorder="1" applyAlignment="1" applyProtection="1">
      <alignment horizontal="center" vertical="center"/>
      <protection locked="0"/>
    </xf>
    <xf numFmtId="0" fontId="31" fillId="9" borderId="16" xfId="7" applyFont="1" applyFill="1" applyBorder="1" applyAlignment="1" applyProtection="1">
      <alignment vertical="center"/>
      <protection locked="0"/>
    </xf>
    <xf numFmtId="166" fontId="32" fillId="9" borderId="6" xfId="4" applyNumberFormat="1" applyFont="1" applyFill="1" applyBorder="1" applyProtection="1">
      <protection hidden="1"/>
    </xf>
    <xf numFmtId="0" fontId="23" fillId="0" borderId="16" xfId="7" applyFont="1" applyBorder="1" applyAlignment="1" applyProtection="1">
      <alignment vertical="center"/>
      <protection locked="0"/>
    </xf>
    <xf numFmtId="166" fontId="26" fillId="0" borderId="32" xfId="4" applyNumberFormat="1" applyFont="1" applyFill="1" applyBorder="1" applyProtection="1">
      <protection hidden="1"/>
    </xf>
    <xf numFmtId="166" fontId="26" fillId="4" borderId="32" xfId="4" applyNumberFormat="1" applyFont="1" applyFill="1" applyBorder="1" applyProtection="1">
      <protection locked="0"/>
    </xf>
    <xf numFmtId="166" fontId="26" fillId="4" borderId="32" xfId="4" applyNumberFormat="1" applyFont="1" applyFill="1" applyBorder="1" applyAlignment="1" applyProtection="1">
      <alignment horizontal="right"/>
      <protection locked="0"/>
    </xf>
    <xf numFmtId="166" fontId="26" fillId="0" borderId="30" xfId="4" applyNumberFormat="1" applyFont="1" applyFill="1" applyBorder="1" applyProtection="1">
      <protection hidden="1"/>
    </xf>
    <xf numFmtId="166" fontId="26" fillId="4" borderId="30" xfId="4" applyNumberFormat="1" applyFont="1" applyFill="1" applyBorder="1" applyProtection="1">
      <protection locked="0"/>
    </xf>
    <xf numFmtId="166" fontId="26" fillId="4" borderId="30" xfId="4" applyNumberFormat="1" applyFont="1" applyFill="1" applyBorder="1" applyAlignment="1" applyProtection="1">
      <alignment horizontal="right"/>
      <protection locked="0"/>
    </xf>
    <xf numFmtId="166" fontId="26" fillId="0" borderId="31" xfId="4" applyNumberFormat="1" applyFont="1" applyFill="1" applyBorder="1" applyProtection="1">
      <protection hidden="1"/>
    </xf>
    <xf numFmtId="166" fontId="26" fillId="4" borderId="31" xfId="4" applyNumberFormat="1" applyFont="1" applyFill="1" applyBorder="1" applyProtection="1">
      <protection locked="0"/>
    </xf>
    <xf numFmtId="166" fontId="26" fillId="4" borderId="31" xfId="4" applyNumberFormat="1" applyFont="1" applyFill="1" applyBorder="1" applyAlignment="1" applyProtection="1">
      <alignment horizontal="right"/>
      <protection locked="0"/>
    </xf>
    <xf numFmtId="0" fontId="23" fillId="0" borderId="16" xfId="7" applyFont="1" applyBorder="1" applyAlignment="1" applyProtection="1">
      <alignment wrapText="1"/>
      <protection locked="0"/>
    </xf>
    <xf numFmtId="0" fontId="23" fillId="0" borderId="16" xfId="7" applyFont="1" applyBorder="1" applyProtection="1">
      <protection locked="0"/>
    </xf>
    <xf numFmtId="166" fontId="26" fillId="0" borderId="53" xfId="4" applyNumberFormat="1" applyFont="1" applyFill="1" applyBorder="1" applyProtection="1">
      <protection hidden="1"/>
    </xf>
    <xf numFmtId="166" fontId="26" fillId="4" borderId="53" xfId="4" applyNumberFormat="1" applyFont="1" applyFill="1" applyBorder="1" applyProtection="1">
      <protection locked="0"/>
    </xf>
    <xf numFmtId="166" fontId="26" fillId="4" borderId="53" xfId="4" applyNumberFormat="1" applyFont="1" applyFill="1" applyBorder="1" applyAlignment="1" applyProtection="1">
      <alignment horizontal="right"/>
      <protection locked="0"/>
    </xf>
    <xf numFmtId="0" fontId="31" fillId="9" borderId="6" xfId="7" applyFont="1" applyFill="1" applyBorder="1" applyAlignment="1" applyProtection="1">
      <alignment vertical="center"/>
      <protection locked="0"/>
    </xf>
    <xf numFmtId="166" fontId="26" fillId="9" borderId="6" xfId="4" applyNumberFormat="1" applyFont="1" applyFill="1" applyBorder="1" applyProtection="1">
      <protection hidden="1"/>
    </xf>
    <xf numFmtId="0" fontId="23" fillId="0" borderId="0" xfId="7" applyFont="1" applyProtection="1">
      <protection hidden="1"/>
    </xf>
    <xf numFmtId="0" fontId="23" fillId="0" borderId="8" xfId="7" applyFont="1" applyBorder="1" applyAlignment="1" applyProtection="1">
      <alignment horizontal="right" vertical="justify"/>
      <protection hidden="1"/>
    </xf>
    <xf numFmtId="0" fontId="23" fillId="0" borderId="0" xfId="7" applyFont="1" applyAlignment="1" applyProtection="1">
      <alignment horizontal="right" vertical="justify"/>
      <protection hidden="1"/>
    </xf>
    <xf numFmtId="0" fontId="52" fillId="0" borderId="0" xfId="7" applyFont="1" applyProtection="1">
      <protection hidden="1"/>
    </xf>
    <xf numFmtId="166" fontId="26" fillId="0" borderId="32" xfId="4" applyNumberFormat="1" applyFont="1" applyBorder="1" applyProtection="1">
      <protection hidden="1"/>
    </xf>
    <xf numFmtId="166" fontId="26" fillId="0" borderId="30" xfId="4" applyNumberFormat="1" applyFont="1" applyBorder="1" applyProtection="1">
      <protection hidden="1"/>
    </xf>
    <xf numFmtId="166" fontId="26" fillId="0" borderId="31" xfId="4" applyNumberFormat="1" applyFont="1" applyBorder="1" applyProtection="1">
      <protection hidden="1"/>
    </xf>
    <xf numFmtId="0" fontId="31" fillId="0" borderId="3" xfId="7" applyFont="1" applyBorder="1" applyAlignment="1" applyProtection="1">
      <alignment horizontal="center"/>
      <protection locked="0"/>
    </xf>
    <xf numFmtId="0" fontId="31" fillId="0" borderId="6" xfId="7" applyFont="1" applyBorder="1" applyAlignment="1" applyProtection="1">
      <alignment horizontal="center"/>
      <protection locked="0"/>
    </xf>
    <xf numFmtId="0" fontId="23" fillId="0" borderId="4" xfId="7" applyFont="1" applyBorder="1" applyProtection="1">
      <protection locked="0"/>
    </xf>
    <xf numFmtId="3" fontId="31" fillId="4" borderId="54" xfId="7" applyNumberFormat="1" applyFont="1" applyFill="1" applyBorder="1" applyAlignment="1" applyProtection="1">
      <alignment horizontal="center"/>
      <protection locked="0"/>
    </xf>
    <xf numFmtId="166" fontId="26" fillId="0" borderId="55" xfId="4" applyNumberFormat="1" applyFont="1" applyFill="1" applyBorder="1" applyProtection="1">
      <protection hidden="1"/>
    </xf>
    <xf numFmtId="166" fontId="26" fillId="4" borderId="54" xfId="4" applyNumberFormat="1" applyFont="1" applyFill="1" applyBorder="1" applyProtection="1">
      <protection locked="0"/>
    </xf>
    <xf numFmtId="166" fontId="26" fillId="4" borderId="18" xfId="4" applyNumberFormat="1" applyFont="1" applyFill="1" applyBorder="1" applyProtection="1">
      <protection locked="0"/>
    </xf>
    <xf numFmtId="166" fontId="26" fillId="4" borderId="56" xfId="4" applyNumberFormat="1" applyFont="1" applyFill="1" applyBorder="1" applyProtection="1">
      <protection locked="0"/>
    </xf>
    <xf numFmtId="166" fontId="26" fillId="4" borderId="56" xfId="4" applyNumberFormat="1" applyFont="1" applyFill="1" applyBorder="1" applyAlignment="1" applyProtection="1">
      <alignment horizontal="right"/>
      <protection locked="0"/>
    </xf>
    <xf numFmtId="166" fontId="26" fillId="0" borderId="54" xfId="4" applyNumberFormat="1" applyFont="1" applyFill="1" applyBorder="1" applyProtection="1">
      <protection locked="0"/>
    </xf>
    <xf numFmtId="166" fontId="26" fillId="4" borderId="24" xfId="4" applyNumberFormat="1" applyFont="1" applyFill="1" applyBorder="1" applyAlignment="1" applyProtection="1">
      <alignment horizontal="right"/>
      <protection locked="0"/>
    </xf>
    <xf numFmtId="3" fontId="31" fillId="4" borderId="57" xfId="7" applyNumberFormat="1" applyFont="1" applyFill="1" applyBorder="1" applyAlignment="1" applyProtection="1">
      <alignment horizontal="center"/>
      <protection locked="0"/>
    </xf>
    <xf numFmtId="166" fontId="26" fillId="0" borderId="17" xfId="4" applyNumberFormat="1" applyFont="1" applyFill="1" applyBorder="1" applyProtection="1">
      <protection hidden="1"/>
    </xf>
    <xf numFmtId="166" fontId="26" fillId="4" borderId="16" xfId="4" applyNumberFormat="1" applyFont="1" applyFill="1" applyBorder="1" applyProtection="1">
      <protection locked="0"/>
    </xf>
    <xf numFmtId="166" fontId="26" fillId="4" borderId="0" xfId="4" applyNumberFormat="1" applyFont="1" applyFill="1" applyProtection="1">
      <protection locked="0"/>
    </xf>
    <xf numFmtId="166" fontId="26" fillId="4" borderId="4" xfId="4" applyNumberFormat="1" applyFont="1" applyFill="1" applyBorder="1" applyProtection="1">
      <protection locked="0"/>
    </xf>
    <xf numFmtId="166" fontId="26" fillId="4" borderId="58" xfId="4" applyNumberFormat="1" applyFont="1" applyFill="1" applyBorder="1" applyAlignment="1" applyProtection="1">
      <alignment horizontal="right"/>
      <protection locked="0"/>
    </xf>
    <xf numFmtId="0" fontId="31" fillId="3" borderId="6" xfId="7" applyFont="1" applyFill="1" applyBorder="1" applyAlignment="1" applyProtection="1">
      <alignment vertical="center" wrapText="1"/>
      <protection locked="0"/>
    </xf>
    <xf numFmtId="3" fontId="31" fillId="3" borderId="6" xfId="7" applyNumberFormat="1" applyFont="1" applyFill="1" applyBorder="1" applyAlignment="1" applyProtection="1">
      <alignment horizontal="center"/>
      <protection locked="0"/>
    </xf>
    <xf numFmtId="166" fontId="26" fillId="3" borderId="3" xfId="4" applyNumberFormat="1" applyFont="1" applyFill="1" applyBorder="1" applyProtection="1">
      <protection hidden="1"/>
    </xf>
    <xf numFmtId="166" fontId="26" fillId="3" borderId="6" xfId="4" applyNumberFormat="1" applyFont="1" applyFill="1" applyBorder="1" applyProtection="1">
      <protection locked="0"/>
    </xf>
    <xf numFmtId="166" fontId="26" fillId="3" borderId="1" xfId="4" applyNumberFormat="1" applyFont="1" applyFill="1" applyBorder="1" applyProtection="1">
      <protection locked="0"/>
    </xf>
    <xf numFmtId="166" fontId="26" fillId="3" borderId="1" xfId="4" applyNumberFormat="1" applyFont="1" applyFill="1" applyBorder="1" applyAlignment="1" applyProtection="1">
      <alignment horizontal="right"/>
      <protection locked="0"/>
    </xf>
    <xf numFmtId="0" fontId="53" fillId="0" borderId="0" xfId="7" applyFont="1" applyProtection="1">
      <protection hidden="1"/>
    </xf>
    <xf numFmtId="0" fontId="54" fillId="0" borderId="0" xfId="7" applyFont="1" applyProtection="1">
      <protection hidden="1"/>
    </xf>
    <xf numFmtId="49" fontId="23" fillId="0" borderId="0" xfId="7" applyNumberFormat="1" applyFont="1" applyProtection="1">
      <protection locked="0"/>
    </xf>
    <xf numFmtId="166" fontId="26" fillId="0" borderId="29" xfId="4" applyNumberFormat="1" applyFont="1" applyBorder="1" applyProtection="1">
      <protection hidden="1"/>
    </xf>
    <xf numFmtId="166" fontId="26" fillId="4" borderId="29" xfId="4" applyNumberFormat="1" applyFont="1" applyFill="1" applyBorder="1" applyProtection="1">
      <protection locked="0"/>
    </xf>
    <xf numFmtId="166" fontId="26" fillId="4" borderId="29" xfId="4" applyNumberFormat="1" applyFont="1" applyFill="1" applyBorder="1" applyAlignment="1" applyProtection="1">
      <protection locked="0"/>
    </xf>
    <xf numFmtId="166" fontId="26" fillId="4" borderId="30" xfId="4" applyNumberFormat="1" applyFont="1" applyFill="1" applyBorder="1" applyAlignment="1" applyProtection="1">
      <protection locked="0"/>
    </xf>
    <xf numFmtId="166" fontId="26" fillId="4" borderId="31" xfId="4" applyNumberFormat="1" applyFont="1" applyFill="1" applyBorder="1" applyAlignment="1" applyProtection="1">
      <protection locked="0"/>
    </xf>
    <xf numFmtId="0" fontId="31" fillId="3" borderId="6" xfId="7" applyFont="1" applyFill="1" applyBorder="1" applyAlignment="1" applyProtection="1">
      <alignment vertical="center"/>
      <protection locked="0"/>
    </xf>
    <xf numFmtId="166" fontId="26" fillId="0" borderId="6" xfId="4" applyNumberFormat="1" applyFont="1" applyBorder="1" applyProtection="1">
      <protection hidden="1"/>
    </xf>
    <xf numFmtId="166" fontId="26" fillId="0" borderId="6" xfId="4" applyNumberFormat="1" applyFont="1" applyBorder="1" applyProtection="1">
      <protection locked="0"/>
    </xf>
    <xf numFmtId="166" fontId="26" fillId="4" borderId="32" xfId="4" applyNumberFormat="1" applyFont="1" applyFill="1" applyBorder="1" applyAlignment="1" applyProtection="1">
      <protection locked="0"/>
    </xf>
    <xf numFmtId="0" fontId="31" fillId="11" borderId="6" xfId="7" applyFont="1" applyFill="1" applyBorder="1" applyAlignment="1" applyProtection="1">
      <alignment vertical="center"/>
      <protection locked="0"/>
    </xf>
    <xf numFmtId="166" fontId="26" fillId="11" borderId="6" xfId="4" applyNumberFormat="1" applyFont="1" applyFill="1" applyBorder="1" applyProtection="1">
      <protection hidden="1"/>
    </xf>
    <xf numFmtId="166" fontId="26" fillId="11" borderId="6" xfId="4" applyNumberFormat="1" applyFont="1" applyFill="1" applyBorder="1" applyProtection="1">
      <protection locked="0"/>
    </xf>
    <xf numFmtId="166" fontId="26" fillId="4" borderId="44" xfId="4" applyNumberFormat="1" applyFont="1" applyFill="1" applyBorder="1" applyProtection="1">
      <protection locked="0"/>
    </xf>
    <xf numFmtId="166" fontId="26" fillId="4" borderId="43" xfId="4" applyNumberFormat="1" applyFont="1" applyFill="1" applyBorder="1" applyAlignment="1" applyProtection="1">
      <protection locked="0"/>
    </xf>
    <xf numFmtId="166" fontId="26" fillId="4" borderId="42" xfId="4" applyNumberFormat="1" applyFont="1" applyFill="1" applyBorder="1" applyProtection="1">
      <protection locked="0"/>
    </xf>
    <xf numFmtId="166" fontId="26" fillId="4" borderId="41" xfId="4" applyNumberFormat="1" applyFont="1" applyFill="1" applyBorder="1" applyAlignment="1" applyProtection="1">
      <protection locked="0"/>
    </xf>
    <xf numFmtId="166" fontId="26" fillId="4" borderId="37" xfId="4" applyNumberFormat="1" applyFont="1" applyFill="1" applyBorder="1" applyProtection="1">
      <protection locked="0"/>
    </xf>
    <xf numFmtId="166" fontId="26" fillId="4" borderId="36" xfId="4" applyNumberFormat="1" applyFont="1" applyFill="1" applyBorder="1" applyAlignment="1" applyProtection="1">
      <protection locked="0"/>
    </xf>
    <xf numFmtId="166" fontId="26" fillId="4" borderId="35" xfId="4" applyNumberFormat="1" applyFont="1" applyFill="1" applyBorder="1" applyProtection="1">
      <protection locked="0"/>
    </xf>
    <xf numFmtId="166" fontId="26" fillId="4" borderId="34" xfId="4" applyNumberFormat="1" applyFont="1" applyFill="1" applyBorder="1" applyAlignment="1" applyProtection="1">
      <protection locked="0"/>
    </xf>
    <xf numFmtId="0" fontId="23" fillId="0" borderId="7" xfId="7" applyFont="1" applyBorder="1" applyAlignment="1" applyProtection="1">
      <alignment vertical="center"/>
      <protection locked="0"/>
    </xf>
    <xf numFmtId="0" fontId="31" fillId="3" borderId="16" xfId="7" applyFont="1" applyFill="1" applyBorder="1" applyAlignment="1" applyProtection="1">
      <alignment vertical="center"/>
      <protection locked="0"/>
    </xf>
    <xf numFmtId="166" fontId="26" fillId="0" borderId="6" xfId="4" applyNumberFormat="1" applyFont="1" applyFill="1" applyBorder="1" applyProtection="1">
      <protection hidden="1"/>
    </xf>
    <xf numFmtId="0" fontId="23" fillId="0" borderId="5" xfId="7" applyFont="1" applyBorder="1" applyProtection="1">
      <protection locked="0"/>
    </xf>
    <xf numFmtId="0" fontId="56" fillId="0" borderId="0" xfId="7" applyFont="1" applyProtection="1">
      <protection hidden="1"/>
    </xf>
    <xf numFmtId="0" fontId="57" fillId="0" borderId="0" xfId="7" applyFont="1" applyAlignment="1" applyProtection="1">
      <alignment vertical="top" wrapText="1"/>
      <protection locked="0"/>
    </xf>
    <xf numFmtId="0" fontId="31" fillId="8" borderId="6" xfId="7" applyFont="1" applyFill="1" applyBorder="1" applyAlignment="1" applyProtection="1">
      <alignment horizontal="center" vertical="center"/>
      <protection locked="0"/>
    </xf>
    <xf numFmtId="0" fontId="23" fillId="8" borderId="4" xfId="7" applyFont="1" applyFill="1" applyBorder="1" applyProtection="1">
      <protection locked="0"/>
    </xf>
    <xf numFmtId="0" fontId="23" fillId="8" borderId="0" xfId="7" applyFont="1" applyFill="1" applyProtection="1">
      <protection locked="0"/>
    </xf>
    <xf numFmtId="166" fontId="26" fillId="0" borderId="29" xfId="4" applyNumberFormat="1" applyFont="1" applyBorder="1" applyProtection="1">
      <protection locked="0"/>
    </xf>
    <xf numFmtId="166" fontId="26" fillId="0" borderId="30" xfId="4" applyNumberFormat="1" applyFont="1" applyBorder="1" applyProtection="1">
      <protection locked="0"/>
    </xf>
    <xf numFmtId="166" fontId="26" fillId="0" borderId="31" xfId="4" applyNumberFormat="1" applyFont="1" applyBorder="1" applyProtection="1">
      <protection locked="0"/>
    </xf>
    <xf numFmtId="166" fontId="26" fillId="3" borderId="6" xfId="4" applyNumberFormat="1" applyFont="1" applyFill="1" applyBorder="1" applyAlignment="1" applyProtection="1">
      <alignment vertical="center"/>
      <protection locked="0"/>
    </xf>
    <xf numFmtId="166" fontId="26" fillId="0" borderId="32" xfId="4" applyNumberFormat="1" applyFont="1" applyBorder="1" applyProtection="1">
      <protection locked="0"/>
    </xf>
    <xf numFmtId="0" fontId="14" fillId="0" borderId="6" xfId="0" applyFont="1" applyBorder="1" applyAlignment="1" applyProtection="1">
      <alignment vertical="center"/>
      <protection locked="0"/>
    </xf>
    <xf numFmtId="0" fontId="14" fillId="9" borderId="6" xfId="0" applyFont="1" applyFill="1" applyBorder="1" applyAlignment="1" applyProtection="1">
      <alignment vertical="center"/>
      <protection locked="0"/>
    </xf>
    <xf numFmtId="0" fontId="19" fillId="9" borderId="6" xfId="0" applyFont="1" applyFill="1" applyBorder="1" applyAlignment="1" applyProtection="1">
      <alignment horizontal="center" vertical="center" wrapText="1"/>
      <protection locked="0"/>
    </xf>
    <xf numFmtId="0" fontId="19" fillId="0" borderId="6" xfId="0" applyFont="1" applyBorder="1" applyProtection="1">
      <protection locked="0"/>
    </xf>
    <xf numFmtId="166" fontId="42" fillId="0" borderId="6" xfId="4" applyNumberFormat="1" applyFont="1" applyBorder="1" applyAlignment="1" applyProtection="1">
      <protection locked="0"/>
    </xf>
    <xf numFmtId="166" fontId="42" fillId="0" borderId="6" xfId="4" applyNumberFormat="1" applyFont="1" applyBorder="1" applyProtection="1">
      <protection locked="0"/>
    </xf>
    <xf numFmtId="0" fontId="19" fillId="0" borderId="1" xfId="0" applyFont="1" applyBorder="1" applyProtection="1">
      <protection locked="0"/>
    </xf>
    <xf numFmtId="0" fontId="19" fillId="0" borderId="4" xfId="0" applyFont="1" applyBorder="1" applyProtection="1">
      <protection locked="0"/>
    </xf>
    <xf numFmtId="41" fontId="19" fillId="0" borderId="0" xfId="5" applyFont="1" applyBorder="1" applyAlignment="1" applyProtection="1">
      <protection locked="0"/>
    </xf>
    <xf numFmtId="41" fontId="19" fillId="0" borderId="0" xfId="5" applyFont="1" applyBorder="1" applyAlignment="1" applyProtection="1">
      <alignment horizontal="center"/>
      <protection locked="0"/>
    </xf>
    <xf numFmtId="0" fontId="14" fillId="11" borderId="7" xfId="0" applyFont="1" applyFill="1" applyBorder="1" applyAlignment="1" applyProtection="1">
      <alignment horizontal="center" vertical="center"/>
      <protection locked="0"/>
    </xf>
    <xf numFmtId="0" fontId="14" fillId="11" borderId="6" xfId="0" applyFont="1" applyFill="1" applyBorder="1" applyAlignment="1" applyProtection="1">
      <alignment horizontal="center" vertical="center" wrapText="1"/>
      <protection locked="0"/>
    </xf>
    <xf numFmtId="14" fontId="14" fillId="11" borderId="5" xfId="0" applyNumberFormat="1" applyFont="1" applyFill="1" applyBorder="1" applyAlignment="1" applyProtection="1">
      <alignment horizontal="center" vertical="center"/>
      <protection hidden="1"/>
    </xf>
    <xf numFmtId="166" fontId="42" fillId="0" borderId="6" xfId="4" applyNumberFormat="1" applyFont="1" applyBorder="1" applyProtection="1">
      <protection hidden="1"/>
    </xf>
    <xf numFmtId="9" fontId="42" fillId="0" borderId="6" xfId="6" applyFont="1" applyBorder="1" applyAlignment="1" applyProtection="1">
      <alignment horizontal="center" vertical="center"/>
    </xf>
    <xf numFmtId="0" fontId="14" fillId="9" borderId="6" xfId="0" applyFont="1" applyFill="1" applyBorder="1" applyProtection="1">
      <protection locked="0"/>
    </xf>
    <xf numFmtId="166" fontId="42" fillId="9" borderId="6" xfId="4" applyNumberFormat="1" applyFont="1" applyFill="1" applyBorder="1" applyProtection="1">
      <protection hidden="1"/>
    </xf>
    <xf numFmtId="9" fontId="42" fillId="9" borderId="6" xfId="6" applyFont="1" applyFill="1" applyBorder="1" applyAlignment="1" applyProtection="1">
      <alignment horizontal="center" vertical="center"/>
    </xf>
    <xf numFmtId="166" fontId="42" fillId="9" borderId="6" xfId="4" applyNumberFormat="1" applyFont="1" applyFill="1" applyBorder="1" applyProtection="1">
      <protection locked="0"/>
    </xf>
    <xf numFmtId="0" fontId="14" fillId="11" borderId="6" xfId="0" applyFont="1" applyFill="1" applyBorder="1" applyAlignment="1" applyProtection="1">
      <alignment horizontal="center" vertical="center"/>
      <protection locked="0"/>
    </xf>
    <xf numFmtId="166" fontId="42" fillId="0" borderId="6" xfId="4" applyNumberFormat="1" applyFont="1" applyBorder="1" applyAlignment="1" applyProtection="1">
      <alignment vertical="center"/>
      <protection hidden="1"/>
    </xf>
    <xf numFmtId="166" fontId="42" fillId="0" borderId="1" xfId="4" applyNumberFormat="1" applyFont="1" applyBorder="1" applyAlignment="1" applyProtection="1">
      <alignment vertical="center"/>
      <protection hidden="1"/>
    </xf>
    <xf numFmtId="9" fontId="42" fillId="0" borderId="6" xfId="6" applyFont="1" applyBorder="1" applyAlignment="1" applyProtection="1">
      <alignment horizontal="center" vertical="center"/>
      <protection hidden="1"/>
    </xf>
    <xf numFmtId="166" fontId="46" fillId="9" borderId="6" xfId="4" applyNumberFormat="1" applyFont="1" applyFill="1" applyBorder="1" applyAlignment="1" applyProtection="1">
      <alignment vertical="center"/>
      <protection hidden="1"/>
    </xf>
    <xf numFmtId="166" fontId="42" fillId="9" borderId="6" xfId="4" applyNumberFormat="1" applyFont="1" applyFill="1" applyBorder="1" applyAlignment="1" applyProtection="1">
      <alignment vertical="center"/>
      <protection hidden="1"/>
    </xf>
    <xf numFmtId="9" fontId="46" fillId="9" borderId="6" xfId="6" applyFont="1" applyFill="1" applyBorder="1" applyAlignment="1" applyProtection="1">
      <alignment horizontal="center" vertical="center"/>
      <protection hidden="1"/>
    </xf>
    <xf numFmtId="9" fontId="42" fillId="9" borderId="6" xfId="6" applyFont="1" applyFill="1" applyBorder="1" applyAlignment="1" applyProtection="1">
      <alignment horizontal="center" vertical="center"/>
      <protection hidden="1"/>
    </xf>
    <xf numFmtId="0" fontId="13" fillId="11" borderId="6" xfId="0" applyFont="1" applyFill="1" applyBorder="1" applyAlignment="1" applyProtection="1">
      <alignment horizontal="center" vertical="center"/>
      <protection locked="0"/>
    </xf>
    <xf numFmtId="166" fontId="19" fillId="0" borderId="6" xfId="6" applyNumberFormat="1" applyFont="1" applyBorder="1" applyAlignment="1" applyProtection="1">
      <alignment horizontal="center" vertical="center"/>
      <protection hidden="1"/>
    </xf>
    <xf numFmtId="9" fontId="19" fillId="0" borderId="6" xfId="6" applyFont="1" applyBorder="1" applyAlignment="1" applyProtection="1">
      <alignment horizontal="center" vertical="center"/>
      <protection hidden="1"/>
    </xf>
    <xf numFmtId="166" fontId="14" fillId="9" borderId="6" xfId="6" applyNumberFormat="1" applyFont="1" applyFill="1" applyBorder="1" applyAlignment="1" applyProtection="1">
      <alignment horizontal="center" vertical="center"/>
      <protection hidden="1"/>
    </xf>
    <xf numFmtId="9" fontId="14" fillId="9" borderId="6" xfId="6" applyFont="1" applyFill="1" applyBorder="1" applyAlignment="1" applyProtection="1">
      <alignment horizontal="center" vertical="center"/>
      <protection hidden="1"/>
    </xf>
    <xf numFmtId="0" fontId="14" fillId="11" borderId="7" xfId="0" applyFont="1" applyFill="1" applyBorder="1" applyAlignment="1" applyProtection="1">
      <alignment horizontal="center" vertical="center" wrapText="1"/>
      <protection locked="0"/>
    </xf>
    <xf numFmtId="0" fontId="19" fillId="0" borderId="6" xfId="0" applyFont="1" applyBorder="1" applyAlignment="1" applyProtection="1">
      <alignment vertical="center"/>
      <protection locked="0"/>
    </xf>
    <xf numFmtId="166" fontId="42" fillId="0" borderId="6" xfId="4" applyNumberFormat="1" applyFont="1" applyBorder="1" applyAlignment="1" applyProtection="1">
      <alignment horizontal="center" vertical="center"/>
      <protection hidden="1"/>
    </xf>
    <xf numFmtId="166" fontId="19" fillId="0" borderId="6" xfId="4" applyNumberFormat="1" applyFont="1" applyBorder="1" applyAlignment="1" applyProtection="1">
      <alignment vertical="center"/>
      <protection locked="0"/>
    </xf>
    <xf numFmtId="0" fontId="19" fillId="0" borderId="6" xfId="0" applyFont="1" applyBorder="1" applyAlignment="1" applyProtection="1">
      <alignment vertical="center" wrapText="1"/>
      <protection locked="0"/>
    </xf>
    <xf numFmtId="0" fontId="14" fillId="9" borderId="6" xfId="0" applyFont="1" applyFill="1" applyBorder="1" applyAlignment="1" applyProtection="1">
      <alignment vertical="center" wrapText="1"/>
      <protection locked="0"/>
    </xf>
    <xf numFmtId="166" fontId="46" fillId="9" borderId="6" xfId="4" applyNumberFormat="1" applyFont="1" applyFill="1" applyBorder="1" applyAlignment="1" applyProtection="1">
      <alignment horizontal="center" vertical="center"/>
      <protection hidden="1"/>
    </xf>
    <xf numFmtId="9" fontId="14" fillId="9" borderId="6" xfId="6" applyFont="1" applyFill="1" applyBorder="1" applyAlignment="1" applyProtection="1">
      <alignment horizontal="center" vertical="center"/>
    </xf>
    <xf numFmtId="166" fontId="14" fillId="9" borderId="6" xfId="4" applyNumberFormat="1" applyFont="1" applyFill="1" applyBorder="1" applyAlignment="1" applyProtection="1">
      <alignment vertical="center"/>
    </xf>
    <xf numFmtId="166" fontId="14" fillId="9" borderId="6" xfId="4" applyNumberFormat="1" applyFont="1" applyFill="1" applyBorder="1" applyAlignment="1" applyProtection="1">
      <alignment vertical="center"/>
      <protection hidden="1"/>
    </xf>
    <xf numFmtId="0" fontId="14" fillId="9" borderId="5" xfId="0" applyFont="1" applyFill="1" applyBorder="1" applyAlignment="1" applyProtection="1">
      <alignment vertical="center"/>
      <protection locked="0"/>
    </xf>
    <xf numFmtId="166" fontId="42" fillId="0" borderId="6" xfId="4" applyNumberFormat="1" applyFont="1" applyBorder="1" applyAlignment="1" applyProtection="1">
      <alignment vertical="center"/>
      <protection locked="0"/>
    </xf>
    <xf numFmtId="0" fontId="19" fillId="0" borderId="6" xfId="0" applyFont="1" applyBorder="1" applyAlignment="1" applyProtection="1">
      <alignment wrapText="1"/>
      <protection locked="0"/>
    </xf>
    <xf numFmtId="166" fontId="42" fillId="9" borderId="6" xfId="4" applyNumberFormat="1" applyFont="1" applyFill="1" applyBorder="1" applyAlignment="1" applyProtection="1">
      <alignment vertical="center"/>
    </xf>
    <xf numFmtId="166" fontId="42" fillId="9" borderId="6" xfId="4" applyNumberFormat="1" applyFont="1" applyFill="1" applyBorder="1" applyAlignment="1" applyProtection="1">
      <alignment horizontal="center" vertical="center"/>
      <protection hidden="1"/>
    </xf>
    <xf numFmtId="0" fontId="19" fillId="0" borderId="1" xfId="0" applyFont="1" applyBorder="1" applyAlignment="1" applyProtection="1">
      <alignment vertical="center"/>
      <protection locked="0"/>
    </xf>
    <xf numFmtId="0" fontId="19" fillId="0" borderId="2" xfId="0" applyFont="1" applyBorder="1" applyAlignment="1" applyProtection="1">
      <alignment vertical="center"/>
      <protection locked="0"/>
    </xf>
    <xf numFmtId="0" fontId="14" fillId="11" borderId="6" xfId="0" applyFont="1" applyFill="1" applyBorder="1" applyAlignment="1" applyProtection="1">
      <alignment horizontal="center"/>
      <protection locked="0"/>
    </xf>
    <xf numFmtId="9" fontId="19" fillId="0" borderId="6" xfId="6" applyFont="1" applyBorder="1" applyAlignment="1" applyProtection="1">
      <alignment vertical="center"/>
      <protection hidden="1"/>
    </xf>
    <xf numFmtId="9" fontId="19" fillId="9" borderId="6" xfId="6" applyFont="1" applyFill="1" applyBorder="1" applyAlignment="1" applyProtection="1">
      <alignment vertical="center"/>
      <protection hidden="1"/>
    </xf>
    <xf numFmtId="0" fontId="48" fillId="0" borderId="0" xfId="0" applyFont="1" applyAlignment="1" applyProtection="1">
      <alignment vertical="top" wrapText="1"/>
      <protection hidden="1"/>
    </xf>
    <xf numFmtId="14" fontId="14" fillId="11" borderId="5" xfId="0" applyNumberFormat="1" applyFont="1" applyFill="1" applyBorder="1" applyAlignment="1" applyProtection="1">
      <alignment horizontal="center" vertical="center" wrapText="1"/>
      <protection hidden="1"/>
    </xf>
    <xf numFmtId="0" fontId="19" fillId="0" borderId="1" xfId="0" applyFont="1" applyBorder="1" applyAlignment="1" applyProtection="1">
      <alignment vertical="center" wrapText="1"/>
      <protection locked="0"/>
    </xf>
    <xf numFmtId="0" fontId="19" fillId="0" borderId="2" xfId="0" applyFont="1" applyBorder="1" applyAlignment="1" applyProtection="1">
      <alignment vertical="center" wrapText="1"/>
      <protection locked="0"/>
    </xf>
    <xf numFmtId="167" fontId="42" fillId="0" borderId="6" xfId="4" applyNumberFormat="1" applyFont="1" applyBorder="1" applyProtection="1">
      <protection locked="0"/>
    </xf>
    <xf numFmtId="167" fontId="42" fillId="0" borderId="2" xfId="4" applyNumberFormat="1" applyFont="1" applyBorder="1" applyProtection="1">
      <protection locked="0"/>
    </xf>
    <xf numFmtId="0" fontId="48" fillId="0" borderId="0" xfId="0" applyFont="1" applyProtection="1">
      <protection locked="0"/>
    </xf>
    <xf numFmtId="0" fontId="59" fillId="0" borderId="8" xfId="0" applyFont="1" applyBorder="1" applyAlignment="1">
      <alignment vertical="top"/>
    </xf>
    <xf numFmtId="0" fontId="59" fillId="0" borderId="0" xfId="0" applyFont="1" applyAlignment="1">
      <alignment vertical="top"/>
    </xf>
    <xf numFmtId="0" fontId="19" fillId="9" borderId="6" xfId="0" applyFont="1" applyFill="1" applyBorder="1" applyAlignment="1" applyProtection="1">
      <alignment horizontal="center" vertical="center"/>
      <protection locked="0"/>
    </xf>
    <xf numFmtId="0" fontId="19" fillId="11" borderId="6" xfId="0" applyFont="1" applyFill="1" applyBorder="1" applyProtection="1">
      <protection locked="0"/>
    </xf>
    <xf numFmtId="9" fontId="19" fillId="9" borderId="6" xfId="6" applyFont="1" applyFill="1" applyBorder="1" applyAlignment="1" applyProtection="1">
      <alignment horizontal="center" vertical="center"/>
      <protection hidden="1"/>
    </xf>
    <xf numFmtId="0" fontId="42" fillId="0" borderId="6" xfId="0" applyFont="1" applyBorder="1" applyAlignment="1" applyProtection="1">
      <alignment vertical="center"/>
      <protection locked="0"/>
    </xf>
    <xf numFmtId="167" fontId="42" fillId="0" borderId="6" xfId="4" applyNumberFormat="1" applyFont="1" applyBorder="1" applyAlignment="1" applyProtection="1">
      <alignment vertical="center"/>
      <protection locked="0"/>
    </xf>
    <xf numFmtId="0" fontId="14" fillId="9" borderId="1" xfId="0" applyFont="1" applyFill="1" applyBorder="1" applyAlignment="1" applyProtection="1">
      <alignment vertical="center"/>
      <protection locked="0"/>
    </xf>
    <xf numFmtId="0" fontId="42" fillId="9" borderId="6" xfId="0" applyFont="1" applyFill="1" applyBorder="1" applyAlignment="1" applyProtection="1">
      <alignment vertical="center"/>
      <protection locked="0"/>
    </xf>
    <xf numFmtId="167" fontId="42" fillId="9" borderId="6" xfId="4" applyNumberFormat="1" applyFont="1" applyFill="1" applyBorder="1" applyAlignment="1" applyProtection="1">
      <alignment vertical="center"/>
      <protection locked="0"/>
    </xf>
    <xf numFmtId="0" fontId="14" fillId="9" borderId="1" xfId="0" applyFont="1" applyFill="1" applyBorder="1" applyAlignment="1" applyProtection="1">
      <alignment vertical="center" wrapText="1"/>
      <protection locked="0"/>
    </xf>
    <xf numFmtId="49" fontId="14" fillId="0" borderId="0" xfId="0" applyNumberFormat="1" applyFont="1" applyAlignment="1">
      <alignment vertical="center"/>
    </xf>
    <xf numFmtId="166" fontId="42" fillId="0" borderId="5" xfId="4" applyNumberFormat="1" applyFont="1" applyBorder="1" applyAlignment="1" applyProtection="1">
      <alignment vertical="center"/>
      <protection hidden="1"/>
    </xf>
    <xf numFmtId="0" fontId="19" fillId="9" borderId="6" xfId="0" applyFont="1" applyFill="1" applyBorder="1" applyAlignment="1" applyProtection="1">
      <alignment vertical="center"/>
      <protection locked="0"/>
    </xf>
    <xf numFmtId="166" fontId="42" fillId="9" borderId="5" xfId="4" applyNumberFormat="1" applyFont="1" applyFill="1" applyBorder="1" applyAlignment="1" applyProtection="1">
      <alignment vertical="center"/>
      <protection hidden="1"/>
    </xf>
    <xf numFmtId="166" fontId="42" fillId="9" borderId="1" xfId="4" applyNumberFormat="1" applyFont="1" applyFill="1" applyBorder="1" applyAlignment="1" applyProtection="1">
      <alignment vertical="center"/>
      <protection hidden="1"/>
    </xf>
    <xf numFmtId="166" fontId="42" fillId="0" borderId="2" xfId="4" applyNumberFormat="1" applyFont="1" applyBorder="1" applyProtection="1">
      <protection locked="0"/>
    </xf>
    <xf numFmtId="0" fontId="59" fillId="0" borderId="0" xfId="0" applyFont="1"/>
    <xf numFmtId="0" fontId="14" fillId="11" borderId="10" xfId="0" applyFont="1" applyFill="1" applyBorder="1" applyAlignment="1" applyProtection="1">
      <alignment horizontal="center" vertical="center" wrapText="1"/>
      <protection locked="0"/>
    </xf>
    <xf numFmtId="0" fontId="14" fillId="11" borderId="12" xfId="0" applyFont="1" applyFill="1" applyBorder="1" applyAlignment="1" applyProtection="1">
      <alignment horizontal="center" vertical="center" wrapText="1"/>
      <protection locked="0"/>
    </xf>
    <xf numFmtId="0" fontId="19" fillId="0" borderId="0" xfId="0" applyFont="1" applyAlignment="1" applyProtection="1">
      <alignment vertical="top"/>
      <protection locked="0"/>
    </xf>
    <xf numFmtId="0" fontId="14" fillId="3" borderId="6" xfId="0" applyFont="1" applyFill="1" applyBorder="1" applyAlignment="1" applyProtection="1">
      <alignment horizontal="center" vertical="center"/>
      <protection locked="0"/>
    </xf>
    <xf numFmtId="167" fontId="19" fillId="0" borderId="0" xfId="4" applyNumberFormat="1" applyFont="1" applyFill="1" applyBorder="1" applyAlignment="1" applyProtection="1">
      <alignment vertical="center"/>
      <protection hidden="1"/>
    </xf>
    <xf numFmtId="9" fontId="19" fillId="0" borderId="0" xfId="6" applyFont="1" applyFill="1" applyBorder="1" applyAlignment="1" applyProtection="1">
      <alignment vertical="center"/>
      <protection hidden="1"/>
    </xf>
    <xf numFmtId="9" fontId="19" fillId="0" borderId="0" xfId="6" applyFont="1" applyFill="1" applyBorder="1" applyAlignment="1" applyProtection="1">
      <alignment horizontal="center" vertical="center"/>
      <protection hidden="1"/>
    </xf>
    <xf numFmtId="166" fontId="42" fillId="0" borderId="1" xfId="4" applyNumberFormat="1" applyFont="1" applyBorder="1" applyAlignment="1" applyProtection="1">
      <alignment horizontal="center" vertical="center"/>
      <protection hidden="1"/>
    </xf>
    <xf numFmtId="0" fontId="14" fillId="0" borderId="20" xfId="0" applyFont="1" applyBorder="1" applyProtection="1">
      <protection hidden="1"/>
    </xf>
    <xf numFmtId="0" fontId="23" fillId="0" borderId="17" xfId="7" applyFont="1" applyBorder="1" applyProtection="1">
      <protection locked="0"/>
    </xf>
    <xf numFmtId="0" fontId="25" fillId="0" borderId="15" xfId="7" applyFont="1" applyBorder="1" applyProtection="1">
      <protection locked="0"/>
    </xf>
    <xf numFmtId="0" fontId="31" fillId="0" borderId="1" xfId="7" applyFont="1" applyBorder="1" applyProtection="1">
      <protection locked="0"/>
    </xf>
    <xf numFmtId="0" fontId="23" fillId="0" borderId="2" xfId="7" applyFont="1" applyBorder="1" applyProtection="1">
      <protection locked="0"/>
    </xf>
    <xf numFmtId="0" fontId="31" fillId="0" borderId="2" xfId="7" applyFont="1" applyBorder="1" applyProtection="1">
      <protection locked="0"/>
    </xf>
    <xf numFmtId="0" fontId="23" fillId="0" borderId="3" xfId="7" applyFont="1" applyBorder="1" applyProtection="1">
      <protection locked="0"/>
    </xf>
    <xf numFmtId="0" fontId="31" fillId="0" borderId="1" xfId="7" applyFont="1" applyBorder="1" applyAlignment="1" applyProtection="1">
      <alignment horizontal="centerContinuous"/>
      <protection locked="0"/>
    </xf>
    <xf numFmtId="0" fontId="23" fillId="0" borderId="2" xfId="7" applyFont="1" applyBorder="1" applyAlignment="1" applyProtection="1">
      <alignment horizontal="centerContinuous"/>
      <protection locked="0"/>
    </xf>
    <xf numFmtId="0" fontId="23" fillId="0" borderId="3" xfId="7" applyFont="1" applyBorder="1" applyAlignment="1" applyProtection="1">
      <alignment horizontal="centerContinuous"/>
      <protection locked="0"/>
    </xf>
    <xf numFmtId="0" fontId="25" fillId="0" borderId="4" xfId="7" applyFont="1" applyBorder="1" applyProtection="1">
      <protection locked="0"/>
    </xf>
    <xf numFmtId="0" fontId="32" fillId="0" borderId="4" xfId="7" applyFont="1" applyBorder="1" applyAlignment="1" applyProtection="1">
      <alignment horizontal="centerContinuous"/>
      <protection locked="0"/>
    </xf>
    <xf numFmtId="0" fontId="23" fillId="0" borderId="0" xfId="7" applyFont="1" applyAlignment="1" applyProtection="1">
      <alignment horizontal="centerContinuous"/>
      <protection locked="0"/>
    </xf>
    <xf numFmtId="0" fontId="26" fillId="0" borderId="0" xfId="7" applyFont="1" applyAlignment="1" applyProtection="1">
      <alignment horizontal="centerContinuous"/>
      <protection locked="0"/>
    </xf>
    <xf numFmtId="0" fontId="32" fillId="0" borderId="10" xfId="7" applyFont="1" applyBorder="1" applyAlignment="1" applyProtection="1">
      <alignment horizontal="centerContinuous"/>
      <protection locked="0"/>
    </xf>
    <xf numFmtId="0" fontId="23" fillId="0" borderId="11" xfId="7" applyFont="1" applyBorder="1" applyAlignment="1" applyProtection="1">
      <alignment horizontal="centerContinuous"/>
      <protection locked="0"/>
    </xf>
    <xf numFmtId="0" fontId="26" fillId="0" borderId="11" xfId="7" applyFont="1" applyBorder="1" applyAlignment="1" applyProtection="1">
      <alignment horizontal="centerContinuous"/>
      <protection locked="0"/>
    </xf>
    <xf numFmtId="0" fontId="25" fillId="0" borderId="10" xfId="7" applyFont="1" applyBorder="1" applyProtection="1">
      <protection locked="0"/>
    </xf>
    <xf numFmtId="0" fontId="32" fillId="0" borderId="10" xfId="7" applyFont="1" applyBorder="1" applyAlignment="1" applyProtection="1">
      <alignment horizontal="center"/>
      <protection locked="0"/>
    </xf>
    <xf numFmtId="0" fontId="26" fillId="0" borderId="5" xfId="7" applyFont="1" applyBorder="1" applyAlignment="1" applyProtection="1">
      <alignment horizontal="center"/>
      <protection locked="0"/>
    </xf>
    <xf numFmtId="0" fontId="33" fillId="6" borderId="6" xfId="7" applyFont="1" applyFill="1" applyBorder="1" applyAlignment="1" applyProtection="1">
      <alignment horizontal="center"/>
      <protection locked="0"/>
    </xf>
    <xf numFmtId="0" fontId="25" fillId="0" borderId="4" xfId="7" applyFont="1" applyBorder="1" applyAlignment="1" applyProtection="1">
      <alignment wrapText="1"/>
      <protection locked="0"/>
    </xf>
    <xf numFmtId="166" fontId="26" fillId="0" borderId="54" xfId="4" applyNumberFormat="1" applyFont="1" applyBorder="1" applyProtection="1">
      <protection locked="0"/>
    </xf>
    <xf numFmtId="0" fontId="25" fillId="0" borderId="7" xfId="7" applyFont="1" applyBorder="1" applyAlignment="1" applyProtection="1">
      <alignment vertical="center"/>
      <protection locked="0"/>
    </xf>
    <xf numFmtId="166" fontId="26" fillId="0" borderId="21" xfId="4" applyNumberFormat="1" applyFont="1" applyBorder="1" applyProtection="1">
      <protection locked="0"/>
    </xf>
    <xf numFmtId="166" fontId="26" fillId="0" borderId="66" xfId="4" applyNumberFormat="1" applyFont="1" applyBorder="1" applyProtection="1">
      <protection locked="0"/>
    </xf>
    <xf numFmtId="0" fontId="25" fillId="0" borderId="7" xfId="7" applyFont="1" applyBorder="1" applyAlignment="1" applyProtection="1">
      <alignment horizontal="left" vertical="center"/>
      <protection locked="0"/>
    </xf>
    <xf numFmtId="0" fontId="32" fillId="0" borderId="0" xfId="7" applyFont="1" applyProtection="1">
      <protection locked="0"/>
    </xf>
    <xf numFmtId="0" fontId="32" fillId="0" borderId="0" xfId="7" applyFont="1" applyAlignment="1" applyProtection="1">
      <alignment vertical="center"/>
      <protection locked="0"/>
    </xf>
    <xf numFmtId="0" fontId="26" fillId="0" borderId="0" xfId="7" applyFont="1" applyAlignment="1" applyProtection="1">
      <alignment vertical="center"/>
      <protection locked="0"/>
    </xf>
    <xf numFmtId="0" fontId="25" fillId="0" borderId="15" xfId="7" applyFont="1" applyBorder="1" applyAlignment="1" applyProtection="1">
      <alignment wrapText="1"/>
      <protection locked="0"/>
    </xf>
    <xf numFmtId="166" fontId="26" fillId="4" borderId="21" xfId="4" applyNumberFormat="1" applyFont="1" applyFill="1" applyBorder="1" applyProtection="1">
      <protection locked="0"/>
    </xf>
    <xf numFmtId="166" fontId="26" fillId="4" borderId="66" xfId="4" applyNumberFormat="1" applyFont="1" applyFill="1" applyBorder="1" applyProtection="1">
      <protection locked="0"/>
    </xf>
    <xf numFmtId="0" fontId="25" fillId="0" borderId="0" xfId="7" applyFont="1" applyAlignment="1" applyProtection="1">
      <alignment vertical="top" wrapText="1"/>
      <protection locked="0"/>
    </xf>
    <xf numFmtId="165" fontId="42" fillId="0" borderId="0" xfId="4" applyFont="1" applyFill="1" applyBorder="1" applyAlignment="1" applyProtection="1">
      <alignment vertical="center"/>
      <protection locked="0"/>
    </xf>
    <xf numFmtId="0" fontId="23" fillId="0" borderId="0" xfId="7" applyFont="1" applyAlignment="1" applyProtection="1">
      <alignment vertical="center"/>
      <protection locked="0"/>
    </xf>
    <xf numFmtId="166" fontId="26" fillId="0" borderId="4" xfId="4" applyNumberFormat="1" applyFont="1" applyBorder="1" applyProtection="1">
      <protection locked="0"/>
    </xf>
    <xf numFmtId="166" fontId="26" fillId="0" borderId="16" xfId="4" applyNumberFormat="1" applyFont="1" applyBorder="1" applyProtection="1">
      <protection locked="0"/>
    </xf>
    <xf numFmtId="166" fontId="32" fillId="0" borderId="4" xfId="4" applyNumberFormat="1" applyFont="1" applyBorder="1" applyProtection="1">
      <protection locked="0"/>
    </xf>
    <xf numFmtId="166" fontId="32" fillId="0" borderId="16" xfId="4" applyNumberFormat="1" applyFont="1" applyBorder="1" applyProtection="1">
      <protection locked="0"/>
    </xf>
    <xf numFmtId="0" fontId="54" fillId="0" borderId="0" xfId="7" applyFont="1" applyProtection="1">
      <protection locked="0"/>
    </xf>
    <xf numFmtId="0" fontId="23" fillId="0" borderId="0" xfId="7" applyFont="1" applyAlignment="1" applyProtection="1">
      <alignment vertical="top"/>
      <protection locked="0"/>
    </xf>
    <xf numFmtId="0" fontId="28" fillId="0" borderId="6" xfId="7" applyFont="1" applyBorder="1" applyAlignment="1" applyProtection="1">
      <alignment vertical="center"/>
      <protection locked="0"/>
    </xf>
    <xf numFmtId="3" fontId="26" fillId="0" borderId="67" xfId="7" applyNumberFormat="1" applyFont="1" applyBorder="1" applyProtection="1">
      <protection locked="0"/>
    </xf>
    <xf numFmtId="0" fontId="32" fillId="0" borderId="26" xfId="7" applyFont="1" applyBorder="1" applyAlignment="1" applyProtection="1">
      <alignment vertical="center"/>
      <protection locked="0"/>
    </xf>
    <xf numFmtId="0" fontId="32" fillId="0" borderId="28" xfId="7" applyFont="1" applyBorder="1" applyProtection="1">
      <protection locked="0"/>
    </xf>
    <xf numFmtId="0" fontId="31" fillId="8" borderId="6" xfId="7" applyFont="1" applyFill="1" applyBorder="1" applyAlignment="1" applyProtection="1">
      <alignment horizontal="center"/>
      <protection locked="0"/>
    </xf>
    <xf numFmtId="0" fontId="31" fillId="8" borderId="1" xfId="7" applyFont="1" applyFill="1" applyBorder="1" applyAlignment="1" applyProtection="1">
      <alignment horizontal="centerContinuous"/>
      <protection locked="0"/>
    </xf>
    <xf numFmtId="0" fontId="31" fillId="8" borderId="2" xfId="7" applyFont="1" applyFill="1" applyBorder="1" applyAlignment="1" applyProtection="1">
      <alignment horizontal="centerContinuous"/>
      <protection locked="0"/>
    </xf>
    <xf numFmtId="0" fontId="23" fillId="8" borderId="3" xfId="7" applyFont="1" applyFill="1" applyBorder="1" applyAlignment="1" applyProtection="1">
      <alignment horizontal="centerContinuous"/>
      <protection locked="0"/>
    </xf>
    <xf numFmtId="0" fontId="23" fillId="8" borderId="2" xfId="7" applyFont="1" applyFill="1" applyBorder="1" applyAlignment="1" applyProtection="1">
      <alignment horizontal="centerContinuous"/>
      <protection locked="0"/>
    </xf>
    <xf numFmtId="0" fontId="23" fillId="8" borderId="10" xfId="7" applyFont="1" applyFill="1" applyBorder="1" applyAlignment="1" applyProtection="1">
      <alignment horizontal="centerContinuous"/>
      <protection locked="0"/>
    </xf>
    <xf numFmtId="0" fontId="23" fillId="8" borderId="11" xfId="7" applyFont="1" applyFill="1" applyBorder="1" applyAlignment="1" applyProtection="1">
      <alignment horizontal="centerContinuous"/>
      <protection locked="0"/>
    </xf>
    <xf numFmtId="0" fontId="23" fillId="8" borderId="12" xfId="7" applyFont="1" applyFill="1" applyBorder="1" applyAlignment="1" applyProtection="1">
      <alignment horizontal="centerContinuous"/>
      <protection locked="0"/>
    </xf>
    <xf numFmtId="0" fontId="23" fillId="8" borderId="6" xfId="7" applyFont="1" applyFill="1" applyBorder="1" applyAlignment="1" applyProtection="1">
      <alignment horizontal="center"/>
      <protection locked="0"/>
    </xf>
    <xf numFmtId="166" fontId="26" fillId="0" borderId="54" xfId="4" applyNumberFormat="1" applyFont="1" applyBorder="1" applyProtection="1">
      <protection hidden="1"/>
    </xf>
    <xf numFmtId="166" fontId="26" fillId="4" borderId="55" xfId="4" applyNumberFormat="1" applyFont="1" applyFill="1" applyBorder="1" applyProtection="1">
      <protection locked="0"/>
    </xf>
    <xf numFmtId="166" fontId="26" fillId="4" borderId="21" xfId="4" applyNumberFormat="1" applyFont="1" applyFill="1" applyBorder="1" applyAlignment="1" applyProtection="1">
      <alignment horizontal="right"/>
      <protection locked="0"/>
    </xf>
    <xf numFmtId="0" fontId="23" fillId="8" borderId="4" xfId="7" applyFont="1" applyFill="1" applyBorder="1" applyAlignment="1" applyProtection="1">
      <alignment horizontal="left" vertical="top" wrapText="1"/>
      <protection locked="0"/>
    </xf>
    <xf numFmtId="0" fontId="31" fillId="8" borderId="7" xfId="7" applyFont="1" applyFill="1" applyBorder="1" applyAlignment="1" applyProtection="1">
      <alignment vertical="center"/>
      <protection locked="0"/>
    </xf>
    <xf numFmtId="166" fontId="26" fillId="0" borderId="66" xfId="4" applyNumberFormat="1" applyFont="1" applyBorder="1" applyProtection="1">
      <protection hidden="1"/>
    </xf>
    <xf numFmtId="166" fontId="26" fillId="4" borderId="66" xfId="4" applyNumberFormat="1" applyFont="1" applyFill="1" applyBorder="1" applyAlignment="1" applyProtection="1">
      <alignment horizontal="right"/>
      <protection locked="0"/>
    </xf>
    <xf numFmtId="166" fontId="26" fillId="4" borderId="24" xfId="4" applyNumberFormat="1" applyFont="1" applyFill="1" applyBorder="1" applyProtection="1">
      <protection locked="0"/>
    </xf>
    <xf numFmtId="166" fontId="26" fillId="4" borderId="68" xfId="4" applyNumberFormat="1" applyFont="1" applyFill="1" applyBorder="1" applyProtection="1">
      <protection locked="0"/>
    </xf>
    <xf numFmtId="166" fontId="26" fillId="4" borderId="25" xfId="4" applyNumberFormat="1" applyFont="1" applyFill="1" applyBorder="1" applyProtection="1">
      <protection locked="0"/>
    </xf>
    <xf numFmtId="166" fontId="26" fillId="4" borderId="68" xfId="4" applyNumberFormat="1" applyFont="1" applyFill="1" applyBorder="1" applyAlignment="1" applyProtection="1">
      <alignment horizontal="right"/>
      <protection locked="0"/>
    </xf>
    <xf numFmtId="0" fontId="23" fillId="0" borderId="4" xfId="7" applyFont="1" applyBorder="1" applyAlignment="1" applyProtection="1">
      <alignment wrapText="1"/>
      <protection locked="0"/>
    </xf>
    <xf numFmtId="166" fontId="26" fillId="0" borderId="16" xfId="4" applyNumberFormat="1" applyFont="1" applyBorder="1" applyProtection="1">
      <protection hidden="1"/>
    </xf>
    <xf numFmtId="0" fontId="23" fillId="0" borderId="4" xfId="7" applyFont="1" applyBorder="1" applyAlignment="1" applyProtection="1">
      <alignment horizontal="left" vertical="center" wrapText="1"/>
      <protection locked="0"/>
    </xf>
    <xf numFmtId="166" fontId="26" fillId="0" borderId="68" xfId="4" applyNumberFormat="1" applyFont="1" applyFill="1" applyBorder="1" applyProtection="1">
      <protection hidden="1"/>
    </xf>
    <xf numFmtId="166" fontId="26" fillId="4" borderId="68" xfId="4" applyNumberFormat="1" applyFont="1" applyFill="1" applyBorder="1" applyAlignment="1" applyProtection="1">
      <alignment horizontal="center"/>
      <protection locked="0"/>
    </xf>
    <xf numFmtId="0" fontId="23" fillId="0" borderId="4" xfId="7" applyFont="1" applyBorder="1" applyAlignment="1" applyProtection="1">
      <alignment vertical="center" wrapText="1"/>
      <protection locked="0"/>
    </xf>
    <xf numFmtId="166" fontId="26" fillId="4" borderId="58" xfId="4" applyNumberFormat="1" applyFont="1" applyFill="1" applyBorder="1" applyProtection="1">
      <protection locked="0"/>
    </xf>
    <xf numFmtId="166" fontId="26" fillId="4" borderId="57" xfId="4" applyNumberFormat="1" applyFont="1" applyFill="1" applyBorder="1" applyProtection="1">
      <protection locked="0"/>
    </xf>
    <xf numFmtId="166" fontId="26" fillId="4" borderId="69" xfId="4" applyNumberFormat="1" applyFont="1" applyFill="1" applyBorder="1" applyProtection="1">
      <protection locked="0"/>
    </xf>
    <xf numFmtId="166" fontId="26" fillId="4" borderId="57" xfId="4" applyNumberFormat="1" applyFont="1" applyFill="1" applyBorder="1" applyAlignment="1" applyProtection="1">
      <alignment horizontal="center"/>
      <protection locked="0"/>
    </xf>
    <xf numFmtId="0" fontId="31" fillId="8" borderId="7" xfId="7" applyFont="1" applyFill="1" applyBorder="1" applyAlignment="1" applyProtection="1">
      <alignment horizontal="left" vertical="center" wrapText="1"/>
      <protection locked="0"/>
    </xf>
    <xf numFmtId="0" fontId="31" fillId="8" borderId="6" xfId="7" applyFont="1" applyFill="1" applyBorder="1" applyAlignment="1" applyProtection="1">
      <alignment vertical="center"/>
      <protection locked="0"/>
    </xf>
    <xf numFmtId="0" fontId="31" fillId="0" borderId="0" xfId="7" applyFont="1" applyProtection="1">
      <protection hidden="1"/>
    </xf>
    <xf numFmtId="166" fontId="42" fillId="9" borderId="1" xfId="4" applyNumberFormat="1" applyFont="1" applyFill="1" applyBorder="1" applyAlignment="1" applyProtection="1">
      <alignment horizontal="center" vertical="center"/>
      <protection hidden="1"/>
    </xf>
    <xf numFmtId="166" fontId="42" fillId="0" borderId="1" xfId="4" applyNumberFormat="1" applyFont="1" applyBorder="1" applyAlignment="1" applyProtection="1">
      <alignment vertical="center"/>
      <protection locked="0"/>
    </xf>
    <xf numFmtId="9" fontId="42" fillId="0" borderId="6" xfId="6" applyFont="1" applyBorder="1" applyAlignment="1" applyProtection="1">
      <alignment horizontal="center" vertical="center"/>
      <protection locked="0"/>
    </xf>
    <xf numFmtId="0" fontId="59" fillId="0" borderId="0" xfId="0" applyFont="1" applyProtection="1">
      <protection locked="0"/>
    </xf>
    <xf numFmtId="0" fontId="42" fillId="0" borderId="0" xfId="0" applyFont="1" applyProtection="1">
      <protection locked="0"/>
    </xf>
    <xf numFmtId="0" fontId="14" fillId="9" borderId="6" xfId="0" applyFont="1" applyFill="1" applyBorder="1" applyAlignment="1" applyProtection="1">
      <alignment horizontal="center" vertical="center" wrapText="1"/>
      <protection locked="0"/>
    </xf>
    <xf numFmtId="16" fontId="14" fillId="9" borderId="6" xfId="0" quotePrefix="1" applyNumberFormat="1" applyFont="1" applyFill="1" applyBorder="1" applyAlignment="1" applyProtection="1">
      <alignment horizontal="center" vertical="center" wrapText="1"/>
      <protection locked="0"/>
    </xf>
    <xf numFmtId="0" fontId="42" fillId="0" borderId="6" xfId="0" applyFont="1" applyBorder="1" applyProtection="1">
      <protection locked="0"/>
    </xf>
    <xf numFmtId="0" fontId="46" fillId="10" borderId="6" xfId="0" applyFont="1" applyFill="1" applyBorder="1" applyAlignment="1" applyProtection="1">
      <alignment horizontal="center" vertical="center"/>
      <protection hidden="1"/>
    </xf>
    <xf numFmtId="0" fontId="42" fillId="0" borderId="6" xfId="0" applyFont="1" applyBorder="1" applyAlignment="1" applyProtection="1">
      <alignment horizontal="left" vertical="center"/>
      <protection hidden="1"/>
    </xf>
    <xf numFmtId="0" fontId="60" fillId="0" borderId="0" xfId="0" applyFont="1" applyProtection="1">
      <protection locked="0"/>
    </xf>
    <xf numFmtId="0" fontId="61" fillId="0" borderId="0" xfId="0" applyFont="1" applyAlignment="1" applyProtection="1">
      <alignment vertical="top"/>
      <protection hidden="1"/>
    </xf>
    <xf numFmtId="0" fontId="12" fillId="0" borderId="0" xfId="0" applyFont="1" applyAlignment="1" applyProtection="1">
      <alignment vertical="top"/>
      <protection hidden="1"/>
    </xf>
    <xf numFmtId="1" fontId="32" fillId="0" borderId="6" xfId="0" applyNumberFormat="1" applyFont="1" applyBorder="1" applyAlignment="1" applyProtection="1">
      <alignment horizontal="center" vertical="center"/>
      <protection hidden="1"/>
    </xf>
    <xf numFmtId="165" fontId="42" fillId="0" borderId="6" xfId="4" applyFont="1" applyBorder="1" applyAlignment="1" applyProtection="1">
      <alignment vertical="center"/>
      <protection hidden="1"/>
    </xf>
    <xf numFmtId="1" fontId="62" fillId="9" borderId="6" xfId="0" applyNumberFormat="1" applyFont="1" applyFill="1" applyBorder="1" applyAlignment="1" applyProtection="1">
      <alignment horizontal="center" vertical="center"/>
      <protection hidden="1"/>
    </xf>
    <xf numFmtId="165" fontId="46" fillId="9" borderId="6" xfId="4" applyFont="1" applyFill="1" applyBorder="1" applyAlignment="1" applyProtection="1">
      <alignment vertical="center"/>
      <protection hidden="1"/>
    </xf>
    <xf numFmtId="165" fontId="42" fillId="0" borderId="6" xfId="4" applyFont="1" applyFill="1" applyBorder="1" applyAlignment="1" applyProtection="1">
      <alignment vertical="center"/>
      <protection hidden="1"/>
    </xf>
    <xf numFmtId="165" fontId="32" fillId="0" borderId="6" xfId="4" applyFont="1" applyBorder="1" applyAlignment="1" applyProtection="1">
      <alignment vertical="center"/>
      <protection hidden="1"/>
    </xf>
    <xf numFmtId="9" fontId="42" fillId="0" borderId="6" xfId="6" applyFont="1" applyFill="1" applyBorder="1" applyAlignment="1" applyProtection="1">
      <alignment horizontal="center" vertical="center"/>
      <protection hidden="1"/>
    </xf>
    <xf numFmtId="49" fontId="32" fillId="0" borderId="6" xfId="0" applyNumberFormat="1" applyFont="1" applyBorder="1" applyAlignment="1" applyProtection="1">
      <alignment horizontal="center" vertical="center"/>
      <protection hidden="1"/>
    </xf>
    <xf numFmtId="165" fontId="42" fillId="0" borderId="3" xfId="4" applyFont="1" applyBorder="1" applyAlignment="1" applyProtection="1">
      <alignment vertical="center"/>
      <protection hidden="1"/>
    </xf>
    <xf numFmtId="165" fontId="32" fillId="0" borderId="6" xfId="4" applyFont="1" applyBorder="1" applyProtection="1">
      <protection hidden="1"/>
    </xf>
    <xf numFmtId="0" fontId="42" fillId="0" borderId="2" xfId="0" applyFont="1" applyBorder="1" applyProtection="1">
      <protection hidden="1"/>
    </xf>
    <xf numFmtId="3" fontId="46" fillId="9" borderId="6" xfId="4" applyNumberFormat="1" applyFont="1" applyFill="1" applyBorder="1" applyAlignment="1" applyProtection="1">
      <alignment vertical="center"/>
      <protection hidden="1"/>
    </xf>
    <xf numFmtId="9" fontId="42" fillId="3" borderId="6" xfId="6" applyFont="1" applyFill="1" applyBorder="1" applyAlignment="1" applyProtection="1">
      <alignment horizontal="center" vertical="center"/>
      <protection hidden="1"/>
    </xf>
    <xf numFmtId="0" fontId="42" fillId="0" borderId="6" xfId="0" applyFont="1" applyBorder="1" applyAlignment="1" applyProtection="1">
      <alignment horizontal="center"/>
      <protection hidden="1"/>
    </xf>
    <xf numFmtId="0" fontId="42" fillId="0" borderId="1" xfId="0" applyFont="1" applyBorder="1" applyProtection="1">
      <protection hidden="1"/>
    </xf>
    <xf numFmtId="0" fontId="42" fillId="0" borderId="3" xfId="0" applyFont="1" applyBorder="1" applyProtection="1">
      <protection hidden="1"/>
    </xf>
    <xf numFmtId="0" fontId="46" fillId="3" borderId="6" xfId="0" applyFont="1" applyFill="1" applyBorder="1" applyAlignment="1" applyProtection="1">
      <alignment horizontal="center"/>
      <protection hidden="1"/>
    </xf>
    <xf numFmtId="165" fontId="46" fillId="3" borderId="6" xfId="4" applyFont="1" applyFill="1" applyBorder="1" applyProtection="1">
      <protection hidden="1"/>
    </xf>
    <xf numFmtId="165" fontId="46" fillId="3" borderId="6" xfId="4" applyFont="1" applyFill="1" applyBorder="1" applyAlignment="1" applyProtection="1">
      <alignment vertical="center"/>
      <protection hidden="1"/>
    </xf>
    <xf numFmtId="9" fontId="46" fillId="3" borderId="6" xfId="6" applyFont="1" applyFill="1" applyBorder="1" applyAlignment="1" applyProtection="1">
      <alignment horizontal="center" vertical="center"/>
      <protection hidden="1"/>
    </xf>
    <xf numFmtId="165" fontId="42" fillId="0" borderId="6" xfId="4" applyFont="1" applyBorder="1" applyProtection="1">
      <protection hidden="1"/>
    </xf>
    <xf numFmtId="0" fontId="42" fillId="0" borderId="6" xfId="0" applyFont="1" applyBorder="1" applyAlignment="1" applyProtection="1">
      <alignment horizontal="center" vertical="center"/>
      <protection hidden="1"/>
    </xf>
    <xf numFmtId="0" fontId="46" fillId="3" borderId="6" xfId="0" applyFont="1" applyFill="1" applyBorder="1" applyAlignment="1" applyProtection="1">
      <alignment horizontal="center" vertical="center"/>
      <protection hidden="1"/>
    </xf>
    <xf numFmtId="165" fontId="42" fillId="3" borderId="6" xfId="4" applyFont="1" applyFill="1" applyBorder="1" applyProtection="1">
      <protection hidden="1"/>
    </xf>
    <xf numFmtId="49" fontId="14" fillId="0" borderId="0" xfId="0" applyNumberFormat="1" applyFont="1" applyAlignment="1" applyProtection="1">
      <alignment horizontal="left" vertical="center"/>
      <protection hidden="1"/>
    </xf>
    <xf numFmtId="0" fontId="65" fillId="10" borderId="82" xfId="0" applyFont="1" applyFill="1" applyBorder="1" applyAlignment="1" applyProtection="1">
      <alignment horizontal="center" vertical="center" wrapText="1"/>
      <protection hidden="1"/>
    </xf>
    <xf numFmtId="165" fontId="32" fillId="0" borderId="5" xfId="4" applyFont="1" applyBorder="1" applyAlignment="1" applyProtection="1">
      <alignment vertical="center"/>
      <protection hidden="1"/>
    </xf>
    <xf numFmtId="0" fontId="66" fillId="0" borderId="4" xfId="0" applyFont="1" applyBorder="1" applyAlignment="1" applyProtection="1">
      <alignment vertical="center"/>
      <protection locked="0"/>
    </xf>
    <xf numFmtId="165" fontId="26" fillId="9" borderId="6" xfId="4" applyFont="1" applyFill="1" applyBorder="1" applyAlignment="1" applyProtection="1">
      <alignment vertical="center"/>
      <protection hidden="1"/>
    </xf>
    <xf numFmtId="3" fontId="26" fillId="9" borderId="6" xfId="4" applyNumberFormat="1" applyFont="1" applyFill="1" applyBorder="1" applyAlignment="1" applyProtection="1">
      <alignment vertical="center"/>
      <protection locked="0"/>
    </xf>
    <xf numFmtId="0" fontId="42" fillId="0" borderId="4" xfId="0" applyFont="1" applyBorder="1" applyProtection="1">
      <protection locked="0"/>
    </xf>
    <xf numFmtId="165" fontId="46" fillId="9" borderId="6" xfId="4" applyFont="1" applyFill="1" applyBorder="1" applyProtection="1">
      <protection hidden="1"/>
    </xf>
    <xf numFmtId="3" fontId="46" fillId="9" borderId="6" xfId="4" applyNumberFormat="1" applyFont="1" applyFill="1" applyBorder="1" applyProtection="1">
      <protection locked="0"/>
    </xf>
    <xf numFmtId="0" fontId="42" fillId="0" borderId="10" xfId="0" applyFont="1" applyBorder="1" applyProtection="1">
      <protection locked="0"/>
    </xf>
    <xf numFmtId="3" fontId="42" fillId="14" borderId="6" xfId="4" applyNumberFormat="1" applyFont="1" applyFill="1" applyBorder="1" applyProtection="1">
      <protection locked="0"/>
    </xf>
    <xf numFmtId="0" fontId="12" fillId="0" borderId="6" xfId="0" applyFont="1" applyBorder="1" applyProtection="1">
      <protection locked="0"/>
    </xf>
    <xf numFmtId="165" fontId="32" fillId="0" borderId="5" xfId="4" applyFont="1" applyBorder="1" applyAlignment="1" applyProtection="1">
      <alignment vertical="center"/>
      <protection locked="0"/>
    </xf>
    <xf numFmtId="0" fontId="13" fillId="0" borderId="18" xfId="0" applyFont="1" applyBorder="1" applyProtection="1">
      <protection hidden="1"/>
    </xf>
    <xf numFmtId="0" fontId="25" fillId="0" borderId="0" xfId="0" applyFont="1" applyAlignment="1" applyProtection="1">
      <alignment vertical="center" wrapText="1"/>
      <protection locked="0"/>
    </xf>
    <xf numFmtId="0" fontId="25" fillId="10" borderId="85" xfId="0" applyFont="1" applyFill="1" applyBorder="1" applyAlignment="1" applyProtection="1">
      <alignment horizontal="center" vertical="center" wrapText="1"/>
      <protection locked="0"/>
    </xf>
    <xf numFmtId="0" fontId="25" fillId="10" borderId="88" xfId="0" applyFont="1" applyFill="1" applyBorder="1" applyAlignment="1" applyProtection="1">
      <alignment horizontal="center" vertical="center" wrapText="1"/>
      <protection locked="0"/>
    </xf>
    <xf numFmtId="0" fontId="25" fillId="10" borderId="89" xfId="0" applyFont="1" applyFill="1" applyBorder="1" applyAlignment="1" applyProtection="1">
      <alignment horizontal="center" vertical="center" wrapText="1"/>
      <protection locked="0"/>
    </xf>
    <xf numFmtId="0" fontId="25" fillId="0" borderId="96" xfId="0" applyFont="1" applyBorder="1" applyAlignment="1" applyProtection="1">
      <alignment vertical="center" wrapText="1"/>
      <protection locked="0"/>
    </xf>
    <xf numFmtId="0" fontId="68" fillId="0" borderId="87" xfId="0" applyFont="1" applyBorder="1" applyAlignment="1" applyProtection="1">
      <alignment horizontal="left" vertical="center" wrapText="1" indent="1"/>
      <protection locked="0"/>
    </xf>
    <xf numFmtId="3" fontId="68" fillId="0" borderId="88" xfId="0" applyNumberFormat="1" applyFont="1" applyBorder="1" applyAlignment="1" applyProtection="1">
      <alignment horizontal="center" vertical="center" wrapText="1"/>
      <protection locked="0"/>
    </xf>
    <xf numFmtId="3" fontId="25" fillId="0" borderId="88" xfId="0" applyNumberFormat="1" applyFont="1" applyBorder="1" applyAlignment="1" applyProtection="1">
      <alignment horizontal="right" vertical="center" wrapText="1"/>
      <protection locked="0"/>
    </xf>
    <xf numFmtId="3" fontId="25" fillId="0" borderId="89" xfId="0" applyNumberFormat="1" applyFont="1" applyBorder="1" applyAlignment="1" applyProtection="1">
      <alignment horizontal="right" vertical="center" wrapText="1"/>
      <protection locked="0"/>
    </xf>
    <xf numFmtId="0" fontId="61" fillId="0" borderId="96" xfId="0" applyFont="1" applyBorder="1" applyProtection="1">
      <protection locked="0"/>
    </xf>
    <xf numFmtId="0" fontId="61" fillId="0" borderId="0" xfId="0" applyFont="1" applyProtection="1">
      <protection locked="0"/>
    </xf>
    <xf numFmtId="0" fontId="25" fillId="0" borderId="96" xfId="0" applyFont="1" applyBorder="1" applyAlignment="1" applyProtection="1">
      <alignment horizontal="left" vertical="center" wrapText="1" indent="1"/>
      <protection locked="0"/>
    </xf>
    <xf numFmtId="0" fontId="25" fillId="0" borderId="0" xfId="0" applyFont="1" applyAlignment="1" applyProtection="1">
      <alignment horizontal="left" vertical="center" wrapText="1" indent="1"/>
      <protection locked="0"/>
    </xf>
    <xf numFmtId="3" fontId="28" fillId="4" borderId="102" xfId="0" applyNumberFormat="1" applyFont="1" applyFill="1" applyBorder="1" applyAlignment="1" applyProtection="1">
      <alignment horizontal="right" vertical="center" wrapText="1"/>
      <protection locked="0"/>
    </xf>
    <xf numFmtId="3" fontId="28" fillId="4" borderId="103" xfId="0" applyNumberFormat="1" applyFont="1" applyFill="1" applyBorder="1" applyAlignment="1" applyProtection="1">
      <alignment horizontal="right" vertical="center" wrapText="1"/>
      <protection locked="0"/>
    </xf>
    <xf numFmtId="0" fontId="25" fillId="0" borderId="104" xfId="0" applyFont="1" applyBorder="1" applyAlignment="1" applyProtection="1">
      <alignment vertical="center" wrapText="1"/>
      <protection locked="0"/>
    </xf>
    <xf numFmtId="0" fontId="25" fillId="0" borderId="105" xfId="0" applyFont="1" applyBorder="1" applyAlignment="1" applyProtection="1">
      <alignment horizontal="center" vertical="center" wrapText="1"/>
      <protection locked="0"/>
    </xf>
    <xf numFmtId="0" fontId="25" fillId="0" borderId="88" xfId="0" applyFont="1" applyBorder="1" applyAlignment="1" applyProtection="1">
      <alignment horizontal="center" vertical="center" wrapText="1"/>
      <protection locked="0"/>
    </xf>
    <xf numFmtId="0" fontId="25" fillId="0" borderId="118" xfId="0" applyFont="1" applyBorder="1" applyAlignment="1" applyProtection="1">
      <alignment horizontal="left" vertical="center" wrapText="1" indent="1"/>
      <protection locked="0"/>
    </xf>
    <xf numFmtId="3" fontId="25" fillId="0" borderId="88" xfId="0" applyNumberFormat="1" applyFont="1" applyBorder="1" applyAlignment="1" applyProtection="1">
      <alignment vertical="center" wrapText="1"/>
      <protection locked="0"/>
    </xf>
    <xf numFmtId="3" fontId="25" fillId="0" borderId="94" xfId="0" applyNumberFormat="1" applyFont="1" applyBorder="1" applyAlignment="1" applyProtection="1">
      <alignment vertical="center" wrapText="1"/>
      <protection locked="0"/>
    </xf>
    <xf numFmtId="0" fontId="28" fillId="4" borderId="87" xfId="0" applyFont="1" applyFill="1" applyBorder="1" applyAlignment="1" applyProtection="1">
      <alignment horizontal="left" vertical="center" wrapText="1" indent="1"/>
      <protection locked="0"/>
    </xf>
    <xf numFmtId="3" fontId="28" fillId="4" borderId="88" xfId="0" applyNumberFormat="1" applyFont="1" applyFill="1" applyBorder="1" applyAlignment="1" applyProtection="1">
      <alignment vertical="center" wrapText="1"/>
      <protection locked="0"/>
    </xf>
    <xf numFmtId="0" fontId="25" fillId="0" borderId="87" xfId="0" applyFont="1" applyBorder="1" applyAlignment="1" applyProtection="1">
      <alignment horizontal="left" vertical="center" wrapText="1" indent="1"/>
      <protection locked="0"/>
    </xf>
    <xf numFmtId="0" fontId="25" fillId="0" borderId="124" xfId="0" applyFont="1" applyBorder="1" applyAlignment="1" applyProtection="1">
      <alignment vertical="center"/>
      <protection locked="0"/>
    </xf>
    <xf numFmtId="0" fontId="25" fillId="0" borderId="125" xfId="0" applyFont="1" applyBorder="1" applyAlignment="1" applyProtection="1">
      <alignment vertical="center"/>
      <protection locked="0"/>
    </xf>
    <xf numFmtId="0" fontId="25" fillId="0" borderId="126" xfId="0" applyFont="1" applyBorder="1" applyAlignment="1" applyProtection="1">
      <alignment vertical="center"/>
      <protection locked="0"/>
    </xf>
    <xf numFmtId="0" fontId="25" fillId="0" borderId="127" xfId="0" applyFont="1" applyBorder="1" applyAlignment="1" applyProtection="1">
      <alignment horizontal="left" vertical="center" indent="1"/>
      <protection locked="0"/>
    </xf>
    <xf numFmtId="3" fontId="25" fillId="0" borderId="102" xfId="0" applyNumberFormat="1" applyFont="1" applyBorder="1" applyAlignment="1" applyProtection="1">
      <alignment vertical="center"/>
      <protection locked="0"/>
    </xf>
    <xf numFmtId="0" fontId="25" fillId="0" borderId="0" xfId="0" applyFont="1" applyAlignment="1" applyProtection="1">
      <alignment vertical="center"/>
      <protection locked="0"/>
    </xf>
    <xf numFmtId="0" fontId="72" fillId="0" borderId="131" xfId="0" applyFont="1" applyBorder="1" applyAlignment="1" applyProtection="1">
      <alignment vertical="center"/>
      <protection locked="0"/>
    </xf>
    <xf numFmtId="9" fontId="61" fillId="0" borderId="132" xfId="0" applyNumberFormat="1" applyFont="1" applyBorder="1" applyAlignment="1" applyProtection="1">
      <alignment horizontal="right" vertical="center"/>
      <protection locked="0"/>
    </xf>
    <xf numFmtId="14" fontId="61" fillId="0" borderId="132" xfId="0" applyNumberFormat="1" applyFont="1" applyBorder="1" applyAlignment="1" applyProtection="1">
      <alignment horizontal="center" vertical="center"/>
      <protection locked="0"/>
    </xf>
    <xf numFmtId="3" fontId="61" fillId="0" borderId="132" xfId="0" applyNumberFormat="1" applyFont="1" applyBorder="1" applyAlignment="1" applyProtection="1">
      <alignment vertical="center"/>
      <protection locked="0"/>
    </xf>
    <xf numFmtId="3" fontId="73" fillId="4" borderId="133" xfId="0" applyNumberFormat="1" applyFont="1" applyFill="1" applyBorder="1" applyAlignment="1" applyProtection="1">
      <alignment vertical="center"/>
      <protection locked="0"/>
    </xf>
    <xf numFmtId="3" fontId="61" fillId="0" borderId="134" xfId="0" applyNumberFormat="1" applyFont="1" applyBorder="1" applyAlignment="1" applyProtection="1">
      <alignment vertical="center"/>
      <protection locked="0"/>
    </xf>
    <xf numFmtId="0" fontId="72" fillId="0" borderId="87" xfId="0" applyFont="1" applyBorder="1" applyAlignment="1" applyProtection="1">
      <alignment vertical="center"/>
      <protection locked="0"/>
    </xf>
    <xf numFmtId="9" fontId="61" fillId="0" borderId="88" xfId="0" applyNumberFormat="1" applyFont="1" applyBorder="1" applyAlignment="1" applyProtection="1">
      <alignment horizontal="right" vertical="center"/>
      <protection locked="0"/>
    </xf>
    <xf numFmtId="14" fontId="61" fillId="0" borderId="88" xfId="0" applyNumberFormat="1" applyFont="1" applyBorder="1" applyAlignment="1" applyProtection="1">
      <alignment horizontal="center" vertical="center"/>
      <protection locked="0"/>
    </xf>
    <xf numFmtId="3" fontId="61" fillId="0" borderId="88" xfId="0" applyNumberFormat="1" applyFont="1" applyBorder="1" applyAlignment="1" applyProtection="1">
      <alignment vertical="center"/>
      <protection locked="0"/>
    </xf>
    <xf numFmtId="3" fontId="73" fillId="4" borderId="88" xfId="0" applyNumberFormat="1" applyFont="1" applyFill="1" applyBorder="1" applyAlignment="1" applyProtection="1">
      <alignment vertical="center"/>
      <protection locked="0"/>
    </xf>
    <xf numFmtId="3" fontId="61" fillId="0" borderId="89" xfId="0" applyNumberFormat="1" applyFont="1" applyBorder="1" applyAlignment="1" applyProtection="1">
      <alignment vertical="center"/>
      <protection locked="0"/>
    </xf>
    <xf numFmtId="0" fontId="72" fillId="0" borderId="84" xfId="0" applyFont="1" applyBorder="1" applyAlignment="1" applyProtection="1">
      <alignment vertical="center"/>
      <protection locked="0"/>
    </xf>
    <xf numFmtId="9" fontId="61" fillId="0" borderId="85" xfId="0" applyNumberFormat="1" applyFont="1" applyBorder="1" applyAlignment="1" applyProtection="1">
      <alignment horizontal="right" vertical="center"/>
      <protection locked="0"/>
    </xf>
    <xf numFmtId="14" fontId="61" fillId="0" borderId="85" xfId="0" applyNumberFormat="1" applyFont="1" applyBorder="1" applyAlignment="1" applyProtection="1">
      <alignment horizontal="center" vertical="center"/>
      <protection locked="0"/>
    </xf>
    <xf numFmtId="3" fontId="61" fillId="0" borderId="85" xfId="0" applyNumberFormat="1" applyFont="1" applyBorder="1" applyAlignment="1" applyProtection="1">
      <alignment vertical="center"/>
      <protection locked="0"/>
    </xf>
    <xf numFmtId="3" fontId="73" fillId="4" borderId="94" xfId="0" applyNumberFormat="1" applyFont="1" applyFill="1" applyBorder="1" applyAlignment="1" applyProtection="1">
      <alignment vertical="center"/>
      <protection locked="0"/>
    </xf>
    <xf numFmtId="3" fontId="61" fillId="0" borderId="86" xfId="0" applyNumberFormat="1" applyFont="1" applyBorder="1" applyAlignment="1" applyProtection="1">
      <alignment vertical="center"/>
      <protection locked="0"/>
    </xf>
    <xf numFmtId="3" fontId="73" fillId="4" borderId="138" xfId="0" applyNumberFormat="1" applyFont="1" applyFill="1" applyBorder="1" applyAlignment="1" applyProtection="1">
      <alignment vertical="center"/>
      <protection locked="0"/>
    </xf>
    <xf numFmtId="3" fontId="73" fillId="4" borderId="139" xfId="0" applyNumberFormat="1" applyFont="1" applyFill="1" applyBorder="1" applyAlignment="1" applyProtection="1">
      <alignment vertical="center"/>
      <protection locked="0"/>
    </xf>
    <xf numFmtId="0" fontId="19" fillId="0" borderId="0" xfId="0" applyFont="1" applyAlignment="1" applyProtection="1">
      <alignment vertical="center"/>
      <protection locked="0"/>
    </xf>
    <xf numFmtId="0" fontId="42" fillId="10" borderId="140" xfId="0" applyFont="1" applyFill="1" applyBorder="1" applyAlignment="1" applyProtection="1">
      <alignment horizontal="center" vertical="center" wrapText="1"/>
      <protection locked="0"/>
    </xf>
    <xf numFmtId="3" fontId="42" fillId="0" borderId="5" xfId="0" applyNumberFormat="1" applyFont="1" applyBorder="1" applyAlignment="1" applyProtection="1">
      <alignment vertical="center"/>
      <protection locked="0"/>
    </xf>
    <xf numFmtId="3" fontId="46" fillId="4" borderId="5" xfId="0" applyNumberFormat="1" applyFont="1" applyFill="1" applyBorder="1" applyAlignment="1" applyProtection="1">
      <alignment vertical="center"/>
      <protection locked="0"/>
    </xf>
    <xf numFmtId="3" fontId="42" fillId="0" borderId="6" xfId="0" applyNumberFormat="1" applyFont="1" applyBorder="1" applyAlignment="1" applyProtection="1">
      <alignment vertical="center"/>
      <protection locked="0"/>
    </xf>
    <xf numFmtId="3" fontId="46" fillId="4" borderId="6" xfId="0" applyNumberFormat="1" applyFont="1" applyFill="1" applyBorder="1" applyAlignment="1" applyProtection="1">
      <alignment vertical="center"/>
      <protection locked="0"/>
    </xf>
    <xf numFmtId="0" fontId="46" fillId="4" borderId="146" xfId="0" applyFont="1" applyFill="1" applyBorder="1" applyAlignment="1" applyProtection="1">
      <alignment vertical="center"/>
      <protection locked="0"/>
    </xf>
    <xf numFmtId="0" fontId="46" fillId="4" borderId="147" xfId="0" applyFont="1" applyFill="1" applyBorder="1" applyAlignment="1" applyProtection="1">
      <alignment vertical="center"/>
      <protection locked="0"/>
    </xf>
    <xf numFmtId="3" fontId="46" fillId="4" borderId="147" xfId="0" applyNumberFormat="1" applyFont="1" applyFill="1" applyBorder="1" applyAlignment="1" applyProtection="1">
      <alignment vertical="center"/>
      <protection locked="0"/>
    </xf>
    <xf numFmtId="0" fontId="26" fillId="10" borderId="150" xfId="2" applyFont="1" applyFill="1" applyBorder="1" applyAlignment="1" applyProtection="1">
      <alignment horizontal="center" vertical="center" wrapText="1"/>
      <protection locked="0"/>
    </xf>
    <xf numFmtId="3" fontId="32" fillId="15" borderId="6" xfId="2" applyNumberFormat="1" applyFont="1" applyFill="1" applyBorder="1" applyAlignment="1" applyProtection="1">
      <alignment horizontal="right" vertical="center"/>
      <protection locked="0"/>
    </xf>
    <xf numFmtId="3" fontId="32" fillId="0" borderId="6" xfId="2" applyNumberFormat="1" applyFont="1" applyBorder="1" applyAlignment="1" applyProtection="1">
      <alignment horizontal="right" vertical="center"/>
      <protection locked="0"/>
    </xf>
    <xf numFmtId="3" fontId="26" fillId="4" borderId="147" xfId="2" applyNumberFormat="1" applyFont="1" applyFill="1" applyBorder="1" applyAlignment="1" applyProtection="1">
      <alignment horizontal="right" vertical="center"/>
      <protection locked="0"/>
    </xf>
    <xf numFmtId="3" fontId="12" fillId="0" borderId="6" xfId="0" applyNumberFormat="1" applyFont="1" applyBorder="1" applyProtection="1">
      <protection locked="0"/>
    </xf>
    <xf numFmtId="0" fontId="19" fillId="4" borderId="6" xfId="0" applyFont="1" applyFill="1" applyBorder="1" applyAlignment="1" applyProtection="1">
      <alignment horizontal="center" vertical="center"/>
      <protection locked="0"/>
    </xf>
    <xf numFmtId="0" fontId="19" fillId="4" borderId="6" xfId="0" applyFont="1" applyFill="1" applyBorder="1" applyAlignment="1" applyProtection="1">
      <alignment horizontal="center" vertical="center" wrapText="1"/>
      <protection locked="0"/>
    </xf>
    <xf numFmtId="3" fontId="19" fillId="0" borderId="6" xfId="0" applyNumberFormat="1" applyFont="1" applyBorder="1" applyProtection="1">
      <protection locked="0"/>
    </xf>
    <xf numFmtId="0" fontId="28" fillId="0" borderId="146" xfId="0" applyFont="1" applyBorder="1" applyAlignment="1" applyProtection="1">
      <alignment horizontal="center" vertical="center" wrapText="1"/>
      <protection locked="0"/>
    </xf>
    <xf numFmtId="0" fontId="32" fillId="0" borderId="156" xfId="0" applyFont="1" applyBorder="1" applyAlignment="1" applyProtection="1">
      <alignment wrapText="1"/>
      <protection locked="0"/>
    </xf>
    <xf numFmtId="3" fontId="23" fillId="0" borderId="5" xfId="0" applyNumberFormat="1" applyFont="1" applyBorder="1" applyProtection="1">
      <protection locked="0"/>
    </xf>
    <xf numFmtId="0" fontId="23" fillId="0" borderId="5" xfId="0" applyFont="1" applyBorder="1" applyProtection="1">
      <protection locked="0"/>
    </xf>
    <xf numFmtId="3" fontId="23" fillId="0" borderId="6" xfId="0" applyNumberFormat="1" applyFont="1" applyBorder="1" applyProtection="1">
      <protection locked="0"/>
    </xf>
    <xf numFmtId="3" fontId="23" fillId="0" borderId="143" xfId="0" applyNumberFormat="1" applyFont="1" applyBorder="1" applyProtection="1">
      <protection locked="0"/>
    </xf>
    <xf numFmtId="0" fontId="32" fillId="0" borderId="153" xfId="0" applyFont="1" applyBorder="1" applyAlignment="1" applyProtection="1">
      <alignment wrapText="1"/>
      <protection locked="0"/>
    </xf>
    <xf numFmtId="0" fontId="23" fillId="0" borderId="6" xfId="0" applyFont="1" applyBorder="1" applyProtection="1">
      <protection locked="0"/>
    </xf>
    <xf numFmtId="3" fontId="23" fillId="0" borderId="145" xfId="0" applyNumberFormat="1" applyFont="1" applyBorder="1" applyProtection="1">
      <protection locked="0"/>
    </xf>
    <xf numFmtId="0" fontId="32" fillId="0" borderId="153" xfId="0" applyFont="1" applyBorder="1" applyProtection="1">
      <protection locked="0"/>
    </xf>
    <xf numFmtId="0" fontId="23" fillId="0" borderId="153" xfId="0" applyFont="1" applyBorder="1" applyProtection="1">
      <protection locked="0"/>
    </xf>
    <xf numFmtId="0" fontId="23" fillId="0" borderId="146" xfId="0" applyFont="1" applyBorder="1" applyProtection="1">
      <protection locked="0"/>
    </xf>
    <xf numFmtId="3" fontId="23" fillId="0" borderId="147" xfId="0" applyNumberFormat="1" applyFont="1" applyBorder="1" applyProtection="1">
      <protection locked="0"/>
    </xf>
    <xf numFmtId="0" fontId="23" fillId="0" borderId="147" xfId="0" applyFont="1" applyBorder="1" applyProtection="1">
      <protection locked="0"/>
    </xf>
    <xf numFmtId="3" fontId="23" fillId="0" borderId="148" xfId="0" applyNumberFormat="1" applyFont="1" applyBorder="1" applyProtection="1">
      <protection locked="0"/>
    </xf>
    <xf numFmtId="3" fontId="31" fillId="0" borderId="77" xfId="0" applyNumberFormat="1" applyFont="1" applyBorder="1" applyProtection="1">
      <protection locked="0"/>
    </xf>
    <xf numFmtId="0" fontId="31" fillId="0" borderId="77" xfId="0" applyFont="1" applyBorder="1" applyProtection="1">
      <protection locked="0"/>
    </xf>
    <xf numFmtId="3" fontId="31" fillId="0" borderId="78" xfId="0" applyNumberFormat="1" applyFont="1" applyBorder="1" applyProtection="1">
      <protection locked="0"/>
    </xf>
    <xf numFmtId="0" fontId="28" fillId="10" borderId="6" xfId="0" applyFont="1" applyFill="1" applyBorder="1" applyAlignment="1" applyProtection="1">
      <alignment horizontal="center" vertical="center" wrapText="1"/>
      <protection locked="0"/>
    </xf>
    <xf numFmtId="0" fontId="73" fillId="0" borderId="6" xfId="0" applyFont="1" applyBorder="1" applyAlignment="1" applyProtection="1">
      <alignment horizontal="center" vertical="center" wrapText="1"/>
      <protection locked="0"/>
    </xf>
    <xf numFmtId="3" fontId="73" fillId="0" borderId="6" xfId="0" applyNumberFormat="1" applyFont="1" applyBorder="1" applyAlignment="1" applyProtection="1">
      <alignment horizontal="center" vertical="center" wrapText="1"/>
      <protection locked="0"/>
    </xf>
    <xf numFmtId="0" fontId="61" fillId="0" borderId="6" xfId="0" applyFont="1" applyBorder="1" applyAlignment="1" applyProtection="1">
      <alignment wrapText="1"/>
      <protection locked="0"/>
    </xf>
    <xf numFmtId="0" fontId="61" fillId="0" borderId="6" xfId="0" applyFont="1" applyBorder="1" applyProtection="1">
      <protection locked="0"/>
    </xf>
    <xf numFmtId="3" fontId="61" fillId="0" borderId="6" xfId="0" applyNumberFormat="1" applyFont="1" applyBorder="1" applyProtection="1">
      <protection locked="0"/>
    </xf>
    <xf numFmtId="3" fontId="31" fillId="0" borderId="6" xfId="0" applyNumberFormat="1" applyFont="1" applyBorder="1" applyProtection="1">
      <protection locked="0"/>
    </xf>
    <xf numFmtId="3" fontId="11" fillId="0" borderId="0" xfId="0" applyNumberFormat="1" applyFont="1" applyAlignment="1" applyProtection="1">
      <alignment vertical="center"/>
      <protection hidden="1"/>
    </xf>
    <xf numFmtId="0" fontId="11" fillId="0" borderId="0" xfId="0" quotePrefix="1" applyFont="1" applyAlignment="1" applyProtection="1">
      <alignment vertical="center"/>
      <protection hidden="1"/>
    </xf>
    <xf numFmtId="0" fontId="47" fillId="0" borderId="96" xfId="0" applyFont="1" applyBorder="1" applyAlignment="1" applyProtection="1">
      <alignment vertical="center" wrapText="1"/>
      <protection hidden="1"/>
    </xf>
    <xf numFmtId="0" fontId="72" fillId="0" borderId="6" xfId="0" applyFont="1" applyBorder="1" applyAlignment="1" applyProtection="1">
      <alignment horizontal="left" vertical="center" indent="1"/>
      <protection locked="0"/>
    </xf>
    <xf numFmtId="0" fontId="72" fillId="0" borderId="6" xfId="0" applyFont="1" applyBorder="1" applyAlignment="1" applyProtection="1">
      <alignment horizontal="center" vertical="center"/>
      <protection locked="0"/>
    </xf>
    <xf numFmtId="3" fontId="61" fillId="0" borderId="6" xfId="0" applyNumberFormat="1" applyFont="1" applyBorder="1" applyAlignment="1" applyProtection="1">
      <alignment horizontal="right" vertical="center"/>
      <protection locked="0"/>
    </xf>
    <xf numFmtId="3" fontId="12" fillId="15" borderId="6" xfId="0" applyNumberFormat="1" applyFont="1" applyFill="1" applyBorder="1" applyProtection="1">
      <protection locked="0"/>
    </xf>
    <xf numFmtId="0" fontId="1" fillId="4" borderId="6" xfId="0" applyFont="1" applyFill="1" applyBorder="1" applyAlignment="1">
      <alignment horizontal="center"/>
    </xf>
    <xf numFmtId="0" fontId="1" fillId="4" borderId="7" xfId="0" applyFont="1" applyFill="1" applyBorder="1" applyAlignment="1">
      <alignment horizontal="center" vertical="center"/>
    </xf>
    <xf numFmtId="164" fontId="3" fillId="2" borderId="6" xfId="0" applyNumberFormat="1" applyFont="1" applyFill="1" applyBorder="1" applyAlignment="1" applyProtection="1">
      <alignment horizontal="center" vertical="center"/>
      <protection locked="0"/>
    </xf>
    <xf numFmtId="3" fontId="3" fillId="0" borderId="4" xfId="0" applyNumberFormat="1" applyFont="1" applyBorder="1" applyAlignment="1">
      <alignment horizontal="right" vertical="center"/>
    </xf>
    <xf numFmtId="3" fontId="3" fillId="0" borderId="0" xfId="0" applyNumberFormat="1" applyFont="1" applyAlignment="1">
      <alignment horizontal="right" vertical="center"/>
    </xf>
    <xf numFmtId="14" fontId="3" fillId="2" borderId="1" xfId="0" applyNumberFormat="1" applyFont="1" applyFill="1" applyBorder="1" applyAlignment="1" applyProtection="1">
      <alignment horizontal="center" vertical="center"/>
      <protection locked="0"/>
    </xf>
    <xf numFmtId="14" fontId="3" fillId="2" borderId="3" xfId="0" applyNumberFormat="1" applyFont="1" applyFill="1" applyBorder="1" applyAlignment="1" applyProtection="1">
      <alignment horizontal="center" vertical="center"/>
      <protection locked="0"/>
    </xf>
    <xf numFmtId="0" fontId="3" fillId="2" borderId="1" xfId="0" applyFont="1" applyFill="1" applyBorder="1" applyAlignment="1" applyProtection="1">
      <alignment horizontal="center" vertical="center"/>
      <protection locked="0"/>
    </xf>
    <xf numFmtId="2" fontId="3" fillId="2" borderId="3" xfId="0" applyNumberFormat="1" applyFont="1" applyFill="1" applyBorder="1" applyAlignment="1" applyProtection="1">
      <alignment horizontal="center" vertical="center"/>
      <protection locked="0"/>
    </xf>
    <xf numFmtId="164" fontId="3" fillId="2" borderId="6" xfId="0" quotePrefix="1" applyNumberFormat="1" applyFont="1" applyFill="1" applyBorder="1" applyAlignment="1" applyProtection="1">
      <alignment horizontal="center" vertical="center"/>
      <protection locked="0"/>
    </xf>
    <xf numFmtId="3" fontId="4" fillId="2" borderId="1" xfId="0" applyNumberFormat="1" applyFont="1" applyFill="1" applyBorder="1" applyAlignment="1" applyProtection="1">
      <alignment horizontal="center" vertical="center"/>
      <protection locked="0"/>
    </xf>
    <xf numFmtId="3" fontId="4" fillId="2" borderId="2" xfId="0" applyNumberFormat="1" applyFont="1" applyFill="1" applyBorder="1" applyAlignment="1" applyProtection="1">
      <alignment horizontal="center" vertical="center"/>
      <protection locked="0"/>
    </xf>
    <xf numFmtId="3" fontId="4" fillId="2" borderId="3" xfId="0" applyNumberFormat="1" applyFont="1" applyFill="1" applyBorder="1" applyAlignment="1" applyProtection="1">
      <alignment horizontal="center" vertical="center"/>
      <protection locked="0"/>
    </xf>
    <xf numFmtId="0" fontId="10" fillId="2" borderId="1" xfId="1" applyFont="1" applyFill="1" applyBorder="1" applyAlignment="1" applyProtection="1">
      <alignment horizontal="center" vertical="center"/>
      <protection locked="0"/>
    </xf>
    <xf numFmtId="0" fontId="10" fillId="2" borderId="3" xfId="1" applyFont="1" applyFill="1" applyBorder="1" applyAlignment="1" applyProtection="1">
      <alignment horizontal="center" vertical="center"/>
      <protection locked="0"/>
    </xf>
    <xf numFmtId="0" fontId="9" fillId="2" borderId="6" xfId="0" applyFont="1" applyFill="1" applyBorder="1" applyAlignment="1" applyProtection="1">
      <alignment horizontal="center" vertical="center"/>
      <protection locked="0"/>
    </xf>
    <xf numFmtId="3" fontId="2" fillId="0" borderId="1" xfId="0" applyNumberFormat="1" applyFont="1" applyBorder="1" applyAlignment="1">
      <alignment horizontal="center" vertical="center"/>
    </xf>
    <xf numFmtId="3" fontId="2" fillId="0" borderId="2" xfId="0" applyNumberFormat="1" applyFont="1" applyBorder="1" applyAlignment="1">
      <alignment horizontal="center" vertical="center"/>
    </xf>
    <xf numFmtId="3" fontId="2" fillId="0" borderId="3" xfId="0" applyNumberFormat="1" applyFont="1" applyBorder="1" applyAlignment="1">
      <alignment horizontal="center" vertical="center"/>
    </xf>
    <xf numFmtId="0" fontId="3" fillId="2" borderId="5" xfId="0" applyFont="1" applyFill="1" applyBorder="1" applyAlignment="1" applyProtection="1">
      <alignment horizontal="center" vertical="center"/>
      <protection locked="0"/>
    </xf>
    <xf numFmtId="0" fontId="3" fillId="2" borderId="6" xfId="0" applyFont="1" applyFill="1" applyBorder="1" applyAlignment="1" applyProtection="1">
      <alignment horizontal="center" vertical="center"/>
      <protection locked="0"/>
    </xf>
    <xf numFmtId="0" fontId="3" fillId="2" borderId="2" xfId="0" applyFont="1" applyFill="1" applyBorder="1" applyAlignment="1" applyProtection="1">
      <alignment horizontal="center" vertical="center"/>
      <protection locked="0"/>
    </xf>
    <xf numFmtId="0" fontId="3" fillId="2" borderId="3" xfId="0" applyFont="1" applyFill="1" applyBorder="1" applyAlignment="1" applyProtection="1">
      <alignment horizontal="center" vertical="center"/>
      <protection locked="0"/>
    </xf>
    <xf numFmtId="0" fontId="3" fillId="2" borderId="6" xfId="0" quotePrefix="1" applyFont="1" applyFill="1" applyBorder="1" applyAlignment="1" applyProtection="1">
      <alignment horizontal="center" vertical="center"/>
      <protection locked="0"/>
    </xf>
    <xf numFmtId="0" fontId="8" fillId="0" borderId="8" xfId="1" applyFont="1" applyBorder="1" applyAlignment="1">
      <alignment horizontal="center" vertical="center"/>
    </xf>
    <xf numFmtId="0" fontId="8" fillId="0" borderId="9" xfId="1" applyFont="1" applyBorder="1" applyAlignment="1">
      <alignment horizontal="center" vertical="center"/>
    </xf>
    <xf numFmtId="0" fontId="3" fillId="2" borderId="7" xfId="0" applyFont="1" applyFill="1" applyBorder="1" applyAlignment="1" applyProtection="1">
      <alignment horizontal="center" vertical="center"/>
      <protection locked="0"/>
    </xf>
    <xf numFmtId="3" fontId="4" fillId="0" borderId="1" xfId="0" applyNumberFormat="1" applyFont="1" applyBorder="1" applyAlignment="1">
      <alignment horizontal="right" vertical="center"/>
    </xf>
    <xf numFmtId="3" fontId="4" fillId="0" borderId="2" xfId="0" applyNumberFormat="1" applyFont="1" applyBorder="1" applyAlignment="1">
      <alignment horizontal="right" vertical="center"/>
    </xf>
    <xf numFmtId="3" fontId="5" fillId="0" borderId="8" xfId="0" applyNumberFormat="1" applyFont="1" applyBorder="1" applyAlignment="1">
      <alignment horizontal="center" vertical="center"/>
    </xf>
    <xf numFmtId="3" fontId="5" fillId="0" borderId="9" xfId="0" applyNumberFormat="1" applyFont="1" applyBorder="1" applyAlignment="1">
      <alignment horizontal="center" vertical="center"/>
    </xf>
    <xf numFmtId="0" fontId="6" fillId="0" borderId="10" xfId="0" applyFont="1" applyBorder="1" applyAlignment="1" applyProtection="1">
      <alignment horizontal="center" vertical="center"/>
      <protection locked="0"/>
    </xf>
    <xf numFmtId="0" fontId="6" fillId="0" borderId="11" xfId="0" applyFont="1" applyBorder="1" applyAlignment="1" applyProtection="1">
      <alignment horizontal="center" vertical="center"/>
      <protection locked="0"/>
    </xf>
    <xf numFmtId="0" fontId="6" fillId="0" borderId="12" xfId="0" applyFont="1" applyBorder="1" applyAlignment="1" applyProtection="1">
      <alignment horizontal="center" vertical="center"/>
      <protection locked="0"/>
    </xf>
    <xf numFmtId="3" fontId="3" fillId="2" borderId="1" xfId="0" applyNumberFormat="1" applyFont="1" applyFill="1" applyBorder="1" applyAlignment="1" applyProtection="1">
      <alignment horizontal="center" vertical="center"/>
      <protection locked="0"/>
    </xf>
    <xf numFmtId="3" fontId="3" fillId="2" borderId="2" xfId="0" applyNumberFormat="1" applyFont="1" applyFill="1" applyBorder="1" applyAlignment="1" applyProtection="1">
      <alignment horizontal="center" vertical="center"/>
      <protection locked="0"/>
    </xf>
    <xf numFmtId="3" fontId="3" fillId="2" borderId="3" xfId="0" applyNumberFormat="1" applyFont="1" applyFill="1" applyBorder="1" applyAlignment="1" applyProtection="1">
      <alignment horizontal="center" vertical="center"/>
      <protection locked="0"/>
    </xf>
    <xf numFmtId="0" fontId="1" fillId="4" borderId="6" xfId="0" applyFont="1" applyFill="1" applyBorder="1" applyAlignment="1">
      <alignment horizontal="center" vertical="center"/>
    </xf>
    <xf numFmtId="0" fontId="19" fillId="0" borderId="4" xfId="0" applyFont="1" applyBorder="1" applyAlignment="1" applyProtection="1">
      <alignment horizontal="left" vertical="center"/>
      <protection hidden="1"/>
    </xf>
    <xf numFmtId="0" fontId="19" fillId="0" borderId="0" xfId="0" applyFont="1" applyAlignment="1" applyProtection="1">
      <alignment horizontal="left" vertical="center"/>
      <protection hidden="1"/>
    </xf>
    <xf numFmtId="0" fontId="19" fillId="0" borderId="4" xfId="0" applyFont="1" applyBorder="1" applyAlignment="1" applyProtection="1">
      <alignment horizontal="center" vertical="top"/>
      <protection hidden="1"/>
    </xf>
    <xf numFmtId="0" fontId="19" fillId="0" borderId="0" xfId="0" applyFont="1" applyAlignment="1" applyProtection="1">
      <alignment horizontal="center" vertical="top"/>
      <protection hidden="1"/>
    </xf>
    <xf numFmtId="0" fontId="19" fillId="0" borderId="17" xfId="0" applyFont="1" applyBorder="1" applyAlignment="1" applyProtection="1">
      <alignment horizontal="center" vertical="top"/>
      <protection hidden="1"/>
    </xf>
    <xf numFmtId="0" fontId="19" fillId="0" borderId="10" xfId="0" applyFont="1" applyBorder="1" applyAlignment="1" applyProtection="1">
      <alignment horizontal="center" vertical="top"/>
      <protection hidden="1"/>
    </xf>
    <xf numFmtId="0" fontId="19" fillId="0" borderId="11" xfId="0" applyFont="1" applyBorder="1" applyAlignment="1" applyProtection="1">
      <alignment horizontal="center" vertical="top"/>
      <protection hidden="1"/>
    </xf>
    <xf numFmtId="0" fontId="19" fillId="0" borderId="12" xfId="0" applyFont="1" applyBorder="1" applyAlignment="1" applyProtection="1">
      <alignment horizontal="center" vertical="top"/>
      <protection hidden="1"/>
    </xf>
    <xf numFmtId="0" fontId="19" fillId="0" borderId="15" xfId="0" applyFont="1" applyBorder="1" applyAlignment="1" applyProtection="1">
      <alignment horizontal="left" vertical="center"/>
      <protection hidden="1"/>
    </xf>
    <xf numFmtId="0" fontId="19" fillId="0" borderId="8" xfId="0" applyFont="1" applyBorder="1" applyAlignment="1" applyProtection="1">
      <alignment horizontal="left" vertical="center"/>
      <protection hidden="1"/>
    </xf>
    <xf numFmtId="0" fontId="19" fillId="0" borderId="15" xfId="0" applyFont="1" applyBorder="1" applyAlignment="1" applyProtection="1">
      <alignment horizontal="center" vertical="top"/>
      <protection hidden="1"/>
    </xf>
    <xf numFmtId="0" fontId="19" fillId="0" borderId="8" xfId="0" applyFont="1" applyBorder="1" applyAlignment="1" applyProtection="1">
      <alignment horizontal="center" vertical="top"/>
      <protection hidden="1"/>
    </xf>
    <xf numFmtId="0" fontId="19" fillId="0" borderId="9" xfId="0" applyFont="1" applyBorder="1" applyAlignment="1" applyProtection="1">
      <alignment horizontal="center" vertical="top"/>
      <protection hidden="1"/>
    </xf>
    <xf numFmtId="0" fontId="14" fillId="0" borderId="0" xfId="0" applyFont="1" applyAlignment="1" applyProtection="1">
      <alignment horizontal="center" vertical="center"/>
      <protection hidden="1"/>
    </xf>
    <xf numFmtId="0" fontId="12" fillId="0" borderId="0" xfId="0" applyFont="1" applyAlignment="1" applyProtection="1">
      <alignment horizontal="left" vertical="center"/>
      <protection hidden="1"/>
    </xf>
    <xf numFmtId="0" fontId="13" fillId="0" borderId="13" xfId="0" applyFont="1" applyBorder="1" applyAlignment="1" applyProtection="1">
      <alignment horizontal="center" vertical="center" wrapText="1"/>
      <protection hidden="1"/>
    </xf>
    <xf numFmtId="0" fontId="13" fillId="0" borderId="14" xfId="0" applyFont="1" applyBorder="1" applyAlignment="1" applyProtection="1">
      <alignment horizontal="center" vertical="center" wrapText="1"/>
      <protection hidden="1"/>
    </xf>
    <xf numFmtId="0" fontId="13" fillId="0" borderId="14" xfId="0" applyFont="1" applyBorder="1" applyAlignment="1" applyProtection="1">
      <alignment horizontal="center" vertical="center"/>
      <protection hidden="1"/>
    </xf>
    <xf numFmtId="0" fontId="13" fillId="0" borderId="13" xfId="0" applyFont="1" applyBorder="1" applyAlignment="1" applyProtection="1">
      <alignment horizontal="center" vertical="center"/>
      <protection hidden="1"/>
    </xf>
    <xf numFmtId="14" fontId="13" fillId="0" borderId="14" xfId="0" applyNumberFormat="1" applyFont="1" applyBorder="1" applyAlignment="1" applyProtection="1">
      <alignment horizontal="center" vertical="center"/>
      <protection hidden="1"/>
    </xf>
    <xf numFmtId="0" fontId="12" fillId="0" borderId="0" xfId="0" applyFont="1" applyAlignment="1" applyProtection="1">
      <alignment horizontal="center" vertical="center"/>
      <protection hidden="1"/>
    </xf>
    <xf numFmtId="0" fontId="15" fillId="0" borderId="0" xfId="0" applyFont="1" applyAlignment="1" applyProtection="1">
      <alignment horizontal="center" vertical="center"/>
      <protection hidden="1"/>
    </xf>
    <xf numFmtId="0" fontId="15" fillId="0" borderId="14" xfId="0" applyFont="1" applyBorder="1" applyAlignment="1" applyProtection="1">
      <alignment horizontal="center" vertical="center"/>
      <protection hidden="1"/>
    </xf>
    <xf numFmtId="3" fontId="15" fillId="0" borderId="14" xfId="0" applyNumberFormat="1" applyFont="1" applyBorder="1" applyAlignment="1" applyProtection="1">
      <alignment horizontal="center" vertical="center" wrapText="1"/>
      <protection hidden="1"/>
    </xf>
    <xf numFmtId="0" fontId="15" fillId="0" borderId="14" xfId="0" applyFont="1" applyBorder="1" applyAlignment="1" applyProtection="1">
      <alignment horizontal="center" vertical="center" wrapText="1"/>
      <protection hidden="1"/>
    </xf>
    <xf numFmtId="1" fontId="15" fillId="0" borderId="14" xfId="0" applyNumberFormat="1" applyFont="1" applyBorder="1" applyAlignment="1" applyProtection="1">
      <alignment horizontal="center" vertical="center"/>
      <protection hidden="1"/>
    </xf>
    <xf numFmtId="0" fontId="15" fillId="0" borderId="0" xfId="0" applyFont="1" applyAlignment="1" applyProtection="1">
      <alignment horizontal="center" vertical="center" wrapText="1"/>
      <protection hidden="1"/>
    </xf>
    <xf numFmtId="14" fontId="15" fillId="0" borderId="0" xfId="0" applyNumberFormat="1" applyFont="1" applyAlignment="1" applyProtection="1">
      <alignment horizontal="center" vertical="center"/>
      <protection hidden="1"/>
    </xf>
    <xf numFmtId="0" fontId="15" fillId="0" borderId="13" xfId="0" applyFont="1" applyBorder="1" applyAlignment="1" applyProtection="1">
      <alignment horizontal="center" vertical="center"/>
      <protection hidden="1"/>
    </xf>
    <xf numFmtId="3" fontId="15" fillId="0" borderId="0" xfId="0" applyNumberFormat="1" applyFont="1" applyAlignment="1" applyProtection="1">
      <alignment horizontal="center" vertical="center" wrapText="1"/>
      <protection hidden="1"/>
    </xf>
    <xf numFmtId="0" fontId="13" fillId="0" borderId="0" xfId="0" applyFont="1" applyAlignment="1" applyProtection="1">
      <alignment horizontal="center" vertical="center"/>
      <protection locked="0"/>
    </xf>
    <xf numFmtId="0" fontId="14" fillId="0" borderId="0" xfId="0" applyFont="1" applyAlignment="1" applyProtection="1">
      <alignment horizontal="center" vertical="center"/>
      <protection locked="0"/>
    </xf>
    <xf numFmtId="0" fontId="21" fillId="0" borderId="0" xfId="2" applyFont="1" applyAlignment="1" applyProtection="1">
      <alignment horizontal="center"/>
      <protection hidden="1"/>
    </xf>
    <xf numFmtId="0" fontId="21" fillId="0" borderId="0" xfId="2" applyFont="1" applyAlignment="1" applyProtection="1">
      <alignment vertical="center" wrapText="1"/>
      <protection hidden="1"/>
    </xf>
    <xf numFmtId="49" fontId="24" fillId="0" borderId="0" xfId="1" applyNumberFormat="1" applyFont="1" applyAlignment="1" applyProtection="1">
      <alignment horizontal="center"/>
      <protection hidden="1"/>
    </xf>
    <xf numFmtId="1" fontId="21" fillId="0" borderId="0" xfId="1" applyNumberFormat="1" applyFont="1" applyAlignment="1" applyProtection="1">
      <alignment horizontal="center" vertical="center"/>
      <protection hidden="1"/>
    </xf>
    <xf numFmtId="0" fontId="21" fillId="0" borderId="0" xfId="1" applyFont="1" applyAlignment="1" applyProtection="1">
      <alignment horizontal="center" vertical="center"/>
      <protection hidden="1"/>
    </xf>
    <xf numFmtId="0" fontId="26" fillId="0" borderId="15" xfId="1" applyFont="1" applyBorder="1" applyAlignment="1" applyProtection="1">
      <alignment horizontal="center" vertical="center"/>
      <protection hidden="1"/>
    </xf>
    <xf numFmtId="0" fontId="26" fillId="0" borderId="8" xfId="1" applyFont="1" applyBorder="1" applyAlignment="1" applyProtection="1">
      <alignment horizontal="center" vertical="center"/>
      <protection hidden="1"/>
    </xf>
    <xf numFmtId="0" fontId="24" fillId="0" borderId="4" xfId="1" applyFont="1" applyBorder="1" applyAlignment="1" applyProtection="1">
      <alignment horizontal="center" vertical="center"/>
      <protection hidden="1"/>
    </xf>
    <xf numFmtId="0" fontId="24" fillId="0" borderId="0" xfId="1" applyFont="1" applyAlignment="1" applyProtection="1">
      <alignment horizontal="center" vertical="center"/>
      <protection hidden="1"/>
    </xf>
    <xf numFmtId="0" fontId="24" fillId="0" borderId="17" xfId="1" applyFont="1" applyBorder="1" applyAlignment="1" applyProtection="1">
      <alignment horizontal="center" vertical="center"/>
      <protection hidden="1"/>
    </xf>
    <xf numFmtId="0" fontId="31" fillId="0" borderId="4" xfId="1" applyFont="1" applyBorder="1" applyAlignment="1" applyProtection="1">
      <alignment horizontal="center" vertical="center"/>
      <protection hidden="1"/>
    </xf>
    <xf numFmtId="0" fontId="31" fillId="0" borderId="0" xfId="1" applyFont="1" applyAlignment="1" applyProtection="1">
      <alignment horizontal="center" vertical="center"/>
      <protection hidden="1"/>
    </xf>
    <xf numFmtId="0" fontId="31" fillId="0" borderId="17" xfId="1" applyFont="1" applyBorder="1" applyAlignment="1" applyProtection="1">
      <alignment horizontal="center" vertical="center"/>
      <protection hidden="1"/>
    </xf>
    <xf numFmtId="0" fontId="23" fillId="0" borderId="0" xfId="1" applyFont="1" applyAlignment="1" applyProtection="1">
      <alignment horizontal="left" vertical="top" wrapText="1"/>
      <protection hidden="1"/>
    </xf>
    <xf numFmtId="49" fontId="28" fillId="7" borderId="26" xfId="1" applyNumberFormat="1" applyFont="1" applyFill="1" applyBorder="1" applyAlignment="1" applyProtection="1">
      <alignment horizontal="left" vertical="center"/>
      <protection locked="0"/>
    </xf>
    <xf numFmtId="49" fontId="28" fillId="7" borderId="27" xfId="1" applyNumberFormat="1" applyFont="1" applyFill="1" applyBorder="1" applyAlignment="1" applyProtection="1">
      <alignment horizontal="left" vertical="center"/>
      <protection locked="0"/>
    </xf>
    <xf numFmtId="49" fontId="28" fillId="7" borderId="28" xfId="1" applyNumberFormat="1" applyFont="1" applyFill="1" applyBorder="1" applyAlignment="1" applyProtection="1">
      <alignment horizontal="left" vertical="center"/>
      <protection locked="0"/>
    </xf>
    <xf numFmtId="0" fontId="28" fillId="7" borderId="26" xfId="1" applyFont="1" applyFill="1" applyBorder="1" applyAlignment="1" applyProtection="1">
      <alignment horizontal="left" vertical="center"/>
      <protection locked="0"/>
    </xf>
    <xf numFmtId="0" fontId="28" fillId="7" borderId="27" xfId="1" applyFont="1" applyFill="1" applyBorder="1" applyAlignment="1" applyProtection="1">
      <alignment horizontal="left" vertical="center"/>
      <protection locked="0"/>
    </xf>
    <xf numFmtId="0" fontId="28" fillId="7" borderId="28" xfId="1" applyFont="1" applyFill="1" applyBorder="1" applyAlignment="1" applyProtection="1">
      <alignment horizontal="left" vertical="center"/>
      <protection locked="0"/>
    </xf>
    <xf numFmtId="0" fontId="34" fillId="0" borderId="8" xfId="1" applyFont="1" applyBorder="1" applyAlignment="1" applyProtection="1">
      <alignment horizontal="center" vertical="top"/>
      <protection hidden="1"/>
    </xf>
    <xf numFmtId="49" fontId="28" fillId="7" borderId="24" xfId="1" applyNumberFormat="1" applyFont="1" applyFill="1" applyBorder="1" applyAlignment="1" applyProtection="1">
      <alignment horizontal="left" vertical="center"/>
      <protection locked="0"/>
    </xf>
    <xf numFmtId="49" fontId="28" fillId="7" borderId="20" xfId="1" applyNumberFormat="1" applyFont="1" applyFill="1" applyBorder="1" applyAlignment="1" applyProtection="1">
      <alignment horizontal="left" vertical="center"/>
      <protection locked="0"/>
    </xf>
    <xf numFmtId="49" fontId="28" fillId="7" borderId="25" xfId="1" applyNumberFormat="1" applyFont="1" applyFill="1" applyBorder="1" applyAlignment="1" applyProtection="1">
      <alignment horizontal="left" vertical="center"/>
      <protection locked="0"/>
    </xf>
    <xf numFmtId="0" fontId="28" fillId="7" borderId="24" xfId="1" applyFont="1" applyFill="1" applyBorder="1" applyAlignment="1" applyProtection="1">
      <alignment horizontal="left" vertical="center"/>
      <protection locked="0"/>
    </xf>
    <xf numFmtId="0" fontId="28" fillId="7" borderId="20" xfId="1" applyFont="1" applyFill="1" applyBorder="1" applyAlignment="1" applyProtection="1">
      <alignment horizontal="left" vertical="center"/>
      <protection locked="0"/>
    </xf>
    <xf numFmtId="0" fontId="28" fillId="7" borderId="25" xfId="1" applyFont="1" applyFill="1" applyBorder="1" applyAlignment="1" applyProtection="1">
      <alignment horizontal="left" vertical="center"/>
      <protection locked="0"/>
    </xf>
    <xf numFmtId="164" fontId="31" fillId="7" borderId="10" xfId="1" applyNumberFormat="1" applyFont="1" applyFill="1" applyBorder="1" applyAlignment="1" applyProtection="1">
      <alignment horizontal="center" vertical="center"/>
      <protection locked="0"/>
    </xf>
    <xf numFmtId="164" fontId="31" fillId="7" borderId="11" xfId="1" applyNumberFormat="1" applyFont="1" applyFill="1" applyBorder="1" applyAlignment="1" applyProtection="1">
      <alignment horizontal="center" vertical="center"/>
      <protection locked="0"/>
    </xf>
    <xf numFmtId="164" fontId="31" fillId="7" borderId="12" xfId="1" applyNumberFormat="1" applyFont="1" applyFill="1" applyBorder="1" applyAlignment="1" applyProtection="1">
      <alignment horizontal="center" vertical="center"/>
      <protection locked="0"/>
    </xf>
    <xf numFmtId="0" fontId="34" fillId="0" borderId="11" xfId="1" applyFont="1" applyBorder="1" applyAlignment="1" applyProtection="1">
      <alignment horizontal="center" vertical="top"/>
      <protection hidden="1"/>
    </xf>
    <xf numFmtId="49" fontId="28" fillId="7" borderId="21" xfId="1" applyNumberFormat="1" applyFont="1" applyFill="1" applyBorder="1" applyAlignment="1" applyProtection="1">
      <alignment horizontal="left" vertical="center"/>
      <protection locked="0"/>
    </xf>
    <xf numFmtId="49" fontId="28" fillId="7" borderId="22" xfId="1" applyNumberFormat="1" applyFont="1" applyFill="1" applyBorder="1" applyAlignment="1" applyProtection="1">
      <alignment horizontal="left" vertical="center"/>
      <protection locked="0"/>
    </xf>
    <xf numFmtId="49" fontId="28" fillId="7" borderId="23" xfId="1" applyNumberFormat="1" applyFont="1" applyFill="1" applyBorder="1" applyAlignment="1" applyProtection="1">
      <alignment horizontal="left" vertical="center"/>
      <protection locked="0"/>
    </xf>
    <xf numFmtId="0" fontId="28" fillId="7" borderId="21" xfId="1" applyFont="1" applyFill="1" applyBorder="1" applyAlignment="1" applyProtection="1">
      <alignment horizontal="left" vertical="center"/>
      <protection locked="0"/>
    </xf>
    <xf numFmtId="0" fontId="28" fillId="7" borderId="22" xfId="1" applyFont="1" applyFill="1" applyBorder="1" applyAlignment="1" applyProtection="1">
      <alignment horizontal="left" vertical="center"/>
      <protection locked="0"/>
    </xf>
    <xf numFmtId="0" fontId="28" fillId="7" borderId="23" xfId="1" applyFont="1" applyFill="1" applyBorder="1" applyAlignment="1" applyProtection="1">
      <alignment horizontal="left" vertical="center"/>
      <protection locked="0"/>
    </xf>
    <xf numFmtId="0" fontId="31" fillId="7" borderId="10" xfId="1" applyFont="1" applyFill="1" applyBorder="1" applyAlignment="1" applyProtection="1">
      <alignment horizontal="center" vertical="center"/>
      <protection locked="0"/>
    </xf>
    <xf numFmtId="0" fontId="31" fillId="7" borderId="11" xfId="1" applyFont="1" applyFill="1" applyBorder="1" applyAlignment="1" applyProtection="1">
      <alignment horizontal="center" vertical="center"/>
      <protection locked="0"/>
    </xf>
    <xf numFmtId="0" fontId="31" fillId="7" borderId="12" xfId="1" applyFont="1" applyFill="1" applyBorder="1" applyAlignment="1" applyProtection="1">
      <alignment horizontal="center" vertical="center"/>
      <protection locked="0"/>
    </xf>
    <xf numFmtId="0" fontId="28" fillId="7" borderId="24" xfId="1" applyFont="1" applyFill="1" applyBorder="1" applyAlignment="1" applyProtection="1">
      <alignment horizontal="left" vertical="center" wrapText="1"/>
      <protection locked="0"/>
    </xf>
    <xf numFmtId="0" fontId="34" fillId="0" borderId="0" xfId="1" applyFont="1" applyAlignment="1" applyProtection="1">
      <alignment horizontal="center" vertical="top"/>
      <protection hidden="1"/>
    </xf>
    <xf numFmtId="0" fontId="34" fillId="0" borderId="8" xfId="1" applyFont="1" applyBorder="1" applyAlignment="1" applyProtection="1">
      <alignment horizontal="center"/>
      <protection hidden="1"/>
    </xf>
    <xf numFmtId="1" fontId="31" fillId="0" borderId="1" xfId="1" applyNumberFormat="1" applyFont="1" applyBorder="1" applyAlignment="1" applyProtection="1">
      <alignment horizontal="center" vertical="center"/>
      <protection hidden="1"/>
    </xf>
    <xf numFmtId="1" fontId="31" fillId="0" borderId="2" xfId="1" applyNumberFormat="1" applyFont="1" applyBorder="1" applyAlignment="1" applyProtection="1">
      <alignment horizontal="center" vertical="center"/>
      <protection hidden="1"/>
    </xf>
    <xf numFmtId="1" fontId="31" fillId="0" borderId="3" xfId="1" applyNumberFormat="1" applyFont="1" applyBorder="1" applyAlignment="1" applyProtection="1">
      <alignment horizontal="center" vertical="center"/>
      <protection hidden="1"/>
    </xf>
    <xf numFmtId="1" fontId="32" fillId="0" borderId="1" xfId="1" applyNumberFormat="1" applyFont="1" applyBorder="1" applyAlignment="1" applyProtection="1">
      <alignment horizontal="center" vertical="center"/>
      <protection hidden="1"/>
    </xf>
    <xf numFmtId="1" fontId="32" fillId="0" borderId="2" xfId="1" applyNumberFormat="1" applyFont="1" applyBorder="1" applyAlignment="1" applyProtection="1">
      <alignment horizontal="center" vertical="center"/>
      <protection hidden="1"/>
    </xf>
    <xf numFmtId="1" fontId="32" fillId="0" borderId="3" xfId="1" applyNumberFormat="1" applyFont="1" applyBorder="1" applyAlignment="1" applyProtection="1">
      <alignment horizontal="center" vertical="center"/>
      <protection hidden="1"/>
    </xf>
    <xf numFmtId="0" fontId="34" fillId="0" borderId="0" xfId="1" applyFont="1" applyAlignment="1" applyProtection="1">
      <alignment horizontal="center" vertical="top" wrapText="1"/>
      <protection hidden="1"/>
    </xf>
    <xf numFmtId="0" fontId="25" fillId="0" borderId="1" xfId="1" applyFont="1" applyBorder="1" applyAlignment="1" applyProtection="1">
      <alignment horizontal="center" vertical="top" wrapText="1"/>
      <protection hidden="1"/>
    </xf>
    <xf numFmtId="0" fontId="25" fillId="0" borderId="2" xfId="1" applyFont="1" applyBorder="1" applyAlignment="1" applyProtection="1">
      <alignment horizontal="center" vertical="top"/>
      <protection hidden="1"/>
    </xf>
    <xf numFmtId="0" fontId="25" fillId="0" borderId="3" xfId="1" applyFont="1" applyBorder="1" applyAlignment="1" applyProtection="1">
      <alignment horizontal="center" vertical="top"/>
      <protection hidden="1"/>
    </xf>
    <xf numFmtId="0" fontId="25" fillId="0" borderId="15" xfId="1" applyFont="1" applyBorder="1" applyAlignment="1" applyProtection="1">
      <alignment horizontal="center" vertical="top"/>
      <protection hidden="1"/>
    </xf>
    <xf numFmtId="0" fontId="25" fillId="0" borderId="8" xfId="1" applyFont="1" applyBorder="1" applyAlignment="1" applyProtection="1">
      <alignment horizontal="center" vertical="top"/>
      <protection hidden="1"/>
    </xf>
    <xf numFmtId="0" fontId="25" fillId="0" borderId="9" xfId="1" applyFont="1" applyBorder="1" applyAlignment="1" applyProtection="1">
      <alignment horizontal="center" vertical="top"/>
      <protection hidden="1"/>
    </xf>
    <xf numFmtId="0" fontId="34" fillId="0" borderId="4" xfId="1" applyFont="1" applyBorder="1" applyAlignment="1" applyProtection="1">
      <alignment horizontal="center" vertical="center"/>
      <protection hidden="1"/>
    </xf>
    <xf numFmtId="0" fontId="34" fillId="0" borderId="0" xfId="1" applyFont="1" applyAlignment="1" applyProtection="1">
      <alignment horizontal="center" vertical="center"/>
      <protection hidden="1"/>
    </xf>
    <xf numFmtId="0" fontId="34" fillId="0" borderId="17" xfId="1" applyFont="1" applyBorder="1" applyAlignment="1" applyProtection="1">
      <alignment horizontal="center" vertical="center"/>
      <protection hidden="1"/>
    </xf>
    <xf numFmtId="0" fontId="34" fillId="0" borderId="0" xfId="1" applyFont="1" applyAlignment="1" applyProtection="1">
      <alignment horizontal="center" vertical="center" wrapText="1"/>
      <protection hidden="1"/>
    </xf>
    <xf numFmtId="0" fontId="36" fillId="7" borderId="10" xfId="3" applyFont="1" applyFill="1" applyBorder="1" applyAlignment="1" applyProtection="1">
      <alignment horizontal="center" vertical="center"/>
      <protection locked="0"/>
    </xf>
    <xf numFmtId="0" fontId="31" fillId="7" borderId="10" xfId="1" applyFont="1" applyFill="1" applyBorder="1" applyAlignment="1" applyProtection="1">
      <alignment vertical="center"/>
      <protection locked="0"/>
    </xf>
    <xf numFmtId="0" fontId="31" fillId="7" borderId="11" xfId="1" applyFont="1" applyFill="1" applyBorder="1" applyAlignment="1" applyProtection="1">
      <alignment vertical="center"/>
      <protection locked="0"/>
    </xf>
    <xf numFmtId="0" fontId="31" fillId="7" borderId="12" xfId="1" applyFont="1" applyFill="1" applyBorder="1" applyAlignment="1" applyProtection="1">
      <alignment vertical="center"/>
      <protection locked="0"/>
    </xf>
    <xf numFmtId="0" fontId="34" fillId="0" borderId="8" xfId="1" applyFont="1" applyBorder="1" applyAlignment="1" applyProtection="1">
      <alignment horizontal="center" vertical="center"/>
      <protection hidden="1"/>
    </xf>
    <xf numFmtId="0" fontId="34" fillId="0" borderId="0" xfId="1" applyFont="1" applyAlignment="1" applyProtection="1">
      <alignment horizontal="center"/>
      <protection hidden="1"/>
    </xf>
    <xf numFmtId="3" fontId="28" fillId="8" borderId="10" xfId="1" applyNumberFormat="1" applyFont="1" applyFill="1" applyBorder="1" applyAlignment="1" applyProtection="1">
      <alignment horizontal="center" vertical="center"/>
      <protection hidden="1"/>
    </xf>
    <xf numFmtId="0" fontId="28" fillId="8" borderId="11" xfId="1" applyFont="1" applyFill="1" applyBorder="1" applyAlignment="1" applyProtection="1">
      <alignment horizontal="center" vertical="center"/>
      <protection hidden="1"/>
    </xf>
    <xf numFmtId="0" fontId="28" fillId="8" borderId="12" xfId="1" applyFont="1" applyFill="1" applyBorder="1" applyAlignment="1" applyProtection="1">
      <alignment horizontal="center" vertical="center"/>
      <protection hidden="1"/>
    </xf>
    <xf numFmtId="0" fontId="28" fillId="8" borderId="10" xfId="1" applyFont="1" applyFill="1" applyBorder="1" applyAlignment="1" applyProtection="1">
      <alignment horizontal="center" vertical="center"/>
      <protection hidden="1"/>
    </xf>
    <xf numFmtId="0" fontId="26" fillId="0" borderId="10" xfId="1" applyFont="1" applyBorder="1" applyAlignment="1" applyProtection="1">
      <alignment horizontal="center" vertical="center"/>
      <protection hidden="1"/>
    </xf>
    <xf numFmtId="0" fontId="26" fillId="0" borderId="11" xfId="1" applyFont="1" applyBorder="1" applyAlignment="1" applyProtection="1">
      <alignment horizontal="center" vertical="center"/>
      <protection hidden="1"/>
    </xf>
    <xf numFmtId="0" fontId="26" fillId="0" borderId="12" xfId="1" applyFont="1" applyBorder="1" applyAlignment="1" applyProtection="1">
      <alignment horizontal="center" vertical="center"/>
      <protection hidden="1"/>
    </xf>
    <xf numFmtId="0" fontId="28" fillId="0" borderId="10" xfId="1" applyFont="1" applyBorder="1" applyAlignment="1" applyProtection="1">
      <alignment horizontal="center" vertical="center"/>
      <protection hidden="1"/>
    </xf>
    <xf numFmtId="0" fontId="28" fillId="0" borderId="11" xfId="1" applyFont="1" applyBorder="1" applyAlignment="1" applyProtection="1">
      <alignment horizontal="center" vertical="center"/>
      <protection hidden="1"/>
    </xf>
    <xf numFmtId="0" fontId="28" fillId="0" borderId="12" xfId="1" applyFont="1" applyBorder="1" applyAlignment="1" applyProtection="1">
      <alignment horizontal="center" vertical="center"/>
      <protection hidden="1"/>
    </xf>
    <xf numFmtId="0" fontId="31" fillId="0" borderId="10" xfId="1" applyFont="1" applyBorder="1" applyAlignment="1" applyProtection="1">
      <alignment horizontal="center"/>
      <protection hidden="1"/>
    </xf>
    <xf numFmtId="0" fontId="31" fillId="0" borderId="11" xfId="1" applyFont="1" applyBorder="1" applyAlignment="1" applyProtection="1">
      <alignment horizontal="center"/>
      <protection hidden="1"/>
    </xf>
    <xf numFmtId="0" fontId="31" fillId="0" borderId="12" xfId="1" applyFont="1" applyBorder="1" applyAlignment="1" applyProtection="1">
      <alignment horizontal="center"/>
      <protection hidden="1"/>
    </xf>
    <xf numFmtId="0" fontId="36" fillId="7" borderId="10" xfId="3" applyFont="1" applyFill="1" applyBorder="1" applyAlignment="1" applyProtection="1">
      <alignment horizontal="center"/>
      <protection locked="0"/>
    </xf>
    <xf numFmtId="0" fontId="23" fillId="7" borderId="11" xfId="1" applyFont="1" applyFill="1" applyBorder="1" applyAlignment="1" applyProtection="1">
      <alignment horizontal="center"/>
      <protection locked="0"/>
    </xf>
    <xf numFmtId="0" fontId="23" fillId="7" borderId="12" xfId="1" applyFont="1" applyFill="1" applyBorder="1" applyAlignment="1" applyProtection="1">
      <alignment horizontal="center"/>
      <protection locked="0"/>
    </xf>
    <xf numFmtId="0" fontId="25" fillId="7" borderId="10" xfId="1" applyFont="1" applyFill="1" applyBorder="1" applyAlignment="1" applyProtection="1">
      <alignment horizontal="center"/>
      <protection locked="0"/>
    </xf>
    <xf numFmtId="0" fontId="25" fillId="7" borderId="12" xfId="1" applyFont="1" applyFill="1" applyBorder="1" applyAlignment="1" applyProtection="1">
      <alignment horizontal="center"/>
      <protection locked="0"/>
    </xf>
    <xf numFmtId="0" fontId="25" fillId="7" borderId="11" xfId="1" applyFont="1" applyFill="1" applyBorder="1" applyAlignment="1" applyProtection="1">
      <alignment horizontal="center"/>
      <protection locked="0"/>
    </xf>
    <xf numFmtId="0" fontId="31" fillId="7" borderId="10" xfId="1" applyFont="1" applyFill="1" applyBorder="1" applyAlignment="1" applyProtection="1">
      <alignment horizontal="center"/>
      <protection locked="0"/>
    </xf>
    <xf numFmtId="0" fontId="31" fillId="7" borderId="11" xfId="1" applyFont="1" applyFill="1" applyBorder="1" applyAlignment="1" applyProtection="1">
      <alignment horizontal="center"/>
      <protection locked="0"/>
    </xf>
    <xf numFmtId="0" fontId="31" fillId="7" borderId="12" xfId="1" applyFont="1" applyFill="1" applyBorder="1" applyAlignment="1" applyProtection="1">
      <alignment horizontal="center"/>
      <protection locked="0"/>
    </xf>
    <xf numFmtId="0" fontId="31" fillId="7" borderId="10" xfId="1" quotePrefix="1" applyFont="1" applyFill="1" applyBorder="1" applyAlignment="1" applyProtection="1">
      <alignment horizontal="center"/>
      <protection locked="0"/>
    </xf>
    <xf numFmtId="49" fontId="34" fillId="0" borderId="8" xfId="1" applyNumberFormat="1" applyFont="1" applyBorder="1" applyAlignment="1" applyProtection="1">
      <alignment horizontal="center" vertical="top"/>
      <protection hidden="1"/>
    </xf>
    <xf numFmtId="0" fontId="31" fillId="0" borderId="10" xfId="1" applyFont="1" applyBorder="1" applyAlignment="1" applyProtection="1">
      <alignment horizontal="center" vertical="center"/>
      <protection hidden="1"/>
    </xf>
    <xf numFmtId="0" fontId="31" fillId="0" borderId="11" xfId="1" applyFont="1" applyBorder="1" applyAlignment="1" applyProtection="1">
      <alignment horizontal="center" vertical="center"/>
      <protection hidden="1"/>
    </xf>
    <xf numFmtId="0" fontId="31" fillId="0" borderId="12" xfId="1" applyFont="1" applyBorder="1" applyAlignment="1" applyProtection="1">
      <alignment horizontal="center" vertical="center"/>
      <protection hidden="1"/>
    </xf>
    <xf numFmtId="49" fontId="31" fillId="7" borderId="10" xfId="1" applyNumberFormat="1" applyFont="1" applyFill="1" applyBorder="1" applyAlignment="1" applyProtection="1">
      <alignment vertical="center"/>
      <protection locked="0"/>
    </xf>
    <xf numFmtId="49" fontId="31" fillId="7" borderId="11" xfId="1" applyNumberFormat="1" applyFont="1" applyFill="1" applyBorder="1" applyAlignment="1" applyProtection="1">
      <alignment vertical="center"/>
      <protection locked="0"/>
    </xf>
    <xf numFmtId="49" fontId="31" fillId="7" borderId="12" xfId="1" applyNumberFormat="1" applyFont="1" applyFill="1" applyBorder="1" applyAlignment="1" applyProtection="1">
      <alignment vertical="center"/>
      <protection locked="0"/>
    </xf>
    <xf numFmtId="0" fontId="23" fillId="0" borderId="0" xfId="1" applyFont="1" applyAlignment="1" applyProtection="1">
      <alignment vertical="center"/>
      <protection hidden="1"/>
    </xf>
    <xf numFmtId="0" fontId="31" fillId="0" borderId="18" xfId="1" applyFont="1" applyBorder="1" applyAlignment="1" applyProtection="1">
      <alignment horizontal="left" vertical="center"/>
      <protection hidden="1"/>
    </xf>
    <xf numFmtId="164" fontId="31" fillId="0" borderId="18" xfId="1" applyNumberFormat="1" applyFont="1" applyBorder="1" applyAlignment="1" applyProtection="1">
      <alignment horizontal="center"/>
      <protection hidden="1"/>
    </xf>
    <xf numFmtId="164" fontId="31" fillId="7" borderId="10" xfId="1" applyNumberFormat="1" applyFont="1" applyFill="1" applyBorder="1" applyAlignment="1" applyProtection="1">
      <alignment horizontal="center"/>
      <protection locked="0"/>
    </xf>
    <xf numFmtId="164" fontId="31" fillId="7" borderId="12" xfId="1" applyNumberFormat="1" applyFont="1" applyFill="1" applyBorder="1" applyAlignment="1" applyProtection="1">
      <alignment horizontal="center"/>
      <protection locked="0"/>
    </xf>
    <xf numFmtId="164" fontId="31" fillId="0" borderId="10" xfId="1" applyNumberFormat="1" applyFont="1" applyBorder="1" applyAlignment="1" applyProtection="1">
      <alignment horizontal="center"/>
      <protection hidden="1"/>
    </xf>
    <xf numFmtId="164" fontId="31" fillId="0" borderId="12" xfId="1" applyNumberFormat="1" applyFont="1" applyBorder="1" applyAlignment="1" applyProtection="1">
      <alignment horizontal="center"/>
      <protection hidden="1"/>
    </xf>
    <xf numFmtId="0" fontId="25" fillId="0" borderId="4" xfId="1" applyFont="1" applyBorder="1" applyAlignment="1" applyProtection="1">
      <alignment horizontal="center"/>
      <protection hidden="1"/>
    </xf>
    <xf numFmtId="0" fontId="25" fillId="0" borderId="0" xfId="1" applyFont="1" applyAlignment="1" applyProtection="1">
      <alignment horizontal="center"/>
      <protection hidden="1"/>
    </xf>
    <xf numFmtId="0" fontId="25" fillId="0" borderId="17" xfId="1" applyFont="1" applyBorder="1" applyAlignment="1" applyProtection="1">
      <alignment horizontal="center"/>
      <protection hidden="1"/>
    </xf>
    <xf numFmtId="0" fontId="32" fillId="0" borderId="19" xfId="1" applyFont="1" applyBorder="1" applyAlignment="1" applyProtection="1">
      <alignment horizontal="left"/>
      <protection hidden="1"/>
    </xf>
    <xf numFmtId="0" fontId="26" fillId="0" borderId="18" xfId="1" applyFont="1" applyBorder="1" applyAlignment="1" applyProtection="1">
      <alignment horizontal="center" vertical="center"/>
      <protection hidden="1"/>
    </xf>
    <xf numFmtId="0" fontId="32" fillId="0" borderId="0" xfId="1" applyFont="1" applyAlignment="1" applyProtection="1">
      <alignment horizontal="left" vertical="center"/>
      <protection hidden="1"/>
    </xf>
    <xf numFmtId="0" fontId="26" fillId="0" borderId="20" xfId="1" applyFont="1" applyBorder="1" applyAlignment="1" applyProtection="1">
      <alignment horizontal="center" vertical="center"/>
      <protection hidden="1"/>
    </xf>
    <xf numFmtId="0" fontId="32" fillId="0" borderId="19" xfId="1" applyFont="1" applyBorder="1" applyAlignment="1" applyProtection="1">
      <alignment horizontal="right"/>
      <protection hidden="1"/>
    </xf>
    <xf numFmtId="14" fontId="26" fillId="0" borderId="20" xfId="1" applyNumberFormat="1" applyFont="1" applyBorder="1" applyAlignment="1" applyProtection="1">
      <alignment horizontal="center"/>
      <protection hidden="1"/>
    </xf>
    <xf numFmtId="0" fontId="26" fillId="0" borderId="20" xfId="1" applyFont="1" applyBorder="1" applyAlignment="1" applyProtection="1">
      <alignment horizontal="center"/>
      <protection hidden="1"/>
    </xf>
    <xf numFmtId="0" fontId="31" fillId="0" borderId="20" xfId="1" applyFont="1" applyBorder="1" applyAlignment="1" applyProtection="1">
      <alignment horizontal="center"/>
      <protection hidden="1"/>
    </xf>
    <xf numFmtId="0" fontId="30" fillId="0" borderId="0" xfId="1" applyFont="1" applyAlignment="1" applyProtection="1">
      <alignment horizontal="center"/>
      <protection hidden="1"/>
    </xf>
    <xf numFmtId="0" fontId="24" fillId="0" borderId="0" xfId="1" applyFont="1" applyAlignment="1" applyProtection="1">
      <alignment horizontal="center" vertical="justify"/>
      <protection hidden="1"/>
    </xf>
    <xf numFmtId="0" fontId="32" fillId="0" borderId="0" xfId="1" applyFont="1" applyAlignment="1" applyProtection="1">
      <alignment horizontal="center"/>
      <protection hidden="1"/>
    </xf>
    <xf numFmtId="49" fontId="24" fillId="7" borderId="10" xfId="1" quotePrefix="1" applyNumberFormat="1" applyFont="1" applyFill="1" applyBorder="1" applyAlignment="1" applyProtection="1">
      <alignment horizontal="center" vertical="center"/>
      <protection locked="0"/>
    </xf>
    <xf numFmtId="49" fontId="24" fillId="7" borderId="12" xfId="1" quotePrefix="1" applyNumberFormat="1" applyFont="1" applyFill="1" applyBorder="1" applyAlignment="1" applyProtection="1">
      <alignment horizontal="center" vertical="center"/>
      <protection locked="0"/>
    </xf>
    <xf numFmtId="49" fontId="24" fillId="7" borderId="10" xfId="1" applyNumberFormat="1" applyFont="1" applyFill="1" applyBorder="1" applyAlignment="1" applyProtection="1">
      <alignment horizontal="center" vertical="center"/>
      <protection locked="0"/>
    </xf>
    <xf numFmtId="49" fontId="24" fillId="7" borderId="11" xfId="1" applyNumberFormat="1" applyFont="1" applyFill="1" applyBorder="1" applyAlignment="1" applyProtection="1">
      <alignment horizontal="center" vertical="center"/>
      <protection locked="0"/>
    </xf>
    <xf numFmtId="49" fontId="24" fillId="7" borderId="12" xfId="1" applyNumberFormat="1" applyFont="1" applyFill="1" applyBorder="1" applyAlignment="1" applyProtection="1">
      <alignment horizontal="center" vertical="center"/>
      <protection locked="0"/>
    </xf>
    <xf numFmtId="0" fontId="26" fillId="0" borderId="18" xfId="1" applyFont="1" applyBorder="1" applyAlignment="1" applyProtection="1">
      <alignment horizontal="left" vertical="center"/>
      <protection hidden="1"/>
    </xf>
    <xf numFmtId="0" fontId="23" fillId="0" borderId="1" xfId="1" applyFont="1" applyBorder="1" applyAlignment="1" applyProtection="1">
      <alignment horizontal="center"/>
      <protection hidden="1"/>
    </xf>
    <xf numFmtId="0" fontId="23" fillId="0" borderId="2" xfId="1" applyFont="1" applyBorder="1" applyAlignment="1" applyProtection="1">
      <alignment horizontal="center"/>
      <protection hidden="1"/>
    </xf>
    <xf numFmtId="0" fontId="23" fillId="0" borderId="3" xfId="1" applyFont="1" applyBorder="1" applyAlignment="1" applyProtection="1">
      <alignment horizontal="center"/>
      <protection hidden="1"/>
    </xf>
    <xf numFmtId="0" fontId="26" fillId="0" borderId="1" xfId="1" applyFont="1" applyBorder="1" applyAlignment="1" applyProtection="1">
      <alignment horizontal="center" vertical="center"/>
      <protection locked="0"/>
    </xf>
    <xf numFmtId="0" fontId="26" fillId="0" borderId="2" xfId="1" applyFont="1" applyBorder="1" applyAlignment="1" applyProtection="1">
      <alignment horizontal="center" vertical="center"/>
      <protection locked="0"/>
    </xf>
    <xf numFmtId="0" fontId="26" fillId="0" borderId="3" xfId="1" applyFont="1" applyBorder="1" applyAlignment="1" applyProtection="1">
      <alignment horizontal="center" vertical="center"/>
      <protection locked="0"/>
    </xf>
    <xf numFmtId="0" fontId="26" fillId="0" borderId="18" xfId="1" applyFont="1" applyBorder="1" applyAlignment="1" applyProtection="1">
      <alignment horizontal="center"/>
      <protection hidden="1"/>
    </xf>
    <xf numFmtId="0" fontId="32" fillId="0" borderId="19" xfId="1" applyFont="1" applyBorder="1" applyAlignment="1" applyProtection="1">
      <alignment horizontal="center"/>
      <protection hidden="1"/>
    </xf>
    <xf numFmtId="3" fontId="26" fillId="0" borderId="18" xfId="1" applyNumberFormat="1" applyFont="1" applyBorder="1" applyAlignment="1" applyProtection="1">
      <alignment horizontal="center" vertical="center"/>
      <protection hidden="1"/>
    </xf>
    <xf numFmtId="0" fontId="21" fillId="0" borderId="0" xfId="1" applyFont="1" applyAlignment="1" applyProtection="1">
      <alignment horizontal="center"/>
      <protection hidden="1"/>
    </xf>
    <xf numFmtId="0" fontId="32" fillId="7" borderId="1" xfId="2" applyFont="1" applyFill="1" applyBorder="1" applyAlignment="1" applyProtection="1">
      <alignment horizontal="left"/>
      <protection locked="0"/>
    </xf>
    <xf numFmtId="0" fontId="32" fillId="7" borderId="3" xfId="2" applyFont="1" applyFill="1" applyBorder="1" applyAlignment="1" applyProtection="1">
      <alignment horizontal="left"/>
      <protection locked="0"/>
    </xf>
    <xf numFmtId="0" fontId="32" fillId="7" borderId="1" xfId="2" applyFont="1" applyFill="1" applyBorder="1" applyProtection="1">
      <protection locked="0"/>
    </xf>
    <xf numFmtId="0" fontId="32" fillId="7" borderId="2" xfId="2" applyFont="1" applyFill="1" applyBorder="1" applyProtection="1">
      <protection locked="0"/>
    </xf>
    <xf numFmtId="0" fontId="32" fillId="7" borderId="3" xfId="2" applyFont="1" applyFill="1" applyBorder="1" applyProtection="1">
      <protection locked="0"/>
    </xf>
    <xf numFmtId="0" fontId="32" fillId="0" borderId="0" xfId="2" applyFont="1" applyProtection="1">
      <protection hidden="1"/>
    </xf>
    <xf numFmtId="0" fontId="32" fillId="7" borderId="6" xfId="2" applyFont="1" applyFill="1" applyBorder="1" applyAlignment="1" applyProtection="1">
      <alignment horizontal="left"/>
      <protection locked="0"/>
    </xf>
    <xf numFmtId="0" fontId="24" fillId="0" borderId="0" xfId="2" applyFont="1" applyAlignment="1" applyProtection="1">
      <alignment horizontal="center"/>
      <protection hidden="1"/>
    </xf>
    <xf numFmtId="0" fontId="23" fillId="0" borderId="1" xfId="2" applyFont="1" applyBorder="1" applyAlignment="1" applyProtection="1">
      <alignment horizontal="center" vertical="center"/>
      <protection hidden="1"/>
    </xf>
    <xf numFmtId="0" fontId="23" fillId="0" borderId="2" xfId="2" applyFont="1" applyBorder="1" applyAlignment="1" applyProtection="1">
      <alignment horizontal="center" vertical="center"/>
      <protection hidden="1"/>
    </xf>
    <xf numFmtId="0" fontId="23" fillId="0" borderId="2" xfId="2" applyFont="1" applyBorder="1" applyAlignment="1" applyProtection="1">
      <alignment horizontal="center" vertical="center" wrapText="1"/>
      <protection hidden="1"/>
    </xf>
    <xf numFmtId="0" fontId="23" fillId="0" borderId="3" xfId="2" applyFont="1" applyBorder="1" applyAlignment="1" applyProtection="1">
      <alignment horizontal="center" vertical="center" wrapText="1"/>
      <protection hidden="1"/>
    </xf>
    <xf numFmtId="0" fontId="23" fillId="0" borderId="0" xfId="2" applyFont="1" applyAlignment="1" applyProtection="1">
      <alignment horizontal="left" vertical="center"/>
      <protection hidden="1"/>
    </xf>
    <xf numFmtId="0" fontId="26" fillId="0" borderId="18" xfId="2" applyFont="1" applyBorder="1" applyAlignment="1" applyProtection="1">
      <alignment horizontal="left" vertical="center"/>
      <protection hidden="1"/>
    </xf>
    <xf numFmtId="0" fontId="25" fillId="0" borderId="15" xfId="2" applyFont="1" applyBorder="1" applyAlignment="1" applyProtection="1">
      <alignment horizontal="center" vertical="center"/>
      <protection hidden="1"/>
    </xf>
    <xf numFmtId="0" fontId="25" fillId="0" borderId="9" xfId="2" applyFont="1" applyBorder="1" applyAlignment="1" applyProtection="1">
      <alignment horizontal="center" vertical="center"/>
      <protection hidden="1"/>
    </xf>
    <xf numFmtId="0" fontId="25" fillId="0" borderId="10" xfId="2" applyFont="1" applyBorder="1" applyAlignment="1" applyProtection="1">
      <alignment horizontal="center" vertical="center"/>
      <protection hidden="1"/>
    </xf>
    <xf numFmtId="0" fontId="25" fillId="0" borderId="12" xfId="2" applyFont="1" applyBorder="1" applyAlignment="1" applyProtection="1">
      <alignment horizontal="center" vertical="center"/>
      <protection hidden="1"/>
    </xf>
    <xf numFmtId="0" fontId="25" fillId="0" borderId="6" xfId="2" applyFont="1" applyBorder="1" applyAlignment="1" applyProtection="1">
      <alignment horizontal="center" vertical="center"/>
      <protection hidden="1"/>
    </xf>
    <xf numFmtId="0" fontId="25" fillId="0" borderId="9" xfId="2" applyFont="1" applyBorder="1" applyAlignment="1" applyProtection="1">
      <alignment horizontal="center" vertical="center" wrapText="1"/>
      <protection hidden="1"/>
    </xf>
    <xf numFmtId="0" fontId="25" fillId="0" borderId="8" xfId="2" applyFont="1" applyBorder="1" applyAlignment="1" applyProtection="1">
      <alignment horizontal="center" vertical="center"/>
      <protection hidden="1"/>
    </xf>
    <xf numFmtId="0" fontId="25" fillId="0" borderId="11" xfId="2" applyFont="1" applyBorder="1" applyAlignment="1" applyProtection="1">
      <alignment horizontal="center" vertical="center"/>
      <protection hidden="1"/>
    </xf>
    <xf numFmtId="0" fontId="25" fillId="0" borderId="7" xfId="2" applyFont="1" applyBorder="1" applyAlignment="1" applyProtection="1">
      <alignment horizontal="center" vertical="center" wrapText="1"/>
      <protection hidden="1"/>
    </xf>
    <xf numFmtId="0" fontId="25" fillId="0" borderId="5" xfId="2" applyFont="1" applyBorder="1" applyAlignment="1" applyProtection="1">
      <alignment horizontal="center" vertical="center" wrapText="1"/>
      <protection hidden="1"/>
    </xf>
    <xf numFmtId="49" fontId="24" fillId="0" borderId="0" xfId="2" applyNumberFormat="1" applyFont="1" applyAlignment="1" applyProtection="1">
      <alignment horizontal="center"/>
      <protection hidden="1"/>
    </xf>
    <xf numFmtId="0" fontId="32" fillId="0" borderId="0" xfId="1" applyFont="1" applyAlignment="1" applyProtection="1">
      <alignment horizontal="center" vertical="center"/>
      <protection hidden="1"/>
    </xf>
    <xf numFmtId="0" fontId="25" fillId="0" borderId="15" xfId="2" applyFont="1" applyBorder="1" applyAlignment="1" applyProtection="1">
      <alignment horizontal="center" vertical="center" wrapText="1"/>
      <protection hidden="1"/>
    </xf>
    <xf numFmtId="0" fontId="25" fillId="0" borderId="10" xfId="2" applyFont="1" applyBorder="1" applyAlignment="1" applyProtection="1">
      <alignment horizontal="center" vertical="center" wrapText="1"/>
      <protection hidden="1"/>
    </xf>
    <xf numFmtId="0" fontId="25" fillId="0" borderId="12" xfId="2" applyFont="1" applyBorder="1" applyAlignment="1" applyProtection="1">
      <alignment horizontal="center" vertical="center" wrapText="1"/>
      <protection hidden="1"/>
    </xf>
    <xf numFmtId="0" fontId="45" fillId="0" borderId="0" xfId="0" applyFont="1" applyAlignment="1">
      <alignment horizontal="center" vertical="center" wrapText="1"/>
    </xf>
    <xf numFmtId="14" fontId="14" fillId="0" borderId="5" xfId="0" applyNumberFormat="1" applyFont="1" applyBorder="1" applyAlignment="1" applyProtection="1">
      <alignment horizontal="center"/>
      <protection hidden="1"/>
    </xf>
    <xf numFmtId="0" fontId="14" fillId="0" borderId="5" xfId="0" applyFont="1" applyBorder="1" applyAlignment="1" applyProtection="1">
      <alignment horizontal="center"/>
      <protection hidden="1"/>
    </xf>
    <xf numFmtId="14" fontId="14" fillId="0" borderId="20" xfId="0" applyNumberFormat="1" applyFont="1" applyBorder="1" applyAlignment="1" applyProtection="1">
      <alignment horizontal="center" vertical="center"/>
      <protection hidden="1"/>
    </xf>
    <xf numFmtId="0" fontId="14" fillId="0" borderId="6" xfId="0" applyFont="1" applyBorder="1" applyAlignment="1" applyProtection="1">
      <alignment horizontal="center" vertical="center"/>
      <protection locked="0"/>
    </xf>
    <xf numFmtId="0" fontId="14" fillId="0" borderId="7" xfId="0" applyFont="1" applyBorder="1" applyAlignment="1">
      <alignment horizontal="center" vertical="center"/>
    </xf>
    <xf numFmtId="0" fontId="14" fillId="0" borderId="20" xfId="0" applyFont="1" applyBorder="1" applyAlignment="1" applyProtection="1">
      <alignment horizontal="center" vertical="center"/>
      <protection hidden="1"/>
    </xf>
    <xf numFmtId="0" fontId="14" fillId="0" borderId="18" xfId="0" applyFont="1" applyBorder="1" applyAlignment="1" applyProtection="1">
      <alignment horizontal="center" vertical="center"/>
      <protection hidden="1"/>
    </xf>
    <xf numFmtId="0" fontId="14" fillId="0" borderId="19" xfId="0" applyFont="1" applyBorder="1" applyAlignment="1" applyProtection="1">
      <alignment horizontal="center" vertical="center"/>
      <protection hidden="1"/>
    </xf>
    <xf numFmtId="14" fontId="14" fillId="0" borderId="19" xfId="0" applyNumberFormat="1" applyFont="1" applyBorder="1" applyAlignment="1" applyProtection="1">
      <alignment horizontal="center" vertical="center"/>
      <protection hidden="1"/>
    </xf>
    <xf numFmtId="0" fontId="14" fillId="0" borderId="0" xfId="0" applyFont="1" applyProtection="1">
      <protection hidden="1"/>
    </xf>
    <xf numFmtId="0" fontId="14" fillId="0" borderId="30" xfId="0" applyFont="1" applyBorder="1" applyAlignment="1">
      <alignment vertical="center" wrapText="1"/>
    </xf>
    <xf numFmtId="166" fontId="46" fillId="0" borderId="30" xfId="4" applyNumberFormat="1" applyFont="1" applyBorder="1" applyAlignment="1" applyProtection="1">
      <alignment vertical="center"/>
      <protection hidden="1"/>
    </xf>
    <xf numFmtId="0" fontId="14" fillId="3" borderId="33" xfId="0" applyFont="1" applyFill="1" applyBorder="1" applyAlignment="1">
      <alignment vertical="center" wrapText="1"/>
    </xf>
    <xf numFmtId="166" fontId="46" fillId="3" borderId="33" xfId="4" applyNumberFormat="1" applyFont="1" applyFill="1" applyBorder="1" applyAlignment="1" applyProtection="1">
      <alignment vertical="center"/>
      <protection hidden="1"/>
    </xf>
    <xf numFmtId="0" fontId="19" fillId="0" borderId="30" xfId="0" applyFont="1" applyBorder="1" applyAlignment="1">
      <alignment vertical="center" wrapText="1"/>
    </xf>
    <xf numFmtId="166" fontId="42" fillId="0" borderId="30" xfId="4" applyNumberFormat="1" applyFont="1" applyBorder="1" applyAlignment="1" applyProtection="1">
      <alignment vertical="center"/>
      <protection hidden="1"/>
    </xf>
    <xf numFmtId="0" fontId="14" fillId="9" borderId="30" xfId="0" applyFont="1" applyFill="1" applyBorder="1" applyAlignment="1">
      <alignment vertical="center" wrapText="1"/>
    </xf>
    <xf numFmtId="166" fontId="46" fillId="9" borderId="30" xfId="4" applyNumberFormat="1" applyFont="1" applyFill="1" applyBorder="1" applyAlignment="1" applyProtection="1">
      <alignment vertical="center"/>
      <protection hidden="1"/>
    </xf>
    <xf numFmtId="0" fontId="19" fillId="0" borderId="30" xfId="0" applyFont="1" applyBorder="1" applyAlignment="1">
      <alignment horizontal="left" vertical="center" wrapText="1"/>
    </xf>
    <xf numFmtId="14" fontId="14" fillId="0" borderId="6" xfId="0" applyNumberFormat="1" applyFont="1" applyBorder="1" applyAlignment="1" applyProtection="1">
      <alignment horizontal="center" vertical="center"/>
      <protection hidden="1"/>
    </xf>
    <xf numFmtId="0" fontId="14" fillId="0" borderId="6" xfId="0" applyFont="1" applyBorder="1" applyAlignment="1">
      <alignment horizontal="center" vertical="center"/>
    </xf>
    <xf numFmtId="0" fontId="19" fillId="0" borderId="32" xfId="0" applyFont="1" applyBorder="1" applyAlignment="1">
      <alignment vertical="center" wrapText="1"/>
    </xf>
    <xf numFmtId="166" fontId="42" fillId="0" borderId="32" xfId="4" applyNumberFormat="1" applyFont="1" applyBorder="1" applyAlignment="1" applyProtection="1">
      <alignment vertical="center"/>
      <protection hidden="1"/>
    </xf>
    <xf numFmtId="14" fontId="14" fillId="0" borderId="0" xfId="0" applyNumberFormat="1" applyFont="1" applyAlignment="1" applyProtection="1">
      <alignment horizontal="center" vertical="center"/>
      <protection hidden="1"/>
    </xf>
    <xf numFmtId="0" fontId="14" fillId="3" borderId="31" xfId="0" applyFont="1" applyFill="1" applyBorder="1" applyAlignment="1" applyProtection="1">
      <alignment horizontal="center" vertical="center"/>
      <protection locked="0"/>
    </xf>
    <xf numFmtId="0" fontId="14" fillId="3" borderId="5" xfId="0" applyFont="1" applyFill="1" applyBorder="1" applyAlignment="1" applyProtection="1">
      <alignment horizontal="center" vertical="center"/>
      <protection locked="0"/>
    </xf>
    <xf numFmtId="0" fontId="14" fillId="3" borderId="31" xfId="0" applyFont="1" applyFill="1" applyBorder="1" applyAlignment="1" applyProtection="1">
      <alignment horizontal="center"/>
      <protection locked="0"/>
    </xf>
    <xf numFmtId="0" fontId="14" fillId="3" borderId="5" xfId="0" applyFont="1" applyFill="1" applyBorder="1" applyAlignment="1" applyProtection="1">
      <alignment horizontal="center"/>
      <protection locked="0"/>
    </xf>
    <xf numFmtId="166" fontId="46" fillId="3" borderId="36" xfId="4" applyNumberFormat="1" applyFont="1" applyFill="1" applyBorder="1" applyAlignment="1" applyProtection="1">
      <alignment horizontal="center"/>
      <protection locked="0"/>
    </xf>
    <xf numFmtId="166" fontId="46" fillId="3" borderId="37" xfId="4" applyNumberFormat="1" applyFont="1" applyFill="1" applyBorder="1" applyAlignment="1" applyProtection="1">
      <alignment horizontal="center"/>
      <protection locked="0"/>
    </xf>
    <xf numFmtId="166" fontId="46" fillId="3" borderId="10" xfId="4" applyNumberFormat="1" applyFont="1" applyFill="1" applyBorder="1" applyAlignment="1" applyProtection="1">
      <alignment horizontal="center"/>
      <protection locked="0"/>
    </xf>
    <xf numFmtId="166" fontId="46" fillId="3" borderId="12" xfId="4" applyNumberFormat="1" applyFont="1" applyFill="1" applyBorder="1" applyAlignment="1" applyProtection="1">
      <alignment horizontal="center"/>
      <protection locked="0"/>
    </xf>
    <xf numFmtId="166" fontId="46" fillId="4" borderId="30" xfId="4" applyNumberFormat="1" applyFont="1" applyFill="1" applyBorder="1" applyProtection="1">
      <protection locked="0"/>
    </xf>
    <xf numFmtId="166" fontId="46" fillId="0" borderId="30" xfId="4" applyNumberFormat="1" applyFont="1" applyBorder="1" applyProtection="1">
      <protection locked="0"/>
    </xf>
    <xf numFmtId="166" fontId="46" fillId="3" borderId="30" xfId="4" applyNumberFormat="1" applyFont="1" applyFill="1" applyBorder="1" applyProtection="1">
      <protection locked="0"/>
    </xf>
    <xf numFmtId="166" fontId="42" fillId="0" borderId="30" xfId="4" applyNumberFormat="1" applyFont="1" applyBorder="1" applyProtection="1">
      <protection locked="0"/>
    </xf>
    <xf numFmtId="0" fontId="14" fillId="3" borderId="7" xfId="0" applyFont="1" applyFill="1" applyBorder="1" applyAlignment="1" applyProtection="1">
      <alignment horizontal="center" vertical="center"/>
      <protection locked="0"/>
    </xf>
    <xf numFmtId="0" fontId="14" fillId="3" borderId="32" xfId="0" applyFont="1" applyFill="1" applyBorder="1" applyAlignment="1" applyProtection="1">
      <alignment horizontal="center" vertical="center"/>
      <protection locked="0"/>
    </xf>
    <xf numFmtId="0" fontId="14" fillId="3" borderId="7" xfId="0" applyFont="1" applyFill="1" applyBorder="1" applyAlignment="1" applyProtection="1">
      <alignment horizontal="center"/>
      <protection locked="0"/>
    </xf>
    <xf numFmtId="0" fontId="14" fillId="3" borderId="32" xfId="0" applyFont="1" applyFill="1" applyBorder="1" applyAlignment="1" applyProtection="1">
      <alignment horizontal="center"/>
      <protection locked="0"/>
    </xf>
    <xf numFmtId="166" fontId="46" fillId="3" borderId="15" xfId="4" applyNumberFormat="1" applyFont="1" applyFill="1" applyBorder="1" applyAlignment="1" applyProtection="1">
      <alignment horizontal="center"/>
      <protection locked="0"/>
    </xf>
    <xf numFmtId="166" fontId="46" fillId="3" borderId="9" xfId="4" applyNumberFormat="1" applyFont="1" applyFill="1" applyBorder="1" applyAlignment="1" applyProtection="1">
      <alignment horizontal="center"/>
      <protection locked="0"/>
    </xf>
    <xf numFmtId="166" fontId="46" fillId="3" borderId="34" xfId="4" applyNumberFormat="1" applyFont="1" applyFill="1" applyBorder="1" applyAlignment="1" applyProtection="1">
      <alignment horizontal="center"/>
      <protection locked="0"/>
    </xf>
    <xf numFmtId="166" fontId="46" fillId="3" borderId="35" xfId="4" applyNumberFormat="1" applyFont="1" applyFill="1" applyBorder="1" applyAlignment="1" applyProtection="1">
      <alignment horizontal="center"/>
      <protection locked="0"/>
    </xf>
    <xf numFmtId="0" fontId="14" fillId="0" borderId="6" xfId="0" applyFont="1" applyBorder="1" applyAlignment="1">
      <alignment horizontal="center"/>
    </xf>
    <xf numFmtId="14" fontId="14" fillId="0" borderId="6" xfId="0" applyNumberFormat="1" applyFont="1" applyBorder="1" applyAlignment="1" applyProtection="1">
      <alignment horizontal="center"/>
      <protection hidden="1"/>
    </xf>
    <xf numFmtId="0" fontId="42" fillId="0" borderId="0" xfId="0" applyFont="1" applyAlignment="1">
      <alignment horizontal="left" vertical="top" wrapText="1"/>
    </xf>
    <xf numFmtId="0" fontId="42" fillId="0" borderId="0" xfId="0" applyFont="1" applyAlignment="1">
      <alignment horizontal="left" vertical="top"/>
    </xf>
    <xf numFmtId="0" fontId="19" fillId="0" borderId="39" xfId="0" applyFont="1" applyBorder="1"/>
    <xf numFmtId="0" fontId="14" fillId="3" borderId="39" xfId="0" applyFont="1" applyFill="1" applyBorder="1" applyAlignment="1">
      <alignment horizontal="center" vertical="center"/>
    </xf>
    <xf numFmtId="0" fontId="19" fillId="0" borderId="40" xfId="0" applyFont="1" applyBorder="1"/>
    <xf numFmtId="0" fontId="19" fillId="0" borderId="39" xfId="0" applyFont="1" applyBorder="1" applyAlignment="1">
      <alignment horizontal="left" vertical="center" wrapText="1"/>
    </xf>
    <xf numFmtId="0" fontId="14" fillId="9" borderId="6" xfId="0" applyFont="1" applyFill="1" applyBorder="1" applyAlignment="1">
      <alignment horizontal="center" vertical="center"/>
    </xf>
    <xf numFmtId="0" fontId="14" fillId="3" borderId="38" xfId="0" applyFont="1" applyFill="1" applyBorder="1" applyAlignment="1">
      <alignment horizontal="center" vertical="center"/>
    </xf>
    <xf numFmtId="0" fontId="42" fillId="0" borderId="15" xfId="0" quotePrefix="1" applyFont="1" applyBorder="1" applyAlignment="1" applyProtection="1">
      <alignment horizontal="left" vertical="top" wrapText="1"/>
      <protection locked="0"/>
    </xf>
    <xf numFmtId="0" fontId="42" fillId="0" borderId="8" xfId="0" quotePrefix="1" applyFont="1" applyBorder="1" applyAlignment="1" applyProtection="1">
      <alignment horizontal="left" vertical="top" wrapText="1"/>
      <protection locked="0"/>
    </xf>
    <xf numFmtId="0" fontId="42" fillId="0" borderId="9" xfId="0" quotePrefix="1" applyFont="1" applyBorder="1" applyAlignment="1" applyProtection="1">
      <alignment horizontal="left" vertical="top" wrapText="1"/>
      <protection locked="0"/>
    </xf>
    <xf numFmtId="0" fontId="42" fillId="0" borderId="4" xfId="0" quotePrefix="1" applyFont="1" applyBorder="1" applyAlignment="1" applyProtection="1">
      <alignment horizontal="left" vertical="top" wrapText="1"/>
      <protection locked="0"/>
    </xf>
    <xf numFmtId="0" fontId="42" fillId="0" borderId="0" xfId="0" quotePrefix="1" applyFont="1" applyAlignment="1" applyProtection="1">
      <alignment horizontal="left" vertical="top" wrapText="1"/>
      <protection locked="0"/>
    </xf>
    <xf numFmtId="0" fontId="42" fillId="0" borderId="17" xfId="0" quotePrefix="1" applyFont="1" applyBorder="1" applyAlignment="1" applyProtection="1">
      <alignment horizontal="left" vertical="top" wrapText="1"/>
      <protection locked="0"/>
    </xf>
    <xf numFmtId="0" fontId="42" fillId="0" borderId="10" xfId="0" quotePrefix="1" applyFont="1" applyBorder="1" applyAlignment="1" applyProtection="1">
      <alignment horizontal="left" vertical="top" wrapText="1"/>
      <protection locked="0"/>
    </xf>
    <xf numFmtId="0" fontId="42" fillId="0" borderId="11" xfId="0" quotePrefix="1" applyFont="1" applyBorder="1" applyAlignment="1" applyProtection="1">
      <alignment horizontal="left" vertical="top" wrapText="1"/>
      <protection locked="0"/>
    </xf>
    <xf numFmtId="0" fontId="42" fillId="0" borderId="12" xfId="0" quotePrefix="1" applyFont="1" applyBorder="1" applyAlignment="1" applyProtection="1">
      <alignment horizontal="left" vertical="top" wrapText="1"/>
      <protection locked="0"/>
    </xf>
    <xf numFmtId="0" fontId="19" fillId="0" borderId="10" xfId="0" applyFont="1" applyBorder="1" applyAlignment="1" applyProtection="1">
      <alignment horizontal="left" vertical="center"/>
      <protection hidden="1"/>
    </xf>
    <xf numFmtId="0" fontId="19" fillId="0" borderId="11" xfId="0" applyFont="1" applyBorder="1" applyAlignment="1" applyProtection="1">
      <alignment horizontal="left" vertical="center"/>
      <protection hidden="1"/>
    </xf>
    <xf numFmtId="0" fontId="19" fillId="0" borderId="12" xfId="0" applyFont="1" applyBorder="1" applyAlignment="1" applyProtection="1">
      <alignment horizontal="left" vertical="center"/>
      <protection hidden="1"/>
    </xf>
    <xf numFmtId="166" fontId="42" fillId="10" borderId="45" xfId="4" applyNumberFormat="1" applyFont="1" applyFill="1" applyBorder="1" applyProtection="1">
      <protection locked="0"/>
    </xf>
    <xf numFmtId="166" fontId="42" fillId="10" borderId="49" xfId="4" applyNumberFormat="1" applyFont="1" applyFill="1" applyBorder="1" applyProtection="1">
      <protection locked="0"/>
    </xf>
    <xf numFmtId="166" fontId="42" fillId="10" borderId="36" xfId="4" applyNumberFormat="1" applyFont="1" applyFill="1" applyBorder="1" applyProtection="1">
      <protection locked="0"/>
    </xf>
    <xf numFmtId="166" fontId="42" fillId="10" borderId="37" xfId="4" applyNumberFormat="1" applyFont="1" applyFill="1" applyBorder="1" applyProtection="1">
      <protection locked="0"/>
    </xf>
    <xf numFmtId="0" fontId="14" fillId="11" borderId="1" xfId="0" applyFont="1" applyFill="1" applyBorder="1" applyAlignment="1" applyProtection="1">
      <alignment horizontal="center" vertical="center"/>
      <protection hidden="1"/>
    </xf>
    <xf numFmtId="0" fontId="14" fillId="11" borderId="2" xfId="0" applyFont="1" applyFill="1" applyBorder="1" applyAlignment="1" applyProtection="1">
      <alignment horizontal="center" vertical="center"/>
      <protection hidden="1"/>
    </xf>
    <xf numFmtId="0" fontId="14" fillId="11" borderId="3" xfId="0" applyFont="1" applyFill="1" applyBorder="1" applyAlignment="1" applyProtection="1">
      <alignment horizontal="center" vertical="center"/>
      <protection hidden="1"/>
    </xf>
    <xf numFmtId="166" fontId="42" fillId="11" borderId="1" xfId="4" applyNumberFormat="1" applyFont="1" applyFill="1" applyBorder="1" applyAlignment="1" applyProtection="1">
      <alignment vertical="center"/>
      <protection locked="0"/>
    </xf>
    <xf numFmtId="166" fontId="42" fillId="11" borderId="3" xfId="4" applyNumberFormat="1" applyFont="1" applyFill="1" applyBorder="1" applyAlignment="1" applyProtection="1">
      <alignment vertical="center"/>
      <protection locked="0"/>
    </xf>
    <xf numFmtId="0" fontId="19" fillId="0" borderId="17" xfId="0" applyFont="1" applyBorder="1" applyAlignment="1" applyProtection="1">
      <alignment horizontal="left" vertical="center"/>
      <protection hidden="1"/>
    </xf>
    <xf numFmtId="166" fontId="42" fillId="10" borderId="41" xfId="4" applyNumberFormat="1" applyFont="1" applyFill="1" applyBorder="1" applyProtection="1">
      <protection locked="0"/>
    </xf>
    <xf numFmtId="166" fontId="42" fillId="10" borderId="48" xfId="4" applyNumberFormat="1" applyFont="1" applyFill="1" applyBorder="1" applyProtection="1">
      <protection locked="0"/>
    </xf>
    <xf numFmtId="166" fontId="42" fillId="10" borderId="42" xfId="4" applyNumberFormat="1" applyFont="1" applyFill="1" applyBorder="1" applyProtection="1">
      <protection locked="0"/>
    </xf>
    <xf numFmtId="0" fontId="19" fillId="0" borderId="15" xfId="0" applyFont="1" applyBorder="1" applyAlignment="1" applyProtection="1">
      <alignment vertical="center"/>
      <protection hidden="1"/>
    </xf>
    <xf numFmtId="0" fontId="19" fillId="0" borderId="8" xfId="0" applyFont="1" applyBorder="1" applyAlignment="1" applyProtection="1">
      <alignment vertical="center"/>
      <protection hidden="1"/>
    </xf>
    <xf numFmtId="0" fontId="19" fillId="0" borderId="9" xfId="0" applyFont="1" applyBorder="1" applyAlignment="1" applyProtection="1">
      <alignment vertical="center"/>
      <protection hidden="1"/>
    </xf>
    <xf numFmtId="166" fontId="42" fillId="10" borderId="43" xfId="4" applyNumberFormat="1" applyFont="1" applyFill="1" applyBorder="1" applyProtection="1">
      <protection locked="0"/>
    </xf>
    <xf numFmtId="166" fontId="42" fillId="10" borderId="47" xfId="4" applyNumberFormat="1" applyFont="1" applyFill="1" applyBorder="1" applyProtection="1">
      <protection locked="0"/>
    </xf>
    <xf numFmtId="166" fontId="42" fillId="10" borderId="15" xfId="4" applyNumberFormat="1" applyFont="1" applyFill="1" applyBorder="1" applyProtection="1">
      <protection locked="0"/>
    </xf>
    <xf numFmtId="166" fontId="42" fillId="10" borderId="9" xfId="4" applyNumberFormat="1" applyFont="1" applyFill="1" applyBorder="1" applyProtection="1">
      <protection locked="0"/>
    </xf>
    <xf numFmtId="0" fontId="19" fillId="0" borderId="4" xfId="0" applyFont="1" applyBorder="1" applyAlignment="1" applyProtection="1">
      <alignment vertical="center"/>
      <protection hidden="1"/>
    </xf>
    <xf numFmtId="0" fontId="19" fillId="0" borderId="0" xfId="0" applyFont="1" applyAlignment="1" applyProtection="1">
      <alignment vertical="center"/>
      <protection hidden="1"/>
    </xf>
    <xf numFmtId="0" fontId="19" fillId="0" borderId="17" xfId="0" applyFont="1" applyBorder="1" applyAlignment="1" applyProtection="1">
      <alignment vertical="center"/>
      <protection hidden="1"/>
    </xf>
    <xf numFmtId="0" fontId="14" fillId="11" borderId="6" xfId="0" applyFont="1" applyFill="1" applyBorder="1" applyAlignment="1" applyProtection="1">
      <alignment vertical="center"/>
      <protection hidden="1"/>
    </xf>
    <xf numFmtId="0" fontId="14" fillId="9" borderId="1" xfId="0" applyFont="1" applyFill="1" applyBorder="1" applyAlignment="1" applyProtection="1">
      <alignment horizontal="center" vertical="center"/>
      <protection hidden="1"/>
    </xf>
    <xf numFmtId="0" fontId="14" fillId="9" borderId="2" xfId="0" applyFont="1" applyFill="1" applyBorder="1" applyAlignment="1" applyProtection="1">
      <alignment horizontal="center" vertical="center"/>
      <protection hidden="1"/>
    </xf>
    <xf numFmtId="0" fontId="14" fillId="9" borderId="3" xfId="0" applyFont="1" applyFill="1" applyBorder="1" applyAlignment="1" applyProtection="1">
      <alignment horizontal="center" vertical="center"/>
      <protection hidden="1"/>
    </xf>
    <xf numFmtId="0" fontId="14" fillId="9" borderId="1" xfId="0" applyFont="1" applyFill="1" applyBorder="1" applyAlignment="1" applyProtection="1">
      <alignment horizontal="center" vertical="center" wrapText="1"/>
      <protection hidden="1"/>
    </xf>
    <xf numFmtId="0" fontId="14" fillId="9" borderId="3" xfId="0" applyFont="1" applyFill="1" applyBorder="1" applyAlignment="1" applyProtection="1">
      <alignment horizontal="center" vertical="center" wrapText="1"/>
      <protection hidden="1"/>
    </xf>
    <xf numFmtId="0" fontId="19" fillId="0" borderId="16" xfId="0" applyFont="1" applyBorder="1" applyAlignment="1" applyProtection="1">
      <alignment vertical="center"/>
      <protection hidden="1"/>
    </xf>
    <xf numFmtId="166" fontId="42" fillId="10" borderId="41" xfId="4" applyNumberFormat="1" applyFont="1" applyFill="1" applyBorder="1" applyAlignment="1" applyProtection="1">
      <protection locked="0"/>
    </xf>
    <xf numFmtId="166" fontId="42" fillId="10" borderId="42" xfId="4" applyNumberFormat="1" applyFont="1" applyFill="1" applyBorder="1" applyAlignment="1" applyProtection="1">
      <protection locked="0"/>
    </xf>
    <xf numFmtId="166" fontId="42" fillId="10" borderId="46" xfId="4" applyNumberFormat="1" applyFont="1" applyFill="1" applyBorder="1" applyProtection="1">
      <protection locked="0"/>
    </xf>
    <xf numFmtId="166" fontId="42" fillId="10" borderId="45" xfId="4" applyNumberFormat="1" applyFont="1" applyFill="1" applyBorder="1" applyAlignment="1" applyProtection="1">
      <protection locked="0"/>
    </xf>
    <xf numFmtId="166" fontId="42" fillId="10" borderId="46" xfId="4" applyNumberFormat="1" applyFont="1" applyFill="1" applyBorder="1" applyAlignment="1" applyProtection="1">
      <protection locked="0"/>
    </xf>
    <xf numFmtId="0" fontId="14" fillId="11" borderId="1" xfId="0" applyFont="1" applyFill="1" applyBorder="1" applyAlignment="1" applyProtection="1">
      <alignment horizontal="left" vertical="center"/>
      <protection hidden="1"/>
    </xf>
    <xf numFmtId="0" fontId="14" fillId="11" borderId="3" xfId="0" applyFont="1" applyFill="1" applyBorder="1" applyAlignment="1" applyProtection="1">
      <alignment horizontal="left" vertical="center"/>
      <protection hidden="1"/>
    </xf>
    <xf numFmtId="3" fontId="42" fillId="11" borderId="1" xfId="0" applyNumberFormat="1" applyFont="1" applyFill="1" applyBorder="1" applyAlignment="1" applyProtection="1">
      <alignment vertical="center"/>
      <protection locked="0"/>
    </xf>
    <xf numFmtId="3" fontId="42" fillId="11" borderId="3" xfId="0" applyNumberFormat="1" applyFont="1" applyFill="1" applyBorder="1" applyAlignment="1" applyProtection="1">
      <alignment vertical="center"/>
      <protection locked="0"/>
    </xf>
    <xf numFmtId="0" fontId="14" fillId="9" borderId="6" xfId="0" applyFont="1" applyFill="1" applyBorder="1" applyAlignment="1" applyProtection="1">
      <alignment horizontal="center" vertical="center"/>
      <protection hidden="1"/>
    </xf>
    <xf numFmtId="166" fontId="42" fillId="10" borderId="44" xfId="4" applyNumberFormat="1" applyFont="1" applyFill="1" applyBorder="1" applyProtection="1">
      <protection locked="0"/>
    </xf>
    <xf numFmtId="166" fontId="42" fillId="10" borderId="43" xfId="4" applyNumberFormat="1" applyFont="1" applyFill="1" applyBorder="1" applyAlignment="1" applyProtection="1">
      <protection locked="0"/>
    </xf>
    <xf numFmtId="166" fontId="42" fillId="10" borderId="44" xfId="4" applyNumberFormat="1" applyFont="1" applyFill="1" applyBorder="1" applyAlignment="1" applyProtection="1">
      <protection locked="0"/>
    </xf>
    <xf numFmtId="0" fontId="19" fillId="0" borderId="4" xfId="0" applyFont="1" applyBorder="1" applyAlignment="1" applyProtection="1">
      <alignment horizontal="left" vertical="top" wrapText="1"/>
      <protection hidden="1"/>
    </xf>
    <xf numFmtId="0" fontId="19" fillId="0" borderId="17" xfId="0" applyFont="1" applyBorder="1" applyAlignment="1" applyProtection="1">
      <alignment horizontal="left" vertical="top" wrapText="1"/>
      <protection hidden="1"/>
    </xf>
    <xf numFmtId="3" fontId="42" fillId="10" borderId="41" xfId="0" applyNumberFormat="1" applyFont="1" applyFill="1" applyBorder="1" applyAlignment="1" applyProtection="1">
      <alignment vertical="center"/>
      <protection locked="0"/>
    </xf>
    <xf numFmtId="3" fontId="42" fillId="10" borderId="42" xfId="0" applyNumberFormat="1" applyFont="1" applyFill="1" applyBorder="1" applyAlignment="1" applyProtection="1">
      <alignment vertical="center"/>
      <protection locked="0"/>
    </xf>
    <xf numFmtId="3" fontId="42" fillId="10" borderId="36" xfId="0" applyNumberFormat="1" applyFont="1" applyFill="1" applyBorder="1" applyAlignment="1" applyProtection="1">
      <alignment vertical="center"/>
      <protection locked="0"/>
    </xf>
    <xf numFmtId="3" fontId="42" fillId="10" borderId="37" xfId="0" applyNumberFormat="1" applyFont="1" applyFill="1" applyBorder="1" applyAlignment="1" applyProtection="1">
      <alignment vertical="center"/>
      <protection locked="0"/>
    </xf>
    <xf numFmtId="3" fontId="42" fillId="10" borderId="34" xfId="0" applyNumberFormat="1" applyFont="1" applyFill="1" applyBorder="1" applyAlignment="1" applyProtection="1">
      <alignment vertical="center"/>
      <protection locked="0"/>
    </xf>
    <xf numFmtId="3" fontId="42" fillId="10" borderId="35" xfId="0" applyNumberFormat="1" applyFont="1" applyFill="1" applyBorder="1" applyAlignment="1" applyProtection="1">
      <alignment vertical="center"/>
      <protection locked="0"/>
    </xf>
    <xf numFmtId="3" fontId="42" fillId="10" borderId="36" xfId="0" applyNumberFormat="1" applyFont="1" applyFill="1" applyBorder="1" applyProtection="1">
      <protection locked="0"/>
    </xf>
    <xf numFmtId="3" fontId="42" fillId="10" borderId="37" xfId="0" applyNumberFormat="1" applyFont="1" applyFill="1" applyBorder="1" applyProtection="1">
      <protection locked="0"/>
    </xf>
    <xf numFmtId="0" fontId="14" fillId="9" borderId="15" xfId="0" applyFont="1" applyFill="1" applyBorder="1" applyProtection="1">
      <protection hidden="1"/>
    </xf>
    <xf numFmtId="0" fontId="14" fillId="9" borderId="9" xfId="0" applyFont="1" applyFill="1" applyBorder="1" applyProtection="1">
      <protection hidden="1"/>
    </xf>
    <xf numFmtId="0" fontId="42" fillId="9" borderId="16" xfId="0" applyFont="1" applyFill="1" applyBorder="1" applyProtection="1">
      <protection locked="0"/>
    </xf>
    <xf numFmtId="0" fontId="42" fillId="9" borderId="17" xfId="0" applyFont="1" applyFill="1" applyBorder="1" applyProtection="1">
      <protection locked="0"/>
    </xf>
    <xf numFmtId="3" fontId="42" fillId="10" borderId="34" xfId="0" applyNumberFormat="1" applyFont="1" applyFill="1" applyBorder="1" applyProtection="1">
      <protection locked="0"/>
    </xf>
    <xf numFmtId="3" fontId="42" fillId="10" borderId="35" xfId="0" applyNumberFormat="1" applyFont="1" applyFill="1" applyBorder="1" applyProtection="1">
      <protection locked="0"/>
    </xf>
    <xf numFmtId="3" fontId="42" fillId="10" borderId="41" xfId="0" applyNumberFormat="1" applyFont="1" applyFill="1" applyBorder="1" applyProtection="1">
      <protection locked="0"/>
    </xf>
    <xf numFmtId="3" fontId="42" fillId="10" borderId="42" xfId="0" applyNumberFormat="1" applyFont="1" applyFill="1" applyBorder="1" applyProtection="1">
      <protection locked="0"/>
    </xf>
    <xf numFmtId="0" fontId="14" fillId="9" borderId="4" xfId="0" applyFont="1" applyFill="1" applyBorder="1" applyProtection="1">
      <protection hidden="1"/>
    </xf>
    <xf numFmtId="0" fontId="14" fillId="9" borderId="17" xfId="0" applyFont="1" applyFill="1" applyBorder="1" applyProtection="1">
      <protection hidden="1"/>
    </xf>
    <xf numFmtId="0" fontId="42" fillId="9" borderId="15" xfId="0" applyFont="1" applyFill="1" applyBorder="1" applyProtection="1">
      <protection locked="0"/>
    </xf>
    <xf numFmtId="0" fontId="42" fillId="9" borderId="9" xfId="0" applyFont="1" applyFill="1" applyBorder="1" applyProtection="1">
      <protection locked="0"/>
    </xf>
    <xf numFmtId="0" fontId="14" fillId="0" borderId="6" xfId="0" applyFont="1" applyBorder="1" applyAlignment="1" applyProtection="1">
      <alignment horizontal="center" vertical="center"/>
      <protection hidden="1"/>
    </xf>
    <xf numFmtId="0" fontId="14" fillId="0" borderId="6" xfId="0" applyFont="1" applyBorder="1" applyAlignment="1" applyProtection="1">
      <alignment horizontal="center" vertical="center" wrapText="1"/>
      <protection hidden="1"/>
    </xf>
    <xf numFmtId="0" fontId="12" fillId="0" borderId="15" xfId="0" applyFont="1" applyBorder="1" applyAlignment="1" applyProtection="1">
      <alignment horizontal="left" vertical="top"/>
      <protection locked="0"/>
    </xf>
    <xf numFmtId="0" fontId="12" fillId="0" borderId="8" xfId="0" applyFont="1" applyBorder="1" applyAlignment="1" applyProtection="1">
      <alignment horizontal="left" vertical="top"/>
      <protection locked="0"/>
    </xf>
    <xf numFmtId="0" fontId="12" fillId="0" borderId="9" xfId="0" applyFont="1" applyBorder="1" applyAlignment="1" applyProtection="1">
      <alignment horizontal="left" vertical="top"/>
      <protection locked="0"/>
    </xf>
    <xf numFmtId="0" fontId="12" fillId="0" borderId="4" xfId="0" applyFont="1" applyBorder="1" applyAlignment="1" applyProtection="1">
      <alignment horizontal="left" vertical="top"/>
      <protection locked="0"/>
    </xf>
    <xf numFmtId="0" fontId="12" fillId="0" borderId="0" xfId="0" applyFont="1" applyAlignment="1" applyProtection="1">
      <alignment horizontal="left" vertical="top"/>
      <protection locked="0"/>
    </xf>
    <xf numFmtId="0" fontId="12" fillId="0" borderId="17" xfId="0" applyFont="1" applyBorder="1" applyAlignment="1" applyProtection="1">
      <alignment horizontal="left" vertical="top"/>
      <protection locked="0"/>
    </xf>
    <xf numFmtId="0" fontId="12" fillId="0" borderId="10" xfId="0" applyFont="1" applyBorder="1" applyAlignment="1" applyProtection="1">
      <alignment horizontal="left" vertical="top"/>
      <protection locked="0"/>
    </xf>
    <xf numFmtId="0" fontId="12" fillId="0" borderId="11" xfId="0" applyFont="1" applyBorder="1" applyAlignment="1" applyProtection="1">
      <alignment horizontal="left" vertical="top"/>
      <protection locked="0"/>
    </xf>
    <xf numFmtId="0" fontId="12" fillId="0" borderId="12" xfId="0" applyFont="1" applyBorder="1" applyAlignment="1" applyProtection="1">
      <alignment horizontal="left" vertical="top"/>
      <protection locked="0"/>
    </xf>
    <xf numFmtId="0" fontId="19" fillId="0" borderId="1" xfId="0" applyFont="1" applyBorder="1" applyAlignment="1" applyProtection="1">
      <alignment horizontal="left" vertical="top" wrapText="1"/>
      <protection locked="0"/>
    </xf>
    <xf numFmtId="0" fontId="19" fillId="0" borderId="2" xfId="0" applyFont="1" applyBorder="1" applyAlignment="1" applyProtection="1">
      <alignment horizontal="left" vertical="top" wrapText="1"/>
      <protection locked="0"/>
    </xf>
    <xf numFmtId="0" fontId="19" fillId="0" borderId="3" xfId="0" applyFont="1" applyBorder="1" applyAlignment="1" applyProtection="1">
      <alignment horizontal="left" vertical="top" wrapText="1"/>
      <protection locked="0"/>
    </xf>
    <xf numFmtId="0" fontId="14" fillId="11" borderId="1" xfId="0" applyFont="1" applyFill="1" applyBorder="1" applyAlignment="1" applyProtection="1">
      <alignment horizontal="center" vertical="center" wrapText="1"/>
      <protection locked="0"/>
    </xf>
    <xf numFmtId="0" fontId="14" fillId="11" borderId="2" xfId="0" applyFont="1" applyFill="1" applyBorder="1" applyAlignment="1" applyProtection="1">
      <alignment horizontal="center" vertical="center" wrapText="1"/>
      <protection locked="0"/>
    </xf>
    <xf numFmtId="0" fontId="14" fillId="11" borderId="3" xfId="0" applyFont="1" applyFill="1" applyBorder="1" applyAlignment="1" applyProtection="1">
      <alignment horizontal="center" vertical="center" wrapText="1"/>
      <protection locked="0"/>
    </xf>
    <xf numFmtId="0" fontId="19" fillId="0" borderId="2" xfId="0" applyFont="1" applyBorder="1" applyAlignment="1" applyProtection="1">
      <alignment horizontal="left" vertical="top"/>
      <protection locked="0"/>
    </xf>
    <xf numFmtId="0" fontId="19" fillId="0" borderId="3" xfId="0" applyFont="1" applyBorder="1" applyAlignment="1" applyProtection="1">
      <alignment horizontal="left" vertical="top"/>
      <protection locked="0"/>
    </xf>
    <xf numFmtId="0" fontId="19" fillId="0" borderId="1" xfId="0" applyFont="1" applyBorder="1" applyAlignment="1" applyProtection="1">
      <alignment horizontal="left" vertical="top"/>
      <protection locked="0"/>
    </xf>
    <xf numFmtId="0" fontId="19" fillId="0" borderId="15" xfId="0" applyFont="1" applyBorder="1" applyAlignment="1" applyProtection="1">
      <alignment horizontal="left" vertical="top"/>
      <protection locked="0"/>
    </xf>
    <xf numFmtId="0" fontId="19" fillId="0" borderId="8" xfId="0" applyFont="1" applyBorder="1" applyAlignment="1" applyProtection="1">
      <alignment horizontal="left" vertical="top"/>
      <protection locked="0"/>
    </xf>
    <xf numFmtId="0" fontId="19" fillId="0" borderId="9" xfId="0" applyFont="1" applyBorder="1" applyAlignment="1" applyProtection="1">
      <alignment horizontal="left" vertical="top"/>
      <protection locked="0"/>
    </xf>
    <xf numFmtId="0" fontId="19" fillId="0" borderId="4" xfId="0" applyFont="1" applyBorder="1" applyAlignment="1" applyProtection="1">
      <alignment horizontal="left" vertical="top"/>
      <protection locked="0"/>
    </xf>
    <xf numFmtId="0" fontId="19" fillId="0" borderId="0" xfId="0" applyFont="1" applyAlignment="1" applyProtection="1">
      <alignment horizontal="left" vertical="top"/>
      <protection locked="0"/>
    </xf>
    <xf numFmtId="0" fontId="19" fillId="0" borderId="17" xfId="0" applyFont="1" applyBorder="1" applyAlignment="1" applyProtection="1">
      <alignment horizontal="left" vertical="top"/>
      <protection locked="0"/>
    </xf>
    <xf numFmtId="0" fontId="19" fillId="0" borderId="10" xfId="0" applyFont="1" applyBorder="1" applyAlignment="1" applyProtection="1">
      <alignment horizontal="left" vertical="top"/>
      <protection locked="0"/>
    </xf>
    <xf numFmtId="0" fontId="19" fillId="0" borderId="11" xfId="0" applyFont="1" applyBorder="1" applyAlignment="1" applyProtection="1">
      <alignment horizontal="left" vertical="top"/>
      <protection locked="0"/>
    </xf>
    <xf numFmtId="0" fontId="19" fillId="0" borderId="12" xfId="0" applyFont="1" applyBorder="1" applyAlignment="1" applyProtection="1">
      <alignment horizontal="left" vertical="top"/>
      <protection locked="0"/>
    </xf>
    <xf numFmtId="0" fontId="14" fillId="3" borderId="1" xfId="0" applyFont="1" applyFill="1" applyBorder="1" applyAlignment="1" applyProtection="1">
      <alignment horizontal="left" vertical="center"/>
      <protection locked="0"/>
    </xf>
    <xf numFmtId="0" fontId="14" fillId="3" borderId="2" xfId="0" applyFont="1" applyFill="1" applyBorder="1" applyAlignment="1" applyProtection="1">
      <alignment horizontal="left" vertical="center"/>
      <protection locked="0"/>
    </xf>
    <xf numFmtId="0" fontId="14" fillId="3" borderId="3" xfId="0" applyFont="1" applyFill="1" applyBorder="1" applyAlignment="1" applyProtection="1">
      <alignment horizontal="left" vertical="center"/>
      <protection locked="0"/>
    </xf>
    <xf numFmtId="0" fontId="19" fillId="0" borderId="15" xfId="0" applyFont="1" applyBorder="1" applyAlignment="1" applyProtection="1">
      <alignment horizontal="left" vertical="top" wrapText="1"/>
      <protection locked="0"/>
    </xf>
    <xf numFmtId="0" fontId="19" fillId="0" borderId="8" xfId="0" applyFont="1" applyBorder="1" applyAlignment="1" applyProtection="1">
      <alignment horizontal="left" vertical="top" wrapText="1"/>
      <protection locked="0"/>
    </xf>
    <xf numFmtId="0" fontId="19" fillId="0" borderId="9" xfId="0" applyFont="1" applyBorder="1" applyAlignment="1" applyProtection="1">
      <alignment horizontal="left" vertical="top" wrapText="1"/>
      <protection locked="0"/>
    </xf>
    <xf numFmtId="0" fontId="19" fillId="0" borderId="4" xfId="0" applyFont="1" applyBorder="1" applyAlignment="1" applyProtection="1">
      <alignment horizontal="left" vertical="top" wrapText="1"/>
      <protection locked="0"/>
    </xf>
    <xf numFmtId="0" fontId="19" fillId="0" borderId="0" xfId="0" applyFont="1" applyAlignment="1" applyProtection="1">
      <alignment horizontal="left" vertical="top" wrapText="1"/>
      <protection locked="0"/>
    </xf>
    <xf numFmtId="0" fontId="19" fillId="0" borderId="17" xfId="0" applyFont="1" applyBorder="1" applyAlignment="1" applyProtection="1">
      <alignment horizontal="left" vertical="top" wrapText="1"/>
      <protection locked="0"/>
    </xf>
    <xf numFmtId="0" fontId="19" fillId="0" borderId="10" xfId="0" applyFont="1" applyBorder="1" applyAlignment="1" applyProtection="1">
      <alignment horizontal="left" vertical="top" wrapText="1"/>
      <protection locked="0"/>
    </xf>
    <xf numFmtId="0" fontId="19" fillId="0" borderId="11" xfId="0" applyFont="1" applyBorder="1" applyAlignment="1" applyProtection="1">
      <alignment horizontal="left" vertical="top" wrapText="1"/>
      <protection locked="0"/>
    </xf>
    <xf numFmtId="0" fontId="19" fillId="0" borderId="12" xfId="0" applyFont="1" applyBorder="1" applyAlignment="1" applyProtection="1">
      <alignment horizontal="left" vertical="top" wrapText="1"/>
      <protection locked="0"/>
    </xf>
    <xf numFmtId="0" fontId="19" fillId="0" borderId="15" xfId="0" quotePrefix="1" applyFont="1" applyBorder="1" applyAlignment="1" applyProtection="1">
      <alignment horizontal="left" vertical="top" wrapText="1"/>
      <protection locked="0"/>
    </xf>
    <xf numFmtId="0" fontId="19" fillId="0" borderId="8" xfId="0" quotePrefix="1" applyFont="1" applyBorder="1" applyAlignment="1" applyProtection="1">
      <alignment horizontal="left" vertical="top" wrapText="1"/>
      <protection locked="0"/>
    </xf>
    <xf numFmtId="0" fontId="19" fillId="0" borderId="9" xfId="0" quotePrefix="1" applyFont="1" applyBorder="1" applyAlignment="1" applyProtection="1">
      <alignment horizontal="left" vertical="top" wrapText="1"/>
      <protection locked="0"/>
    </xf>
    <xf numFmtId="0" fontId="19" fillId="0" borderId="4" xfId="0" quotePrefix="1" applyFont="1" applyBorder="1" applyAlignment="1" applyProtection="1">
      <alignment horizontal="left" vertical="top" wrapText="1"/>
      <protection locked="0"/>
    </xf>
    <xf numFmtId="0" fontId="19" fillId="0" borderId="0" xfId="0" quotePrefix="1" applyFont="1" applyAlignment="1" applyProtection="1">
      <alignment horizontal="left" vertical="top" wrapText="1"/>
      <protection locked="0"/>
    </xf>
    <xf numFmtId="0" fontId="19" fillId="0" borderId="17" xfId="0" quotePrefix="1" applyFont="1" applyBorder="1" applyAlignment="1" applyProtection="1">
      <alignment horizontal="left" vertical="top" wrapText="1"/>
      <protection locked="0"/>
    </xf>
    <xf numFmtId="0" fontId="19" fillId="0" borderId="10" xfId="0" quotePrefix="1" applyFont="1" applyBorder="1" applyAlignment="1" applyProtection="1">
      <alignment horizontal="left" vertical="top" wrapText="1"/>
      <protection locked="0"/>
    </xf>
    <xf numFmtId="0" fontId="19" fillId="0" borderId="11" xfId="0" quotePrefix="1" applyFont="1" applyBorder="1" applyAlignment="1" applyProtection="1">
      <alignment horizontal="left" vertical="top" wrapText="1"/>
      <protection locked="0"/>
    </xf>
    <xf numFmtId="0" fontId="19" fillId="0" borderId="12" xfId="0" quotePrefix="1" applyFont="1" applyBorder="1" applyAlignment="1" applyProtection="1">
      <alignment horizontal="left" vertical="top" wrapText="1"/>
      <protection locked="0"/>
    </xf>
    <xf numFmtId="0" fontId="14" fillId="10" borderId="2" xfId="0" applyFont="1" applyFill="1" applyBorder="1" applyAlignment="1" applyProtection="1">
      <alignment horizontal="left" vertical="center"/>
      <protection locked="0"/>
    </xf>
    <xf numFmtId="0" fontId="14" fillId="10" borderId="3" xfId="0" applyFont="1" applyFill="1" applyBorder="1" applyAlignment="1" applyProtection="1">
      <alignment horizontal="left" vertical="center"/>
      <protection locked="0"/>
    </xf>
    <xf numFmtId="0" fontId="14" fillId="10" borderId="2" xfId="0" applyFont="1" applyFill="1" applyBorder="1" applyAlignment="1" applyProtection="1">
      <alignment horizontal="center" vertical="center"/>
      <protection locked="0"/>
    </xf>
    <xf numFmtId="0" fontId="14" fillId="10" borderId="3" xfId="0" applyFont="1" applyFill="1" applyBorder="1" applyAlignment="1" applyProtection="1">
      <alignment horizontal="center" vertical="center"/>
      <protection locked="0"/>
    </xf>
    <xf numFmtId="0" fontId="14" fillId="3" borderId="1" xfId="0" applyFont="1" applyFill="1" applyBorder="1" applyAlignment="1" applyProtection="1">
      <alignment horizontal="left" vertical="center" wrapText="1"/>
      <protection locked="0"/>
    </xf>
    <xf numFmtId="0" fontId="14" fillId="3" borderId="2" xfId="0" applyFont="1" applyFill="1" applyBorder="1" applyAlignment="1" applyProtection="1">
      <alignment horizontal="left" vertical="center" wrapText="1"/>
      <protection locked="0"/>
    </xf>
    <xf numFmtId="0" fontId="14" fillId="3" borderId="3" xfId="0" applyFont="1" applyFill="1" applyBorder="1" applyAlignment="1" applyProtection="1">
      <alignment horizontal="left" vertical="center" wrapText="1"/>
      <protection locked="0"/>
    </xf>
    <xf numFmtId="0" fontId="14" fillId="0" borderId="11" xfId="0" applyFont="1" applyBorder="1" applyAlignment="1">
      <alignment horizontal="center" vertical="center"/>
    </xf>
    <xf numFmtId="0" fontId="14" fillId="0" borderId="20" xfId="0" applyFont="1" applyBorder="1" applyAlignment="1" applyProtection="1">
      <alignment vertical="center"/>
      <protection hidden="1"/>
    </xf>
    <xf numFmtId="14" fontId="14" fillId="0" borderId="18" xfId="0" applyNumberFormat="1" applyFont="1" applyBorder="1" applyAlignment="1" applyProtection="1">
      <alignment horizontal="center" vertical="center"/>
      <protection hidden="1"/>
    </xf>
    <xf numFmtId="0" fontId="14" fillId="0" borderId="0" xfId="0" applyFont="1" applyAlignment="1">
      <alignment horizontal="center" vertical="center"/>
    </xf>
    <xf numFmtId="0" fontId="14" fillId="3" borderId="1" xfId="0" applyFont="1" applyFill="1" applyBorder="1" applyAlignment="1" applyProtection="1">
      <alignment horizontal="center" vertical="center"/>
      <protection locked="0"/>
    </xf>
    <xf numFmtId="0" fontId="14" fillId="3" borderId="2" xfId="0" applyFont="1" applyFill="1" applyBorder="1" applyAlignment="1" applyProtection="1">
      <alignment horizontal="center" vertical="center"/>
      <protection locked="0"/>
    </xf>
    <xf numFmtId="0" fontId="14" fillId="3" borderId="3" xfId="0" applyFont="1" applyFill="1" applyBorder="1" applyAlignment="1" applyProtection="1">
      <alignment horizontal="center" vertical="center"/>
      <protection locked="0"/>
    </xf>
    <xf numFmtId="0" fontId="14" fillId="12" borderId="1" xfId="0" applyFont="1" applyFill="1" applyBorder="1" applyAlignment="1" applyProtection="1">
      <alignment horizontal="left" vertical="center" wrapText="1"/>
      <protection locked="0"/>
    </xf>
    <xf numFmtId="0" fontId="14" fillId="12" borderId="2" xfId="0" applyFont="1" applyFill="1" applyBorder="1" applyAlignment="1" applyProtection="1">
      <alignment horizontal="left" vertical="center" wrapText="1"/>
      <protection locked="0"/>
    </xf>
    <xf numFmtId="0" fontId="14" fillId="12" borderId="3" xfId="0" applyFont="1" applyFill="1" applyBorder="1" applyAlignment="1" applyProtection="1">
      <alignment horizontal="left" vertical="center" wrapText="1"/>
      <protection locked="0"/>
    </xf>
    <xf numFmtId="0" fontId="23" fillId="0" borderId="6" xfId="7" applyFont="1" applyBorder="1" applyAlignment="1" applyProtection="1">
      <alignment horizontal="center" vertical="top" wrapText="1"/>
      <protection locked="0"/>
    </xf>
    <xf numFmtId="166" fontId="26" fillId="0" borderId="32" xfId="4" applyNumberFormat="1" applyFont="1" applyFill="1" applyBorder="1" applyProtection="1">
      <protection hidden="1"/>
    </xf>
    <xf numFmtId="166" fontId="32" fillId="9" borderId="6" xfId="4" applyNumberFormat="1" applyFont="1" applyFill="1" applyBorder="1" applyProtection="1">
      <protection hidden="1"/>
    </xf>
    <xf numFmtId="166" fontId="26" fillId="9" borderId="1" xfId="4" applyNumberFormat="1" applyFont="1" applyFill="1" applyBorder="1" applyProtection="1">
      <protection hidden="1"/>
    </xf>
    <xf numFmtId="166" fontId="26" fillId="9" borderId="3" xfId="4" applyNumberFormat="1" applyFont="1" applyFill="1" applyBorder="1" applyProtection="1">
      <protection hidden="1"/>
    </xf>
    <xf numFmtId="0" fontId="23" fillId="0" borderId="6" xfId="7" applyFont="1" applyBorder="1" applyAlignment="1" applyProtection="1">
      <alignment horizontal="center" vertical="center" wrapText="1"/>
      <protection locked="0"/>
    </xf>
    <xf numFmtId="0" fontId="23" fillId="0" borderId="6" xfId="7" applyFont="1" applyBorder="1" applyAlignment="1" applyProtection="1">
      <alignment horizontal="center" vertical="center"/>
      <protection locked="0"/>
    </xf>
    <xf numFmtId="0" fontId="31" fillId="0" borderId="6" xfId="7" applyFont="1" applyBorder="1" applyAlignment="1" applyProtection="1">
      <alignment horizontal="center" vertical="center" wrapText="1"/>
      <protection locked="0"/>
    </xf>
    <xf numFmtId="166" fontId="32" fillId="9" borderId="1" xfId="4" applyNumberFormat="1" applyFont="1" applyFill="1" applyBorder="1" applyProtection="1">
      <protection hidden="1"/>
    </xf>
    <xf numFmtId="166" fontId="32" fillId="9" borderId="3" xfId="4" applyNumberFormat="1" applyFont="1" applyFill="1" applyBorder="1" applyProtection="1">
      <protection hidden="1"/>
    </xf>
    <xf numFmtId="0" fontId="31" fillId="0" borderId="0" xfId="7" applyFont="1" applyAlignment="1" applyProtection="1">
      <alignment horizontal="center" vertical="center" wrapText="1"/>
      <protection locked="0"/>
    </xf>
    <xf numFmtId="0" fontId="31" fillId="0" borderId="0" xfId="7" applyFont="1" applyAlignment="1" applyProtection="1">
      <alignment horizontal="center" vertical="center"/>
      <protection locked="0"/>
    </xf>
    <xf numFmtId="0" fontId="31" fillId="0" borderId="50" xfId="7" applyFont="1" applyBorder="1" applyAlignment="1" applyProtection="1">
      <alignment horizontal="left" vertical="top" wrapText="1"/>
      <protection locked="0"/>
    </xf>
    <xf numFmtId="0" fontId="31" fillId="0" borderId="51" xfId="7" applyFont="1" applyBorder="1" applyAlignment="1" applyProtection="1">
      <alignment horizontal="left" vertical="top"/>
      <protection locked="0"/>
    </xf>
    <xf numFmtId="0" fontId="31" fillId="0" borderId="52" xfId="7" applyFont="1" applyBorder="1" applyAlignment="1" applyProtection="1">
      <alignment horizontal="left" vertical="top"/>
      <protection locked="0"/>
    </xf>
    <xf numFmtId="0" fontId="31" fillId="0" borderId="1" xfId="7" applyFont="1" applyBorder="1" applyAlignment="1" applyProtection="1">
      <alignment horizontal="center" vertical="center"/>
      <protection locked="0"/>
    </xf>
    <xf numFmtId="0" fontId="31" fillId="0" borderId="2" xfId="7" applyFont="1" applyBorder="1" applyAlignment="1" applyProtection="1">
      <alignment horizontal="center" vertical="center"/>
      <protection locked="0"/>
    </xf>
    <xf numFmtId="0" fontId="31" fillId="0" borderId="3" xfId="7" applyFont="1" applyBorder="1" applyAlignment="1" applyProtection="1">
      <alignment horizontal="center" vertical="center"/>
      <protection locked="0"/>
    </xf>
    <xf numFmtId="0" fontId="31" fillId="0" borderId="6" xfId="7" applyFont="1" applyBorder="1" applyAlignment="1" applyProtection="1">
      <alignment horizontal="center" vertical="center"/>
      <protection locked="0"/>
    </xf>
    <xf numFmtId="0" fontId="14" fillId="0" borderId="18" xfId="0" applyFont="1" applyBorder="1" applyAlignment="1" applyProtection="1">
      <alignment vertical="center"/>
      <protection hidden="1"/>
    </xf>
    <xf numFmtId="0" fontId="23" fillId="0" borderId="15" xfId="7" applyFont="1" applyBorder="1" applyAlignment="1" applyProtection="1">
      <alignment horizontal="center" vertical="top" wrapText="1"/>
      <protection locked="0"/>
    </xf>
    <xf numFmtId="0" fontId="23" fillId="0" borderId="8" xfId="7" applyFont="1" applyBorder="1" applyAlignment="1" applyProtection="1">
      <alignment horizontal="center" vertical="top" wrapText="1"/>
      <protection locked="0"/>
    </xf>
    <xf numFmtId="0" fontId="23" fillId="0" borderId="9" xfId="7" applyFont="1" applyBorder="1" applyAlignment="1" applyProtection="1">
      <alignment horizontal="center" vertical="top" wrapText="1"/>
      <protection locked="0"/>
    </xf>
    <xf numFmtId="0" fontId="23" fillId="0" borderId="4" xfId="7" applyFont="1" applyBorder="1" applyAlignment="1" applyProtection="1">
      <alignment horizontal="center" vertical="top" wrapText="1"/>
      <protection locked="0"/>
    </xf>
    <xf numFmtId="0" fontId="23" fillId="0" borderId="0" xfId="7" applyFont="1" applyAlignment="1" applyProtection="1">
      <alignment horizontal="center" vertical="top" wrapText="1"/>
      <protection locked="0"/>
    </xf>
    <xf numFmtId="0" fontId="23" fillId="0" borderId="17" xfId="7" applyFont="1" applyBorder="1" applyAlignment="1" applyProtection="1">
      <alignment horizontal="center" vertical="top" wrapText="1"/>
      <protection locked="0"/>
    </xf>
    <xf numFmtId="0" fontId="23" fillId="0" borderId="10" xfId="7" applyFont="1" applyBorder="1" applyAlignment="1" applyProtection="1">
      <alignment horizontal="center" vertical="top" wrapText="1"/>
      <protection locked="0"/>
    </xf>
    <xf numFmtId="0" fontId="23" fillId="0" borderId="11" xfId="7" applyFont="1" applyBorder="1" applyAlignment="1" applyProtection="1">
      <alignment horizontal="center" vertical="top" wrapText="1"/>
      <protection locked="0"/>
    </xf>
    <xf numFmtId="0" fontId="23" fillId="0" borderId="12" xfId="7" applyFont="1" applyBorder="1" applyAlignment="1" applyProtection="1">
      <alignment horizontal="center" vertical="top" wrapText="1"/>
      <protection locked="0"/>
    </xf>
    <xf numFmtId="166" fontId="26" fillId="0" borderId="32" xfId="4" applyNumberFormat="1" applyFont="1" applyBorder="1" applyProtection="1">
      <protection hidden="1"/>
    </xf>
    <xf numFmtId="166" fontId="26" fillId="9" borderId="6" xfId="4" applyNumberFormat="1" applyFont="1" applyFill="1" applyBorder="1" applyProtection="1">
      <protection hidden="1"/>
    </xf>
    <xf numFmtId="0" fontId="23" fillId="0" borderId="15" xfId="7" applyFont="1" applyBorder="1" applyAlignment="1" applyProtection="1">
      <alignment horizontal="left" vertical="top" wrapText="1"/>
      <protection locked="0"/>
    </xf>
    <xf numFmtId="0" fontId="23" fillId="0" borderId="8" xfId="7" applyFont="1" applyBorder="1" applyAlignment="1" applyProtection="1">
      <alignment horizontal="left" vertical="top" wrapText="1"/>
      <protection locked="0"/>
    </xf>
    <xf numFmtId="0" fontId="23" fillId="0" borderId="9" xfId="7" applyFont="1" applyBorder="1" applyAlignment="1" applyProtection="1">
      <alignment horizontal="left" vertical="top" wrapText="1"/>
      <protection locked="0"/>
    </xf>
    <xf numFmtId="0" fontId="23" fillId="0" borderId="4" xfId="7" applyFont="1" applyBorder="1" applyAlignment="1" applyProtection="1">
      <alignment horizontal="left" vertical="top" wrapText="1"/>
      <protection locked="0"/>
    </xf>
    <xf numFmtId="0" fontId="23" fillId="0" borderId="0" xfId="7" applyFont="1" applyAlignment="1" applyProtection="1">
      <alignment horizontal="left" vertical="top" wrapText="1"/>
      <protection locked="0"/>
    </xf>
    <xf numFmtId="0" fontId="23" fillId="0" borderId="17" xfId="7" applyFont="1" applyBorder="1" applyAlignment="1" applyProtection="1">
      <alignment horizontal="left" vertical="top" wrapText="1"/>
      <protection locked="0"/>
    </xf>
    <xf numFmtId="0" fontId="23" fillId="0" borderId="10" xfId="7" applyFont="1" applyBorder="1" applyAlignment="1" applyProtection="1">
      <alignment horizontal="left" vertical="top" wrapText="1"/>
      <protection locked="0"/>
    </xf>
    <xf numFmtId="0" fontId="23" fillId="0" borderId="11" xfId="7" applyFont="1" applyBorder="1" applyAlignment="1" applyProtection="1">
      <alignment horizontal="left" vertical="top" wrapText="1"/>
      <protection locked="0"/>
    </xf>
    <xf numFmtId="0" fontId="23" fillId="0" borderId="12" xfId="7" applyFont="1" applyBorder="1" applyAlignment="1" applyProtection="1">
      <alignment horizontal="left" vertical="top" wrapText="1"/>
      <protection locked="0"/>
    </xf>
    <xf numFmtId="0" fontId="23" fillId="0" borderId="7" xfId="7" applyFont="1" applyBorder="1" applyAlignment="1" applyProtection="1">
      <alignment horizontal="center" vertical="center" wrapText="1"/>
      <protection locked="0"/>
    </xf>
    <xf numFmtId="0" fontId="23" fillId="0" borderId="16" xfId="7" applyFont="1" applyBorder="1" applyAlignment="1" applyProtection="1">
      <alignment horizontal="center" vertical="center" wrapText="1"/>
      <protection locked="0"/>
    </xf>
    <xf numFmtId="0" fontId="23" fillId="0" borderId="5" xfId="7" applyFont="1" applyBorder="1" applyAlignment="1" applyProtection="1">
      <alignment horizontal="center" vertical="center" wrapText="1"/>
      <protection locked="0"/>
    </xf>
    <xf numFmtId="0" fontId="23" fillId="0" borderId="16" xfId="7" applyFont="1" applyBorder="1" applyAlignment="1" applyProtection="1">
      <alignment horizontal="center" vertical="center"/>
      <protection locked="0"/>
    </xf>
    <xf numFmtId="0" fontId="23" fillId="0" borderId="5" xfId="7" applyFont="1" applyBorder="1" applyAlignment="1" applyProtection="1">
      <alignment horizontal="center" vertical="center"/>
      <protection locked="0"/>
    </xf>
    <xf numFmtId="0" fontId="23" fillId="0" borderId="15" xfId="7" applyFont="1" applyBorder="1" applyAlignment="1" applyProtection="1">
      <alignment horizontal="center" vertical="center" wrapText="1"/>
      <protection locked="0"/>
    </xf>
    <xf numFmtId="0" fontId="23" fillId="0" borderId="4" xfId="7" applyFont="1" applyBorder="1" applyAlignment="1" applyProtection="1">
      <alignment horizontal="center" vertical="center" wrapText="1"/>
      <protection locked="0"/>
    </xf>
    <xf numFmtId="0" fontId="23" fillId="0" borderId="10" xfId="7" applyFont="1" applyBorder="1" applyAlignment="1" applyProtection="1">
      <alignment horizontal="center" vertical="center" wrapText="1"/>
      <protection locked="0"/>
    </xf>
    <xf numFmtId="0" fontId="31" fillId="0" borderId="7" xfId="7" applyFont="1" applyBorder="1" applyAlignment="1" applyProtection="1">
      <alignment horizontal="center" vertical="center" wrapText="1"/>
      <protection locked="0"/>
    </xf>
    <xf numFmtId="0" fontId="31" fillId="0" borderId="16" xfId="7" applyFont="1" applyBorder="1" applyAlignment="1" applyProtection="1">
      <alignment horizontal="center" vertical="center" wrapText="1"/>
      <protection locked="0"/>
    </xf>
    <xf numFmtId="0" fontId="31" fillId="0" borderId="5" xfId="7" applyFont="1" applyBorder="1" applyAlignment="1" applyProtection="1">
      <alignment horizontal="center" vertical="center" wrapText="1"/>
      <protection locked="0"/>
    </xf>
    <xf numFmtId="0" fontId="23" fillId="0" borderId="1" xfId="7" applyFont="1" applyBorder="1" applyAlignment="1" applyProtection="1">
      <alignment horizontal="center"/>
      <protection locked="0"/>
    </xf>
    <xf numFmtId="0" fontId="23" fillId="0" borderId="2" xfId="7" applyFont="1" applyBorder="1" applyAlignment="1" applyProtection="1">
      <alignment horizontal="center"/>
      <protection locked="0"/>
    </xf>
    <xf numFmtId="0" fontId="23" fillId="0" borderId="3" xfId="7" applyFont="1" applyBorder="1" applyAlignment="1" applyProtection="1">
      <alignment horizontal="center"/>
      <protection locked="0"/>
    </xf>
    <xf numFmtId="0" fontId="0" fillId="0" borderId="6" xfId="0" applyBorder="1" applyAlignment="1" applyProtection="1">
      <alignment horizontal="left" vertical="top"/>
      <protection locked="0"/>
    </xf>
    <xf numFmtId="166" fontId="26" fillId="0" borderId="29" xfId="4" applyNumberFormat="1" applyFont="1" applyBorder="1" applyAlignment="1" applyProtection="1">
      <protection hidden="1"/>
    </xf>
    <xf numFmtId="166" fontId="26" fillId="0" borderId="30" xfId="4" applyNumberFormat="1" applyFont="1" applyBorder="1" applyAlignment="1" applyProtection="1">
      <protection hidden="1"/>
    </xf>
    <xf numFmtId="166" fontId="26" fillId="0" borderId="31" xfId="4" applyNumberFormat="1" applyFont="1" applyBorder="1" applyAlignment="1" applyProtection="1">
      <protection hidden="1"/>
    </xf>
    <xf numFmtId="166" fontId="26" fillId="0" borderId="6" xfId="4" applyNumberFormat="1" applyFont="1" applyBorder="1" applyAlignment="1" applyProtection="1">
      <protection hidden="1"/>
    </xf>
    <xf numFmtId="166" fontId="26" fillId="0" borderId="32" xfId="4" applyNumberFormat="1" applyFont="1" applyBorder="1" applyAlignment="1" applyProtection="1">
      <protection hidden="1"/>
    </xf>
    <xf numFmtId="166" fontId="26" fillId="11" borderId="6" xfId="4" applyNumberFormat="1" applyFont="1" applyFill="1" applyBorder="1" applyAlignment="1" applyProtection="1">
      <protection hidden="1"/>
    </xf>
    <xf numFmtId="0" fontId="23" fillId="0" borderId="50" xfId="7" applyFont="1" applyBorder="1" applyAlignment="1" applyProtection="1">
      <alignment horizontal="left" vertical="top" wrapText="1"/>
      <protection locked="0"/>
    </xf>
    <xf numFmtId="0" fontId="23" fillId="0" borderId="51" xfId="7" applyFont="1" applyBorder="1" applyAlignment="1" applyProtection="1">
      <alignment horizontal="left" vertical="top"/>
      <protection locked="0"/>
    </xf>
    <xf numFmtId="0" fontId="23" fillId="0" borderId="52" xfId="7" applyFont="1" applyBorder="1" applyAlignment="1" applyProtection="1">
      <alignment horizontal="left" vertical="top"/>
      <protection locked="0"/>
    </xf>
    <xf numFmtId="0" fontId="23" fillId="0" borderId="15" xfId="7" applyFont="1" applyBorder="1" applyAlignment="1" applyProtection="1">
      <alignment horizontal="center" vertical="center"/>
      <protection locked="0"/>
    </xf>
    <xf numFmtId="0" fontId="23" fillId="0" borderId="9" xfId="7" applyFont="1" applyBorder="1" applyAlignment="1" applyProtection="1">
      <alignment horizontal="center" vertical="center"/>
      <protection locked="0"/>
    </xf>
    <xf numFmtId="166" fontId="26" fillId="11" borderId="6" xfId="4" applyNumberFormat="1" applyFont="1" applyFill="1" applyBorder="1" applyProtection="1">
      <protection hidden="1"/>
    </xf>
    <xf numFmtId="166" fontId="26" fillId="11" borderId="29" xfId="4" applyNumberFormat="1" applyFont="1" applyFill="1" applyBorder="1" applyAlignment="1" applyProtection="1">
      <protection hidden="1"/>
    </xf>
    <xf numFmtId="166" fontId="26" fillId="4" borderId="30" xfId="4" applyNumberFormat="1" applyFont="1" applyFill="1" applyBorder="1" applyProtection="1">
      <protection locked="0"/>
    </xf>
    <xf numFmtId="166" fontId="26" fillId="4" borderId="30" xfId="4" applyNumberFormat="1" applyFont="1" applyFill="1" applyBorder="1" applyAlignment="1" applyProtection="1">
      <protection locked="0"/>
    </xf>
    <xf numFmtId="166" fontId="26" fillId="0" borderId="6" xfId="4" applyNumberFormat="1" applyFont="1" applyFill="1" applyBorder="1" applyProtection="1">
      <protection hidden="1"/>
    </xf>
    <xf numFmtId="166" fontId="26" fillId="0" borderId="6" xfId="4" applyNumberFormat="1" applyFont="1" applyFill="1" applyBorder="1" applyAlignment="1" applyProtection="1">
      <protection hidden="1"/>
    </xf>
    <xf numFmtId="166" fontId="26" fillId="0" borderId="29" xfId="4" applyNumberFormat="1" applyFont="1" applyFill="1" applyBorder="1" applyAlignment="1" applyProtection="1">
      <protection hidden="1"/>
    </xf>
    <xf numFmtId="166" fontId="26" fillId="4" borderId="31" xfId="4" applyNumberFormat="1" applyFont="1" applyFill="1" applyBorder="1" applyProtection="1">
      <protection locked="0"/>
    </xf>
    <xf numFmtId="166" fontId="26" fillId="4" borderId="31" xfId="4" applyNumberFormat="1" applyFont="1" applyFill="1" applyBorder="1" applyAlignment="1" applyProtection="1">
      <protection locked="0"/>
    </xf>
    <xf numFmtId="166" fontId="26" fillId="4" borderId="32" xfId="4" applyNumberFormat="1" applyFont="1" applyFill="1" applyBorder="1" applyProtection="1">
      <protection locked="0"/>
    </xf>
    <xf numFmtId="166" fontId="26" fillId="4" borderId="32" xfId="4" applyNumberFormat="1" applyFont="1" applyFill="1" applyBorder="1" applyAlignment="1" applyProtection="1">
      <protection locked="0"/>
    </xf>
    <xf numFmtId="166" fontId="26" fillId="4" borderId="29" xfId="4" applyNumberFormat="1" applyFont="1" applyFill="1" applyBorder="1" applyProtection="1">
      <protection locked="0"/>
    </xf>
    <xf numFmtId="166" fontId="26" fillId="4" borderId="29" xfId="4" applyNumberFormat="1" applyFont="1" applyFill="1" applyBorder="1" applyAlignment="1" applyProtection="1">
      <protection locked="0"/>
    </xf>
    <xf numFmtId="0" fontId="23" fillId="0" borderId="59" xfId="7" applyFont="1" applyBorder="1" applyAlignment="1" applyProtection="1">
      <alignment horizontal="left" vertical="top" wrapText="1"/>
      <protection locked="0"/>
    </xf>
    <xf numFmtId="0" fontId="23" fillId="0" borderId="59" xfId="7" applyFont="1" applyBorder="1" applyAlignment="1" applyProtection="1">
      <alignment horizontal="left" vertical="top"/>
      <protection locked="0"/>
    </xf>
    <xf numFmtId="0" fontId="31" fillId="3" borderId="6" xfId="7" applyFont="1" applyFill="1" applyBorder="1" applyAlignment="1" applyProtection="1">
      <alignment vertical="center"/>
      <protection locked="0"/>
    </xf>
    <xf numFmtId="166" fontId="26" fillId="3" borderId="29" xfId="4" applyNumberFormat="1" applyFont="1" applyFill="1" applyBorder="1" applyAlignment="1" applyProtection="1">
      <alignment horizontal="right"/>
      <protection locked="0"/>
    </xf>
    <xf numFmtId="0" fontId="31" fillId="3" borderId="1" xfId="7" applyFont="1" applyFill="1" applyBorder="1" applyAlignment="1" applyProtection="1">
      <alignment horizontal="left" vertical="center"/>
      <protection locked="0"/>
    </xf>
    <xf numFmtId="0" fontId="31" fillId="3" borderId="2" xfId="7" applyFont="1" applyFill="1" applyBorder="1" applyAlignment="1" applyProtection="1">
      <alignment horizontal="left" vertical="center"/>
      <protection locked="0"/>
    </xf>
    <xf numFmtId="0" fontId="23" fillId="8" borderId="4" xfId="7" applyFont="1" applyFill="1" applyBorder="1" applyAlignment="1" applyProtection="1">
      <alignment horizontal="left"/>
      <protection locked="0"/>
    </xf>
    <xf numFmtId="0" fontId="23" fillId="8" borderId="0" xfId="7" applyFont="1" applyFill="1" applyAlignment="1" applyProtection="1">
      <alignment horizontal="left"/>
      <protection locked="0"/>
    </xf>
    <xf numFmtId="166" fontId="26" fillId="0" borderId="29" xfId="4" applyNumberFormat="1" applyFont="1" applyBorder="1" applyAlignment="1" applyProtection="1">
      <alignment horizontal="right"/>
      <protection locked="0"/>
    </xf>
    <xf numFmtId="0" fontId="23" fillId="8" borderId="4" xfId="7" applyFont="1" applyFill="1" applyBorder="1" applyProtection="1">
      <protection locked="0"/>
    </xf>
    <xf numFmtId="0" fontId="23" fillId="8" borderId="0" xfId="7" applyFont="1" applyFill="1" applyProtection="1">
      <protection locked="0"/>
    </xf>
    <xf numFmtId="0" fontId="23" fillId="8" borderId="60" xfId="7" applyFont="1" applyFill="1" applyBorder="1" applyAlignment="1" applyProtection="1">
      <alignment horizontal="left" vertical="top" wrapText="1"/>
      <protection locked="0"/>
    </xf>
    <xf numFmtId="0" fontId="23" fillId="8" borderId="61" xfId="7" applyFont="1" applyFill="1" applyBorder="1" applyAlignment="1" applyProtection="1">
      <alignment horizontal="left" vertical="top"/>
      <protection locked="0"/>
    </xf>
    <xf numFmtId="0" fontId="23" fillId="8" borderId="62" xfId="7" applyFont="1" applyFill="1" applyBorder="1" applyAlignment="1" applyProtection="1">
      <alignment horizontal="left" vertical="top"/>
      <protection locked="0"/>
    </xf>
    <xf numFmtId="0" fontId="23" fillId="8" borderId="63" xfId="7" applyFont="1" applyFill="1" applyBorder="1" applyAlignment="1" applyProtection="1">
      <alignment horizontal="left" vertical="top"/>
      <protection locked="0"/>
    </xf>
    <xf numFmtId="0" fontId="23" fillId="8" borderId="64" xfId="7" applyFont="1" applyFill="1" applyBorder="1" applyAlignment="1" applyProtection="1">
      <alignment horizontal="left" vertical="top"/>
      <protection locked="0"/>
    </xf>
    <xf numFmtId="0" fontId="23" fillId="8" borderId="65" xfId="7" applyFont="1" applyFill="1" applyBorder="1" applyAlignment="1" applyProtection="1">
      <alignment horizontal="left" vertical="top"/>
      <protection locked="0"/>
    </xf>
    <xf numFmtId="0" fontId="23" fillId="8" borderId="6" xfId="7" applyFont="1" applyFill="1" applyBorder="1" applyAlignment="1" applyProtection="1">
      <alignment horizontal="center" vertical="center"/>
      <protection locked="0"/>
    </xf>
    <xf numFmtId="0" fontId="23" fillId="8" borderId="6" xfId="7" applyFont="1" applyFill="1" applyBorder="1" applyAlignment="1" applyProtection="1">
      <alignment horizontal="center" vertical="center" wrapText="1"/>
      <protection locked="0"/>
    </xf>
    <xf numFmtId="0" fontId="31" fillId="8" borderId="6" xfId="7" applyFont="1" applyFill="1" applyBorder="1" applyAlignment="1" applyProtection="1">
      <alignment horizontal="center" vertical="center"/>
      <protection locked="0"/>
    </xf>
    <xf numFmtId="0" fontId="14" fillId="0" borderId="1" xfId="0" applyFont="1" applyBorder="1" applyAlignment="1" applyProtection="1">
      <alignment vertical="center"/>
      <protection locked="0"/>
    </xf>
    <xf numFmtId="0" fontId="14" fillId="0" borderId="2" xfId="0" applyFont="1" applyBorder="1" applyAlignment="1" applyProtection="1">
      <alignment vertical="center"/>
      <protection locked="0"/>
    </xf>
    <xf numFmtId="166" fontId="14" fillId="9" borderId="2" xfId="4" applyNumberFormat="1" applyFont="1" applyFill="1" applyBorder="1" applyAlignment="1" applyProtection="1">
      <alignment horizontal="center" vertical="center"/>
      <protection locked="0"/>
    </xf>
    <xf numFmtId="166" fontId="14" fillId="9" borderId="3" xfId="4" applyNumberFormat="1" applyFont="1" applyFill="1" applyBorder="1" applyAlignment="1" applyProtection="1">
      <alignment horizontal="center" vertical="center"/>
      <protection locked="0"/>
    </xf>
    <xf numFmtId="0" fontId="19" fillId="0" borderId="1" xfId="0" applyFont="1" applyBorder="1" applyAlignment="1" applyProtection="1">
      <alignment horizontal="right"/>
      <protection locked="0"/>
    </xf>
    <xf numFmtId="0" fontId="19" fillId="0" borderId="2" xfId="0" applyFont="1" applyBorder="1" applyAlignment="1" applyProtection="1">
      <alignment horizontal="right"/>
      <protection locked="0"/>
    </xf>
    <xf numFmtId="0" fontId="19" fillId="0" borderId="3" xfId="0" applyFont="1" applyBorder="1" applyAlignment="1" applyProtection="1">
      <alignment horizontal="right"/>
      <protection locked="0"/>
    </xf>
    <xf numFmtId="166" fontId="42" fillId="0" borderId="1" xfId="4" applyNumberFormat="1" applyFont="1" applyBorder="1" applyAlignment="1" applyProtection="1">
      <alignment horizontal="center"/>
      <protection locked="0"/>
    </xf>
    <xf numFmtId="166" fontId="42" fillId="0" borderId="3" xfId="4" applyNumberFormat="1" applyFont="1" applyBorder="1" applyAlignment="1" applyProtection="1">
      <alignment horizontal="center"/>
      <protection locked="0"/>
    </xf>
    <xf numFmtId="166" fontId="42" fillId="0" borderId="1" xfId="4" applyNumberFormat="1" applyFont="1" applyBorder="1" applyProtection="1">
      <protection locked="0"/>
    </xf>
    <xf numFmtId="166" fontId="42" fillId="0" borderId="3" xfId="4" applyNumberFormat="1" applyFont="1" applyBorder="1" applyProtection="1">
      <protection locked="0"/>
    </xf>
    <xf numFmtId="0" fontId="14" fillId="0" borderId="15" xfId="0" applyFont="1" applyBorder="1" applyAlignment="1" applyProtection="1">
      <alignment horizontal="left" vertical="center"/>
      <protection locked="0"/>
    </xf>
    <xf numFmtId="0" fontId="14" fillId="0" borderId="8" xfId="0" applyFont="1" applyBorder="1" applyAlignment="1" applyProtection="1">
      <alignment horizontal="left" vertical="center"/>
      <protection locked="0"/>
    </xf>
    <xf numFmtId="0" fontId="14" fillId="0" borderId="9" xfId="0" applyFont="1" applyBorder="1" applyAlignment="1" applyProtection="1">
      <alignment horizontal="left" vertical="center"/>
      <protection locked="0"/>
    </xf>
    <xf numFmtId="0" fontId="19" fillId="0" borderId="1" xfId="0" applyFont="1" applyBorder="1" applyProtection="1">
      <protection locked="0"/>
    </xf>
    <xf numFmtId="0" fontId="19" fillId="0" borderId="2" xfId="0" applyFont="1" applyBorder="1" applyProtection="1">
      <protection locked="0"/>
    </xf>
    <xf numFmtId="0" fontId="19" fillId="0" borderId="3" xfId="0" applyFont="1" applyBorder="1" applyProtection="1">
      <protection locked="0"/>
    </xf>
    <xf numFmtId="0" fontId="19" fillId="0" borderId="6" xfId="0" applyFont="1" applyBorder="1" applyProtection="1">
      <protection locked="0"/>
    </xf>
    <xf numFmtId="166" fontId="42" fillId="0" borderId="6" xfId="4" applyNumberFormat="1" applyFont="1" applyBorder="1" applyAlignment="1" applyProtection="1">
      <alignment horizontal="center"/>
      <protection locked="0"/>
    </xf>
    <xf numFmtId="166" fontId="42" fillId="0" borderId="6" xfId="4" applyNumberFormat="1" applyFont="1" applyBorder="1" applyProtection="1">
      <protection locked="0"/>
    </xf>
    <xf numFmtId="0" fontId="14" fillId="9" borderId="6" xfId="0" applyFont="1" applyFill="1" applyBorder="1" applyAlignment="1" applyProtection="1">
      <alignment vertical="center"/>
      <protection locked="0"/>
    </xf>
    <xf numFmtId="0" fontId="14" fillId="0" borderId="4" xfId="0" applyFont="1" applyBorder="1" applyAlignment="1" applyProtection="1">
      <alignment horizontal="left" vertical="top"/>
      <protection locked="0"/>
    </xf>
    <xf numFmtId="0" fontId="14" fillId="0" borderId="0" xfId="0" applyFont="1" applyAlignment="1" applyProtection="1">
      <alignment horizontal="left" vertical="top"/>
      <protection locked="0"/>
    </xf>
    <xf numFmtId="0" fontId="19" fillId="9" borderId="1" xfId="0" applyFont="1" applyFill="1" applyBorder="1" applyAlignment="1" applyProtection="1">
      <alignment horizontal="center" vertical="center"/>
      <protection locked="0"/>
    </xf>
    <xf numFmtId="0" fontId="19" fillId="9" borderId="2" xfId="0" applyFont="1" applyFill="1" applyBorder="1" applyAlignment="1" applyProtection="1">
      <alignment horizontal="center" vertical="center"/>
      <protection locked="0"/>
    </xf>
    <xf numFmtId="0" fontId="19" fillId="9" borderId="3" xfId="0" applyFont="1" applyFill="1" applyBorder="1" applyAlignment="1" applyProtection="1">
      <alignment horizontal="center" vertical="center"/>
      <protection locked="0"/>
    </xf>
    <xf numFmtId="0" fontId="19" fillId="9" borderId="1" xfId="0" applyFont="1" applyFill="1" applyBorder="1" applyAlignment="1" applyProtection="1">
      <alignment horizontal="center" vertical="center" wrapText="1"/>
      <protection locked="0"/>
    </xf>
    <xf numFmtId="0" fontId="19" fillId="9" borderId="3" xfId="0" applyFont="1" applyFill="1" applyBorder="1" applyAlignment="1" applyProtection="1">
      <alignment horizontal="center" vertical="center" wrapText="1"/>
      <protection locked="0"/>
    </xf>
    <xf numFmtId="166" fontId="42" fillId="9" borderId="6" xfId="4" applyNumberFormat="1" applyFont="1" applyFill="1" applyBorder="1" applyProtection="1">
      <protection hidden="1"/>
    </xf>
    <xf numFmtId="166" fontId="42" fillId="9" borderId="6" xfId="4" applyNumberFormat="1" applyFont="1" applyFill="1" applyBorder="1" applyProtection="1">
      <protection locked="0"/>
    </xf>
    <xf numFmtId="166" fontId="42" fillId="0" borderId="6" xfId="4" applyNumberFormat="1" applyFont="1" applyBorder="1" applyProtection="1">
      <protection hidden="1"/>
    </xf>
    <xf numFmtId="166" fontId="42" fillId="0" borderId="1" xfId="4" applyNumberFormat="1" applyFont="1" applyBorder="1" applyProtection="1">
      <protection hidden="1"/>
    </xf>
    <xf numFmtId="166" fontId="42" fillId="0" borderId="3" xfId="4" applyNumberFormat="1" applyFont="1" applyBorder="1" applyProtection="1">
      <protection hidden="1"/>
    </xf>
    <xf numFmtId="0" fontId="14" fillId="11" borderId="6" xfId="0" applyFont="1" applyFill="1" applyBorder="1" applyAlignment="1" applyProtection="1">
      <alignment horizontal="center" vertical="center" wrapText="1"/>
      <protection locked="0"/>
    </xf>
    <xf numFmtId="14" fontId="14" fillId="11" borderId="10" xfId="0" applyNumberFormat="1" applyFont="1" applyFill="1" applyBorder="1" applyAlignment="1" applyProtection="1">
      <alignment horizontal="center" vertical="center"/>
      <protection hidden="1"/>
    </xf>
    <xf numFmtId="14" fontId="14" fillId="11" borderId="11" xfId="0" applyNumberFormat="1" applyFont="1" applyFill="1" applyBorder="1" applyAlignment="1" applyProtection="1">
      <alignment horizontal="center" vertical="center"/>
      <protection hidden="1"/>
    </xf>
    <xf numFmtId="0" fontId="14" fillId="11" borderId="7" xfId="0" applyFont="1" applyFill="1" applyBorder="1" applyAlignment="1" applyProtection="1">
      <alignment horizontal="center" vertical="center"/>
      <protection locked="0"/>
    </xf>
    <xf numFmtId="0" fontId="14" fillId="11" borderId="5" xfId="0" applyFont="1" applyFill="1" applyBorder="1" applyAlignment="1" applyProtection="1">
      <alignment horizontal="center" vertical="center"/>
      <protection locked="0"/>
    </xf>
    <xf numFmtId="0" fontId="14" fillId="11" borderId="15" xfId="0" applyFont="1" applyFill="1" applyBorder="1" applyAlignment="1" applyProtection="1">
      <alignment horizontal="center" vertical="center"/>
      <protection locked="0"/>
    </xf>
    <xf numFmtId="0" fontId="14" fillId="11" borderId="8" xfId="0" applyFont="1" applyFill="1" applyBorder="1" applyAlignment="1" applyProtection="1">
      <alignment horizontal="center" vertical="center"/>
      <protection locked="0"/>
    </xf>
    <xf numFmtId="0" fontId="14" fillId="9" borderId="6" xfId="0" applyFont="1" applyFill="1" applyBorder="1" applyProtection="1">
      <protection locked="0"/>
    </xf>
    <xf numFmtId="166" fontId="42" fillId="9" borderId="6" xfId="4" applyNumberFormat="1" applyFont="1" applyFill="1" applyBorder="1" applyAlignment="1" applyProtection="1">
      <alignment vertical="center"/>
      <protection hidden="1"/>
    </xf>
    <xf numFmtId="0" fontId="19" fillId="0" borderId="6" xfId="0" applyFont="1" applyBorder="1" applyAlignment="1" applyProtection="1">
      <alignment horizontal="left" vertical="center" wrapText="1"/>
      <protection locked="0"/>
    </xf>
    <xf numFmtId="166" fontId="42" fillId="0" borderId="6" xfId="4" applyNumberFormat="1" applyFont="1" applyBorder="1" applyAlignment="1" applyProtection="1">
      <alignment vertical="center"/>
      <protection hidden="1"/>
    </xf>
    <xf numFmtId="166" fontId="42" fillId="0" borderId="1" xfId="4" applyNumberFormat="1" applyFont="1" applyBorder="1" applyAlignment="1" applyProtection="1">
      <alignment vertical="center"/>
      <protection hidden="1"/>
    </xf>
    <xf numFmtId="166" fontId="42" fillId="0" borderId="3" xfId="4" applyNumberFormat="1" applyFont="1" applyBorder="1" applyAlignment="1" applyProtection="1">
      <alignment vertical="center"/>
      <protection hidden="1"/>
    </xf>
    <xf numFmtId="0" fontId="14" fillId="11" borderId="9" xfId="0" applyFont="1" applyFill="1" applyBorder="1" applyAlignment="1" applyProtection="1">
      <alignment horizontal="center" vertical="center"/>
      <protection locked="0"/>
    </xf>
    <xf numFmtId="0" fontId="14" fillId="11" borderId="10" xfId="0" applyFont="1" applyFill="1" applyBorder="1" applyAlignment="1" applyProtection="1">
      <alignment horizontal="center" vertical="center"/>
      <protection locked="0"/>
    </xf>
    <xf numFmtId="0" fontId="14" fillId="11" borderId="11" xfId="0" applyFont="1" applyFill="1" applyBorder="1" applyAlignment="1" applyProtection="1">
      <alignment horizontal="center" vertical="center"/>
      <protection locked="0"/>
    </xf>
    <xf numFmtId="0" fontId="14" fillId="11" borderId="12" xfId="0" applyFont="1" applyFill="1" applyBorder="1" applyAlignment="1" applyProtection="1">
      <alignment horizontal="center" vertical="center"/>
      <protection locked="0"/>
    </xf>
    <xf numFmtId="0" fontId="14" fillId="11" borderId="15" xfId="0" applyFont="1" applyFill="1" applyBorder="1" applyAlignment="1" applyProtection="1">
      <alignment horizontal="center"/>
      <protection locked="0"/>
    </xf>
    <xf numFmtId="0" fontId="14" fillId="11" borderId="9" xfId="0" applyFont="1" applyFill="1" applyBorder="1" applyAlignment="1" applyProtection="1">
      <alignment horizontal="center"/>
      <protection locked="0"/>
    </xf>
    <xf numFmtId="0" fontId="14" fillId="11" borderId="8" xfId="0" applyFont="1" applyFill="1" applyBorder="1" applyAlignment="1" applyProtection="1">
      <alignment horizontal="center"/>
      <protection locked="0"/>
    </xf>
    <xf numFmtId="0" fontId="14" fillId="11" borderId="6" xfId="0" applyFont="1" applyFill="1" applyBorder="1" applyAlignment="1" applyProtection="1">
      <alignment horizontal="center" vertical="center"/>
      <protection locked="0"/>
    </xf>
    <xf numFmtId="14" fontId="14" fillId="11" borderId="12" xfId="0" applyNumberFormat="1" applyFont="1" applyFill="1" applyBorder="1" applyAlignment="1" applyProtection="1">
      <alignment horizontal="center" vertical="center"/>
      <protection hidden="1"/>
    </xf>
    <xf numFmtId="166" fontId="46" fillId="9" borderId="6" xfId="4" applyNumberFormat="1" applyFont="1" applyFill="1" applyBorder="1" applyAlignment="1" applyProtection="1">
      <alignment vertical="center"/>
      <protection hidden="1"/>
    </xf>
    <xf numFmtId="166" fontId="46" fillId="9" borderId="1" xfId="4" applyNumberFormat="1" applyFont="1" applyFill="1" applyBorder="1" applyAlignment="1" applyProtection="1">
      <alignment vertical="center"/>
      <protection hidden="1"/>
    </xf>
    <xf numFmtId="166" fontId="46" fillId="9" borderId="3" xfId="4" applyNumberFormat="1" applyFont="1" applyFill="1" applyBorder="1" applyAlignment="1" applyProtection="1">
      <alignment vertical="center"/>
      <protection hidden="1"/>
    </xf>
    <xf numFmtId="0" fontId="19" fillId="0" borderId="1" xfId="0" applyFont="1" applyBorder="1" applyAlignment="1" applyProtection="1">
      <alignment horizontal="left"/>
      <protection locked="0"/>
    </xf>
    <xf numFmtId="0" fontId="19" fillId="0" borderId="2" xfId="0" applyFont="1" applyBorder="1" applyAlignment="1" applyProtection="1">
      <alignment horizontal="left"/>
      <protection locked="0"/>
    </xf>
    <xf numFmtId="0" fontId="19" fillId="0" borderId="3" xfId="0" applyFont="1" applyBorder="1" applyAlignment="1" applyProtection="1">
      <alignment horizontal="left"/>
      <protection locked="0"/>
    </xf>
    <xf numFmtId="0" fontId="48" fillId="0" borderId="0" xfId="0" applyFont="1" applyAlignment="1" applyProtection="1">
      <alignment horizontal="left" vertical="top" wrapText="1"/>
      <protection hidden="1"/>
    </xf>
    <xf numFmtId="166" fontId="42" fillId="0" borderId="1" xfId="4" applyNumberFormat="1" applyFont="1" applyBorder="1" applyAlignment="1" applyProtection="1">
      <protection hidden="1"/>
    </xf>
    <xf numFmtId="166" fontId="42" fillId="0" borderId="3" xfId="4" applyNumberFormat="1" applyFont="1" applyBorder="1" applyAlignment="1" applyProtection="1">
      <protection hidden="1"/>
    </xf>
    <xf numFmtId="166" fontId="46" fillId="9" borderId="1" xfId="4" applyNumberFormat="1" applyFont="1" applyFill="1" applyBorder="1" applyAlignment="1" applyProtection="1">
      <protection hidden="1"/>
    </xf>
    <xf numFmtId="166" fontId="46" fillId="9" borderId="3" xfId="4" applyNumberFormat="1" applyFont="1" applyFill="1" applyBorder="1" applyAlignment="1" applyProtection="1">
      <protection hidden="1"/>
    </xf>
    <xf numFmtId="166" fontId="42" fillId="0" borderId="6" xfId="4" applyNumberFormat="1" applyFont="1" applyBorder="1" applyAlignment="1" applyProtection="1">
      <protection hidden="1"/>
    </xf>
    <xf numFmtId="0" fontId="14" fillId="11" borderId="15" xfId="0" applyFont="1" applyFill="1" applyBorder="1" applyAlignment="1" applyProtection="1">
      <alignment horizontal="center" vertical="center" wrapText="1"/>
      <protection locked="0"/>
    </xf>
    <xf numFmtId="0" fontId="13" fillId="11" borderId="6" xfId="0" applyFont="1" applyFill="1" applyBorder="1" applyAlignment="1" applyProtection="1">
      <alignment horizontal="center" vertical="center"/>
      <protection locked="0"/>
    </xf>
    <xf numFmtId="0" fontId="14" fillId="11" borderId="7" xfId="0" applyFont="1" applyFill="1" applyBorder="1" applyAlignment="1" applyProtection="1">
      <alignment horizontal="center" vertical="center" wrapText="1"/>
      <protection locked="0"/>
    </xf>
    <xf numFmtId="0" fontId="14" fillId="11" borderId="5" xfId="0" applyFont="1" applyFill="1" applyBorder="1" applyAlignment="1" applyProtection="1">
      <alignment horizontal="center" vertical="center" wrapText="1"/>
      <protection locked="0"/>
    </xf>
    <xf numFmtId="0" fontId="19" fillId="0" borderId="6" xfId="0" applyFont="1" applyBorder="1" applyAlignment="1" applyProtection="1">
      <alignment vertical="center"/>
      <protection locked="0"/>
    </xf>
    <xf numFmtId="0" fontId="19" fillId="0" borderId="1" xfId="0" applyFont="1" applyBorder="1" applyAlignment="1" applyProtection="1">
      <alignment vertical="center"/>
      <protection locked="0"/>
    </xf>
    <xf numFmtId="0" fontId="19" fillId="0" borderId="2" xfId="0" applyFont="1" applyBorder="1" applyAlignment="1" applyProtection="1">
      <alignment vertical="center"/>
      <protection locked="0"/>
    </xf>
    <xf numFmtId="0" fontId="19" fillId="0" borderId="3" xfId="0" applyFont="1" applyBorder="1" applyAlignment="1" applyProtection="1">
      <alignment vertical="center"/>
      <protection locked="0"/>
    </xf>
    <xf numFmtId="0" fontId="48" fillId="0" borderId="0" xfId="0" applyFont="1" applyAlignment="1" applyProtection="1">
      <alignment vertical="top" wrapText="1"/>
      <protection hidden="1"/>
    </xf>
    <xf numFmtId="167" fontId="42" fillId="0" borderId="6" xfId="4" applyNumberFormat="1" applyFont="1" applyBorder="1" applyProtection="1">
      <protection locked="0"/>
    </xf>
    <xf numFmtId="0" fontId="19" fillId="0" borderId="1" xfId="0" applyFont="1" applyBorder="1" applyAlignment="1" applyProtection="1">
      <alignment vertical="center" wrapText="1"/>
      <protection locked="0"/>
    </xf>
    <xf numFmtId="0" fontId="19" fillId="0" borderId="2" xfId="0" applyFont="1" applyBorder="1" applyAlignment="1" applyProtection="1">
      <alignment vertical="center" wrapText="1"/>
      <protection locked="0"/>
    </xf>
    <xf numFmtId="0" fontId="19" fillId="0" borderId="3" xfId="0" applyFont="1" applyBorder="1" applyAlignment="1" applyProtection="1">
      <alignment vertical="center" wrapText="1"/>
      <protection locked="0"/>
    </xf>
    <xf numFmtId="0" fontId="19" fillId="4" borderId="1" xfId="0" applyFont="1" applyFill="1" applyBorder="1" applyAlignment="1" applyProtection="1">
      <alignment horizontal="left" vertical="center" wrapText="1"/>
      <protection locked="0"/>
    </xf>
    <xf numFmtId="0" fontId="19" fillId="4" borderId="2" xfId="0" applyFont="1" applyFill="1" applyBorder="1" applyAlignment="1" applyProtection="1">
      <alignment horizontal="left" vertical="center" wrapText="1"/>
      <protection locked="0"/>
    </xf>
    <xf numFmtId="0" fontId="19" fillId="4" borderId="3" xfId="0" applyFont="1" applyFill="1" applyBorder="1" applyAlignment="1" applyProtection="1">
      <alignment horizontal="left" vertical="center" wrapText="1"/>
      <protection locked="0"/>
    </xf>
    <xf numFmtId="0" fontId="19" fillId="1" borderId="6" xfId="0" applyFont="1" applyFill="1" applyBorder="1" applyProtection="1">
      <protection locked="0"/>
    </xf>
    <xf numFmtId="0" fontId="19" fillId="11" borderId="6" xfId="0" applyFont="1" applyFill="1" applyBorder="1" applyProtection="1">
      <protection locked="0"/>
    </xf>
    <xf numFmtId="166" fontId="42" fillId="11" borderId="6" xfId="4" applyNumberFormat="1" applyFont="1" applyFill="1" applyBorder="1" applyProtection="1">
      <protection locked="0"/>
    </xf>
    <xf numFmtId="0" fontId="19" fillId="9" borderId="6" xfId="0" applyFont="1" applyFill="1" applyBorder="1" applyAlignment="1" applyProtection="1">
      <alignment horizontal="center" vertical="center"/>
      <protection locked="0"/>
    </xf>
    <xf numFmtId="0" fontId="19" fillId="9" borderId="6" xfId="0" applyFont="1" applyFill="1" applyBorder="1" applyAlignment="1" applyProtection="1">
      <alignment horizontal="center" vertical="center" wrapText="1"/>
      <protection locked="0"/>
    </xf>
    <xf numFmtId="167" fontId="42" fillId="9" borderId="6" xfId="4" applyNumberFormat="1" applyFont="1" applyFill="1" applyBorder="1" applyAlignment="1" applyProtection="1">
      <alignment vertical="center"/>
      <protection locked="0"/>
    </xf>
    <xf numFmtId="167" fontId="42" fillId="9" borderId="6" xfId="4" applyNumberFormat="1" applyFont="1" applyFill="1" applyBorder="1" applyAlignment="1" applyProtection="1">
      <alignment horizontal="center" vertical="center"/>
      <protection locked="0"/>
    </xf>
    <xf numFmtId="14" fontId="42" fillId="0" borderId="1" xfId="4" applyNumberFormat="1" applyFont="1" applyBorder="1" applyAlignment="1" applyProtection="1">
      <alignment vertical="center"/>
      <protection locked="0"/>
    </xf>
    <xf numFmtId="14" fontId="42" fillId="0" borderId="3" xfId="4" applyNumberFormat="1" applyFont="1" applyBorder="1" applyAlignment="1" applyProtection="1">
      <alignment vertical="center"/>
      <protection locked="0"/>
    </xf>
    <xf numFmtId="167" fontId="42" fillId="0" borderId="1" xfId="4" applyNumberFormat="1" applyFont="1" applyBorder="1" applyAlignment="1" applyProtection="1">
      <alignment vertical="center"/>
      <protection locked="0"/>
    </xf>
    <xf numFmtId="167" fontId="42" fillId="0" borderId="3" xfId="4" applyNumberFormat="1" applyFont="1" applyBorder="1" applyAlignment="1" applyProtection="1">
      <alignment vertical="center"/>
      <protection locked="0"/>
    </xf>
    <xf numFmtId="14" fontId="42" fillId="0" borderId="6" xfId="4" applyNumberFormat="1" applyFont="1" applyBorder="1" applyAlignment="1" applyProtection="1">
      <alignment vertical="center"/>
      <protection locked="0"/>
    </xf>
    <xf numFmtId="0" fontId="14" fillId="11" borderId="9" xfId="0" applyFont="1" applyFill="1" applyBorder="1" applyAlignment="1" applyProtection="1">
      <alignment horizontal="center" vertical="center" wrapText="1"/>
      <protection locked="0"/>
    </xf>
    <xf numFmtId="0" fontId="14" fillId="9" borderId="1" xfId="0" applyFont="1" applyFill="1" applyBorder="1" applyAlignment="1" applyProtection="1">
      <alignment vertical="center" wrapText="1"/>
      <protection locked="0"/>
    </xf>
    <xf numFmtId="0" fontId="14" fillId="9" borderId="3" xfId="0" applyFont="1" applyFill="1" applyBorder="1" applyAlignment="1" applyProtection="1">
      <alignment vertical="center" wrapText="1"/>
      <protection locked="0"/>
    </xf>
    <xf numFmtId="9" fontId="19" fillId="9" borderId="6" xfId="6" applyFont="1" applyFill="1" applyBorder="1" applyAlignment="1" applyProtection="1">
      <alignment horizontal="center" vertical="center"/>
      <protection hidden="1"/>
    </xf>
    <xf numFmtId="0" fontId="19" fillId="0" borderId="6" xfId="0" applyFont="1" applyBorder="1" applyAlignment="1" applyProtection="1">
      <alignment horizontal="left" vertical="top"/>
      <protection locked="0"/>
    </xf>
    <xf numFmtId="9" fontId="19" fillId="0" borderId="6" xfId="6" applyFont="1" applyBorder="1" applyAlignment="1" applyProtection="1">
      <alignment horizontal="center" vertical="center"/>
      <protection hidden="1"/>
    </xf>
    <xf numFmtId="0" fontId="19" fillId="0" borderId="1" xfId="0" applyFont="1" applyBorder="1" applyAlignment="1" applyProtection="1">
      <alignment horizontal="left" vertical="center" wrapText="1"/>
      <protection locked="0"/>
    </xf>
    <xf numFmtId="0" fontId="19" fillId="0" borderId="3" xfId="0" applyFont="1" applyBorder="1" applyAlignment="1" applyProtection="1">
      <alignment horizontal="left" vertical="center" wrapText="1"/>
      <protection locked="0"/>
    </xf>
    <xf numFmtId="0" fontId="14" fillId="0" borderId="0" xfId="0" applyFont="1"/>
    <xf numFmtId="166" fontId="42" fillId="9" borderId="1" xfId="4" applyNumberFormat="1" applyFont="1" applyFill="1" applyBorder="1" applyAlignment="1" applyProtection="1">
      <alignment vertical="center"/>
      <protection hidden="1"/>
    </xf>
    <xf numFmtId="166" fontId="42" fillId="9" borderId="3" xfId="4" applyNumberFormat="1" applyFont="1" applyFill="1" applyBorder="1" applyAlignment="1" applyProtection="1">
      <alignment vertical="center"/>
      <protection hidden="1"/>
    </xf>
    <xf numFmtId="0" fontId="19" fillId="13" borderId="15" xfId="0" applyFont="1" applyFill="1" applyBorder="1" applyAlignment="1" applyProtection="1">
      <alignment horizontal="center"/>
      <protection locked="0"/>
    </xf>
    <xf numFmtId="0" fontId="19" fillId="13" borderId="9" xfId="0" applyFont="1" applyFill="1" applyBorder="1" applyAlignment="1" applyProtection="1">
      <alignment horizontal="center"/>
      <protection locked="0"/>
    </xf>
    <xf numFmtId="0" fontId="19" fillId="13" borderId="4" xfId="0" applyFont="1" applyFill="1" applyBorder="1" applyAlignment="1" applyProtection="1">
      <alignment horizontal="center"/>
      <protection locked="0"/>
    </xf>
    <xf numFmtId="0" fontId="19" fillId="13" borderId="17" xfId="0" applyFont="1" applyFill="1" applyBorder="1" applyAlignment="1" applyProtection="1">
      <alignment horizontal="center"/>
      <protection locked="0"/>
    </xf>
    <xf numFmtId="0" fontId="19" fillId="13" borderId="10" xfId="0" applyFont="1" applyFill="1" applyBorder="1" applyAlignment="1" applyProtection="1">
      <alignment horizontal="center"/>
      <protection locked="0"/>
    </xf>
    <xf numFmtId="0" fontId="19" fillId="13" borderId="12" xfId="0" applyFont="1" applyFill="1" applyBorder="1" applyAlignment="1" applyProtection="1">
      <alignment horizontal="center"/>
      <protection locked="0"/>
    </xf>
    <xf numFmtId="0" fontId="19" fillId="0" borderId="8" xfId="0" applyFont="1" applyBorder="1" applyProtection="1">
      <protection locked="0"/>
    </xf>
    <xf numFmtId="0" fontId="14" fillId="9" borderId="1" xfId="0" applyFont="1" applyFill="1" applyBorder="1" applyAlignment="1" applyProtection="1">
      <alignment horizontal="center" vertical="center"/>
      <protection locked="0"/>
    </xf>
    <xf numFmtId="0" fontId="14" fillId="9" borderId="2" xfId="0" applyFont="1" applyFill="1" applyBorder="1" applyAlignment="1" applyProtection="1">
      <alignment horizontal="center" vertical="center"/>
      <protection locked="0"/>
    </xf>
    <xf numFmtId="0" fontId="14" fillId="9" borderId="3" xfId="0" applyFont="1" applyFill="1" applyBorder="1" applyAlignment="1" applyProtection="1">
      <alignment horizontal="center" vertical="center"/>
      <protection locked="0"/>
    </xf>
    <xf numFmtId="166" fontId="42" fillId="0" borderId="2" xfId="4" applyNumberFormat="1" applyFont="1" applyBorder="1" applyProtection="1">
      <protection locked="0"/>
    </xf>
    <xf numFmtId="0" fontId="19" fillId="0" borderId="1" xfId="0" applyFont="1" applyBorder="1" applyAlignment="1" applyProtection="1">
      <alignment horizontal="center"/>
      <protection locked="0"/>
    </xf>
    <xf numFmtId="0" fontId="19" fillId="0" borderId="3" xfId="0" applyFont="1" applyBorder="1" applyAlignment="1" applyProtection="1">
      <alignment horizontal="center"/>
      <protection locked="0"/>
    </xf>
    <xf numFmtId="0" fontId="14" fillId="9" borderId="15" xfId="0" applyFont="1" applyFill="1" applyBorder="1" applyAlignment="1" applyProtection="1">
      <alignment horizontal="center" vertical="center"/>
      <protection locked="0"/>
    </xf>
    <xf numFmtId="0" fontId="14" fillId="9" borderId="8" xfId="0" applyFont="1" applyFill="1" applyBorder="1" applyAlignment="1" applyProtection="1">
      <alignment horizontal="center" vertical="center"/>
      <protection locked="0"/>
    </xf>
    <xf numFmtId="0" fontId="14" fillId="9" borderId="9" xfId="0" applyFont="1" applyFill="1" applyBorder="1" applyAlignment="1" applyProtection="1">
      <alignment horizontal="center" vertical="center"/>
      <protection locked="0"/>
    </xf>
    <xf numFmtId="0" fontId="14" fillId="9" borderId="10" xfId="0" applyFont="1" applyFill="1" applyBorder="1" applyAlignment="1" applyProtection="1">
      <alignment horizontal="center" vertical="center"/>
      <protection locked="0"/>
    </xf>
    <xf numFmtId="0" fontId="14" fillId="9" borderId="11" xfId="0" applyFont="1" applyFill="1" applyBorder="1" applyAlignment="1" applyProtection="1">
      <alignment horizontal="center" vertical="center"/>
      <protection locked="0"/>
    </xf>
    <xf numFmtId="0" fontId="14" fillId="9" borderId="12" xfId="0" applyFont="1" applyFill="1" applyBorder="1" applyAlignment="1" applyProtection="1">
      <alignment horizontal="center" vertical="center"/>
      <protection locked="0"/>
    </xf>
    <xf numFmtId="0" fontId="14" fillId="9" borderId="6" xfId="0" applyFont="1" applyFill="1" applyBorder="1" applyAlignment="1" applyProtection="1">
      <alignment horizontal="center" vertical="center"/>
      <protection locked="0"/>
    </xf>
    <xf numFmtId="14" fontId="14" fillId="9" borderId="1" xfId="0" applyNumberFormat="1" applyFont="1" applyFill="1" applyBorder="1" applyAlignment="1" applyProtection="1">
      <alignment horizontal="center" vertical="center"/>
      <protection hidden="1"/>
    </xf>
    <xf numFmtId="14" fontId="14" fillId="9" borderId="3" xfId="0" applyNumberFormat="1" applyFont="1" applyFill="1" applyBorder="1" applyAlignment="1" applyProtection="1">
      <alignment horizontal="center" vertical="center"/>
      <protection hidden="1"/>
    </xf>
    <xf numFmtId="0" fontId="48" fillId="0" borderId="0" xfId="0" applyFont="1" applyAlignment="1" applyProtection="1">
      <alignment horizontal="left" vertical="center"/>
      <protection hidden="1"/>
    </xf>
    <xf numFmtId="14" fontId="14" fillId="3" borderId="5" xfId="0" applyNumberFormat="1" applyFont="1" applyFill="1" applyBorder="1" applyAlignment="1" applyProtection="1">
      <alignment horizontal="center" vertical="center"/>
      <protection hidden="1"/>
    </xf>
    <xf numFmtId="0" fontId="14" fillId="3" borderId="6" xfId="0" applyFont="1" applyFill="1" applyBorder="1" applyAlignment="1" applyProtection="1">
      <alignment horizontal="center" vertical="center"/>
      <protection locked="0"/>
    </xf>
    <xf numFmtId="0" fontId="19" fillId="0" borderId="0" xfId="0" applyFont="1" applyAlignment="1" applyProtection="1">
      <alignment vertical="center" wrapText="1"/>
      <protection hidden="1"/>
    </xf>
    <xf numFmtId="0" fontId="19" fillId="0" borderId="6" xfId="0" applyFont="1" applyBorder="1" applyAlignment="1" applyProtection="1">
      <alignment vertical="center" wrapText="1"/>
      <protection locked="0"/>
    </xf>
    <xf numFmtId="166" fontId="42" fillId="0" borderId="1" xfId="4" applyNumberFormat="1" applyFont="1" applyFill="1" applyBorder="1" applyAlignment="1" applyProtection="1">
      <alignment vertical="center"/>
      <protection hidden="1"/>
    </xf>
    <xf numFmtId="166" fontId="42" fillId="0" borderId="3" xfId="4" applyNumberFormat="1" applyFont="1" applyFill="1" applyBorder="1" applyAlignment="1" applyProtection="1">
      <alignment vertical="center"/>
      <protection hidden="1"/>
    </xf>
    <xf numFmtId="0" fontId="19" fillId="0" borderId="0" xfId="0" applyFont="1" applyAlignment="1">
      <alignment vertical="center" wrapText="1"/>
    </xf>
    <xf numFmtId="0" fontId="19" fillId="0" borderId="0" xfId="0" applyFont="1"/>
    <xf numFmtId="0" fontId="14" fillId="9" borderId="6" xfId="0" applyFont="1" applyFill="1" applyBorder="1" applyAlignment="1" applyProtection="1">
      <alignment vertical="center" wrapText="1"/>
      <protection locked="0"/>
    </xf>
    <xf numFmtId="0" fontId="19" fillId="0" borderId="1" xfId="0" applyFont="1" applyBorder="1" applyAlignment="1" applyProtection="1">
      <alignment vertical="top" wrapText="1"/>
      <protection locked="0"/>
    </xf>
    <xf numFmtId="0" fontId="19" fillId="0" borderId="3" xfId="0" applyFont="1" applyBorder="1" applyAlignment="1" applyProtection="1">
      <alignment vertical="top" wrapText="1"/>
      <protection locked="0"/>
    </xf>
    <xf numFmtId="166" fontId="42" fillId="0" borderId="1" xfId="4" applyNumberFormat="1" applyFont="1" applyBorder="1" applyAlignment="1" applyProtection="1">
      <alignment horizontal="center" vertical="center"/>
      <protection hidden="1"/>
    </xf>
    <xf numFmtId="166" fontId="42" fillId="0" borderId="3" xfId="4" applyNumberFormat="1" applyFont="1" applyBorder="1" applyAlignment="1" applyProtection="1">
      <alignment horizontal="center" vertical="center"/>
      <protection hidden="1"/>
    </xf>
    <xf numFmtId="0" fontId="14" fillId="9" borderId="1" xfId="0" applyFont="1" applyFill="1" applyBorder="1" applyAlignment="1" applyProtection="1">
      <alignment vertical="top" wrapText="1"/>
      <protection locked="0"/>
    </xf>
    <xf numFmtId="0" fontId="14" fillId="9" borderId="3" xfId="0" applyFont="1" applyFill="1" applyBorder="1" applyAlignment="1" applyProtection="1">
      <alignment vertical="top" wrapText="1"/>
      <protection locked="0"/>
    </xf>
    <xf numFmtId="0" fontId="14" fillId="0" borderId="0" xfId="0" applyFont="1" applyAlignment="1">
      <alignment vertical="center" wrapText="1"/>
    </xf>
    <xf numFmtId="0" fontId="19" fillId="0" borderId="1" xfId="0" applyFont="1" applyBorder="1" applyAlignment="1" applyProtection="1">
      <alignment vertical="top"/>
      <protection locked="0"/>
    </xf>
    <xf numFmtId="0" fontId="19" fillId="0" borderId="3" xfId="0" applyFont="1" applyBorder="1" applyAlignment="1" applyProtection="1">
      <alignment vertical="top"/>
      <protection locked="0"/>
    </xf>
    <xf numFmtId="0" fontId="19" fillId="0" borderId="1" xfId="0" applyFont="1" applyBorder="1" applyAlignment="1" applyProtection="1">
      <alignment horizontal="left" vertical="center"/>
      <protection locked="0"/>
    </xf>
    <xf numFmtId="0" fontId="19" fillId="0" borderId="3" xfId="0" applyFont="1" applyBorder="1" applyAlignment="1" applyProtection="1">
      <alignment horizontal="left" vertical="center"/>
      <protection locked="0"/>
    </xf>
    <xf numFmtId="0" fontId="32" fillId="0" borderId="7" xfId="7" applyFont="1" applyBorder="1" applyAlignment="1" applyProtection="1">
      <alignment horizontal="center" vertical="center"/>
      <protection locked="0"/>
    </xf>
    <xf numFmtId="0" fontId="32" fillId="0" borderId="15" xfId="7" applyFont="1" applyBorder="1" applyAlignment="1" applyProtection="1">
      <alignment horizontal="center" vertical="justify"/>
      <protection locked="0"/>
    </xf>
    <xf numFmtId="0" fontId="32" fillId="0" borderId="9" xfId="7" applyFont="1" applyBorder="1" applyAlignment="1" applyProtection="1">
      <alignment horizontal="center" vertical="justify"/>
      <protection locked="0"/>
    </xf>
    <xf numFmtId="0" fontId="32" fillId="0" borderId="10" xfId="7" applyFont="1" applyBorder="1" applyAlignment="1" applyProtection="1">
      <alignment horizontal="center"/>
      <protection locked="0"/>
    </xf>
    <xf numFmtId="0" fontId="32" fillId="0" borderId="12" xfId="7" applyFont="1" applyBorder="1" applyAlignment="1" applyProtection="1">
      <alignment horizontal="center"/>
      <protection locked="0"/>
    </xf>
    <xf numFmtId="0" fontId="25" fillId="0" borderId="6" xfId="7" applyFont="1" applyBorder="1" applyAlignment="1" applyProtection="1">
      <alignment horizontal="center" vertical="top" wrapText="1"/>
      <protection locked="0"/>
    </xf>
    <xf numFmtId="14" fontId="14" fillId="0" borderId="20" xfId="0" applyNumberFormat="1" applyFont="1" applyBorder="1" applyAlignment="1" applyProtection="1">
      <alignment horizontal="center"/>
      <protection hidden="1"/>
    </xf>
    <xf numFmtId="0" fontId="14" fillId="0" borderId="0" xfId="0" applyFont="1" applyAlignment="1" applyProtection="1">
      <alignment horizontal="center"/>
      <protection hidden="1"/>
    </xf>
    <xf numFmtId="0" fontId="21" fillId="0" borderId="0" xfId="7" applyFont="1" applyAlignment="1" applyProtection="1">
      <alignment horizontal="center" vertical="center"/>
      <protection locked="0"/>
    </xf>
    <xf numFmtId="0" fontId="21" fillId="0" borderId="0" xfId="7" applyFont="1" applyAlignment="1" applyProtection="1">
      <alignment horizontal="center"/>
      <protection locked="0"/>
    </xf>
    <xf numFmtId="0" fontId="32" fillId="0" borderId="15" xfId="7" applyFont="1" applyBorder="1" applyAlignment="1" applyProtection="1">
      <alignment horizontal="center" vertical="center"/>
      <protection locked="0"/>
    </xf>
    <xf numFmtId="0" fontId="32" fillId="0" borderId="9" xfId="7" applyFont="1" applyBorder="1" applyAlignment="1" applyProtection="1">
      <alignment horizontal="center" vertical="center"/>
      <protection locked="0"/>
    </xf>
    <xf numFmtId="0" fontId="32" fillId="0" borderId="10" xfId="7" applyFont="1" applyBorder="1" applyAlignment="1" applyProtection="1">
      <alignment horizontal="center" vertical="center"/>
      <protection locked="0"/>
    </xf>
    <xf numFmtId="0" fontId="32" fillId="0" borderId="12" xfId="7" applyFont="1" applyBorder="1" applyAlignment="1" applyProtection="1">
      <alignment horizontal="center" vertical="center"/>
      <protection locked="0"/>
    </xf>
    <xf numFmtId="0" fontId="23" fillId="0" borderId="10" xfId="7" applyFont="1" applyBorder="1" applyAlignment="1" applyProtection="1">
      <alignment horizontal="center" vertical="center"/>
      <protection locked="0"/>
    </xf>
    <xf numFmtId="0" fontId="23" fillId="0" borderId="12" xfId="7" applyFont="1" applyBorder="1" applyAlignment="1" applyProtection="1">
      <alignment horizontal="center" vertical="center"/>
      <protection locked="0"/>
    </xf>
    <xf numFmtId="0" fontId="14" fillId="0" borderId="20" xfId="0" applyFont="1" applyBorder="1" applyAlignment="1" applyProtection="1">
      <alignment horizontal="center"/>
      <protection hidden="1"/>
    </xf>
    <xf numFmtId="0" fontId="14" fillId="0" borderId="18" xfId="0" applyFont="1" applyBorder="1" applyAlignment="1" applyProtection="1">
      <alignment horizontal="center"/>
      <protection hidden="1"/>
    </xf>
    <xf numFmtId="0" fontId="14" fillId="0" borderId="19" xfId="0" applyFont="1" applyBorder="1" applyAlignment="1" applyProtection="1">
      <alignment horizontal="center"/>
      <protection hidden="1"/>
    </xf>
    <xf numFmtId="0" fontId="23" fillId="8" borderId="7" xfId="7" applyFont="1" applyFill="1" applyBorder="1" applyAlignment="1" applyProtection="1">
      <alignment horizontal="center" vertical="center" wrapText="1"/>
      <protection locked="0"/>
    </xf>
    <xf numFmtId="0" fontId="23" fillId="8" borderId="16" xfId="7" applyFont="1" applyFill="1" applyBorder="1" applyAlignment="1" applyProtection="1">
      <alignment horizontal="center" vertical="center" wrapText="1"/>
      <protection locked="0"/>
    </xf>
    <xf numFmtId="0" fontId="23" fillId="8" borderId="5" xfId="7" applyFont="1" applyFill="1" applyBorder="1" applyAlignment="1" applyProtection="1">
      <alignment horizontal="center" vertical="center" wrapText="1"/>
      <protection locked="0"/>
    </xf>
    <xf numFmtId="0" fontId="23" fillId="8" borderId="7" xfId="7" applyFont="1" applyFill="1" applyBorder="1" applyAlignment="1" applyProtection="1">
      <alignment horizontal="center" vertical="center"/>
      <protection locked="0"/>
    </xf>
    <xf numFmtId="0" fontId="23" fillId="8" borderId="16" xfId="7" applyFont="1" applyFill="1" applyBorder="1" applyAlignment="1" applyProtection="1">
      <alignment horizontal="center" vertical="center"/>
      <protection locked="0"/>
    </xf>
    <xf numFmtId="0" fontId="23" fillId="8" borderId="5" xfId="7" applyFont="1" applyFill="1" applyBorder="1" applyAlignment="1" applyProtection="1">
      <alignment horizontal="center" vertical="center"/>
      <protection locked="0"/>
    </xf>
    <xf numFmtId="0" fontId="23" fillId="0" borderId="15" xfId="7" applyFont="1" applyBorder="1" applyAlignment="1" applyProtection="1">
      <alignment horizontal="left" vertical="top"/>
      <protection locked="0"/>
    </xf>
    <xf numFmtId="0" fontId="23" fillId="0" borderId="8" xfId="7" applyFont="1" applyBorder="1" applyAlignment="1" applyProtection="1">
      <alignment horizontal="left" vertical="top"/>
      <protection locked="0"/>
    </xf>
    <xf numFmtId="0" fontId="23" fillId="0" borderId="9" xfId="7" applyFont="1" applyBorder="1" applyAlignment="1" applyProtection="1">
      <alignment horizontal="left" vertical="top"/>
      <protection locked="0"/>
    </xf>
    <xf numFmtId="0" fontId="23" fillId="0" borderId="4" xfId="7" applyFont="1" applyBorder="1" applyAlignment="1" applyProtection="1">
      <alignment horizontal="left" vertical="top"/>
      <protection locked="0"/>
    </xf>
    <xf numFmtId="0" fontId="23" fillId="0" borderId="0" xfId="7" applyFont="1" applyAlignment="1" applyProtection="1">
      <alignment horizontal="left" vertical="top"/>
      <protection locked="0"/>
    </xf>
    <xf numFmtId="0" fontId="23" fillId="0" borderId="17" xfId="7" applyFont="1" applyBorder="1" applyAlignment="1" applyProtection="1">
      <alignment horizontal="left" vertical="top"/>
      <protection locked="0"/>
    </xf>
    <xf numFmtId="0" fontId="23" fillId="0" borderId="10" xfId="7" applyFont="1" applyBorder="1" applyAlignment="1" applyProtection="1">
      <alignment horizontal="left" vertical="top"/>
      <protection locked="0"/>
    </xf>
    <xf numFmtId="0" fontId="23" fillId="0" borderId="11" xfId="7" applyFont="1" applyBorder="1" applyAlignment="1" applyProtection="1">
      <alignment horizontal="left" vertical="top"/>
      <protection locked="0"/>
    </xf>
    <xf numFmtId="0" fontId="23" fillId="0" borderId="12" xfId="7" applyFont="1" applyBorder="1" applyAlignment="1" applyProtection="1">
      <alignment horizontal="left" vertical="top"/>
      <protection locked="0"/>
    </xf>
    <xf numFmtId="0" fontId="23" fillId="8" borderId="50" xfId="7" applyFont="1" applyFill="1" applyBorder="1" applyAlignment="1" applyProtection="1">
      <alignment horizontal="left" vertical="top" wrapText="1"/>
      <protection locked="0"/>
    </xf>
    <xf numFmtId="0" fontId="23" fillId="8" borderId="51" xfId="7" applyFont="1" applyFill="1" applyBorder="1" applyAlignment="1" applyProtection="1">
      <alignment horizontal="left" vertical="top"/>
      <protection locked="0"/>
    </xf>
    <xf numFmtId="0" fontId="23" fillId="8" borderId="52" xfId="7" applyFont="1" applyFill="1" applyBorder="1" applyAlignment="1" applyProtection="1">
      <alignment horizontal="left" vertical="top"/>
      <protection locked="0"/>
    </xf>
    <xf numFmtId="0" fontId="14" fillId="3" borderId="1" xfId="0" applyFont="1" applyFill="1" applyBorder="1" applyAlignment="1" applyProtection="1">
      <alignment horizontal="center" vertical="center" wrapText="1"/>
      <protection locked="0"/>
    </xf>
    <xf numFmtId="0" fontId="14" fillId="3" borderId="3" xfId="0" applyFont="1" applyFill="1" applyBorder="1" applyAlignment="1" applyProtection="1">
      <alignment horizontal="center" vertical="center" wrapText="1"/>
      <protection locked="0"/>
    </xf>
    <xf numFmtId="0" fontId="14" fillId="9" borderId="1" xfId="0" quotePrefix="1" applyFont="1" applyFill="1" applyBorder="1" applyAlignment="1" applyProtection="1">
      <alignment vertical="center" wrapText="1"/>
      <protection locked="0"/>
    </xf>
    <xf numFmtId="0" fontId="58" fillId="0" borderId="0" xfId="0" applyFont="1" applyAlignment="1">
      <alignment vertical="center" wrapText="1"/>
    </xf>
    <xf numFmtId="0" fontId="59" fillId="0" borderId="8" xfId="0" quotePrefix="1" applyFont="1" applyBorder="1" applyAlignment="1" applyProtection="1">
      <alignment horizontal="left" vertical="top" wrapText="1"/>
      <protection hidden="1"/>
    </xf>
    <xf numFmtId="0" fontId="9" fillId="0" borderId="0" xfId="0" applyFont="1" applyAlignment="1" applyProtection="1">
      <alignment vertical="center" wrapText="1"/>
      <protection locked="0"/>
    </xf>
    <xf numFmtId="0" fontId="59" fillId="0" borderId="0" xfId="0" applyFont="1" applyProtection="1">
      <protection locked="0"/>
    </xf>
    <xf numFmtId="0" fontId="19" fillId="0" borderId="1" xfId="0" quotePrefix="1" applyFont="1" applyBorder="1" applyAlignment="1" applyProtection="1">
      <alignment horizontal="left" vertical="center" wrapText="1"/>
      <protection locked="0"/>
    </xf>
    <xf numFmtId="0" fontId="19" fillId="0" borderId="3" xfId="0" quotePrefix="1" applyFont="1" applyBorder="1" applyAlignment="1" applyProtection="1">
      <alignment horizontal="left" vertical="center" wrapText="1"/>
      <protection locked="0"/>
    </xf>
    <xf numFmtId="166" fontId="42" fillId="0" borderId="1" xfId="4" applyNumberFormat="1" applyFont="1" applyBorder="1" applyAlignment="1" applyProtection="1">
      <alignment horizontal="center" vertical="center"/>
      <protection locked="0"/>
    </xf>
    <xf numFmtId="166" fontId="42" fillId="0" borderId="3" xfId="4" applyNumberFormat="1" applyFont="1" applyBorder="1" applyAlignment="1" applyProtection="1">
      <alignment horizontal="center" vertical="center"/>
      <protection locked="0"/>
    </xf>
    <xf numFmtId="0" fontId="14" fillId="0" borderId="1" xfId="0" quotePrefix="1" applyFont="1" applyBorder="1" applyAlignment="1" applyProtection="1">
      <alignment vertical="center" wrapText="1"/>
      <protection locked="0"/>
    </xf>
    <xf numFmtId="0" fontId="14" fillId="0" borderId="3" xfId="0" quotePrefix="1" applyFont="1" applyBorder="1" applyAlignment="1" applyProtection="1">
      <alignment vertical="center" wrapText="1"/>
      <protection locked="0"/>
    </xf>
    <xf numFmtId="166" fontId="46" fillId="0" borderId="1" xfId="4" applyNumberFormat="1" applyFont="1" applyBorder="1" applyAlignment="1" applyProtection="1">
      <alignment horizontal="center" vertical="center"/>
      <protection locked="0"/>
    </xf>
    <xf numFmtId="166" fontId="46" fillId="0" borderId="3" xfId="4" applyNumberFormat="1" applyFont="1" applyBorder="1" applyAlignment="1" applyProtection="1">
      <alignment horizontal="center" vertical="center"/>
      <protection locked="0"/>
    </xf>
    <xf numFmtId="0" fontId="14" fillId="0" borderId="1" xfId="0" quotePrefix="1" applyFont="1" applyBorder="1" applyAlignment="1" applyProtection="1">
      <alignment horizontal="center" vertical="center" wrapText="1"/>
      <protection locked="0"/>
    </xf>
    <xf numFmtId="0" fontId="14" fillId="0" borderId="2" xfId="0" quotePrefix="1" applyFont="1" applyBorder="1" applyAlignment="1" applyProtection="1">
      <alignment horizontal="center" vertical="center" wrapText="1"/>
      <protection locked="0"/>
    </xf>
    <xf numFmtId="0" fontId="14" fillId="0" borderId="3" xfId="0" quotePrefix="1" applyFont="1" applyBorder="1" applyAlignment="1" applyProtection="1">
      <alignment horizontal="center" vertical="center" wrapText="1"/>
      <protection locked="0"/>
    </xf>
    <xf numFmtId="0" fontId="19" fillId="0" borderId="1" xfId="0" quotePrefix="1" applyFont="1" applyBorder="1" applyAlignment="1" applyProtection="1">
      <alignment vertical="center" wrapText="1"/>
      <protection locked="0"/>
    </xf>
    <xf numFmtId="0" fontId="19" fillId="0" borderId="3" xfId="0" quotePrefix="1" applyFont="1" applyBorder="1" applyAlignment="1" applyProtection="1">
      <alignment vertical="center" wrapText="1"/>
      <protection locked="0"/>
    </xf>
    <xf numFmtId="0" fontId="14" fillId="0" borderId="1" xfId="0" applyFont="1" applyBorder="1" applyAlignment="1" applyProtection="1">
      <alignment horizontal="center" vertical="center"/>
      <protection locked="0"/>
    </xf>
    <xf numFmtId="0" fontId="14" fillId="0" borderId="2" xfId="0" applyFont="1" applyBorder="1" applyAlignment="1" applyProtection="1">
      <alignment horizontal="center" vertical="center"/>
      <protection locked="0"/>
    </xf>
    <xf numFmtId="0" fontId="14" fillId="0" borderId="3" xfId="0" applyFont="1" applyBorder="1" applyAlignment="1" applyProtection="1">
      <alignment horizontal="center" vertical="center"/>
      <protection locked="0"/>
    </xf>
    <xf numFmtId="0" fontId="19" fillId="0" borderId="1" xfId="0" applyFont="1" applyBorder="1" applyAlignment="1" applyProtection="1">
      <alignment horizontal="center" vertical="center"/>
      <protection locked="0"/>
    </xf>
    <xf numFmtId="0" fontId="19" fillId="0" borderId="2" xfId="0" applyFont="1" applyBorder="1" applyAlignment="1" applyProtection="1">
      <alignment horizontal="center" vertical="center"/>
      <protection locked="0"/>
    </xf>
    <xf numFmtId="0" fontId="19" fillId="0" borderId="3" xfId="0" applyFont="1" applyBorder="1" applyAlignment="1" applyProtection="1">
      <alignment horizontal="center" vertical="center"/>
      <protection locked="0"/>
    </xf>
    <xf numFmtId="0" fontId="46" fillId="3" borderId="1" xfId="0" applyFont="1" applyFill="1" applyBorder="1" applyAlignment="1" applyProtection="1">
      <alignment horizontal="center" vertical="center"/>
      <protection locked="0"/>
    </xf>
    <xf numFmtId="0" fontId="46" fillId="3" borderId="2" xfId="0" applyFont="1" applyFill="1" applyBorder="1" applyAlignment="1" applyProtection="1">
      <alignment horizontal="center" vertical="center"/>
      <protection locked="0"/>
    </xf>
    <xf numFmtId="0" fontId="46" fillId="3" borderId="3" xfId="0" applyFont="1" applyFill="1" applyBorder="1" applyAlignment="1" applyProtection="1">
      <alignment horizontal="center" vertical="center"/>
      <protection locked="0"/>
    </xf>
    <xf numFmtId="0" fontId="42" fillId="0" borderId="1" xfId="0" quotePrefix="1" applyFont="1" applyBorder="1" applyAlignment="1" applyProtection="1">
      <alignment vertical="top" wrapText="1"/>
      <protection locked="0"/>
    </xf>
    <xf numFmtId="0" fontId="42" fillId="0" borderId="2" xfId="0" quotePrefix="1" applyFont="1" applyBorder="1" applyAlignment="1" applyProtection="1">
      <alignment vertical="top" wrapText="1"/>
      <protection locked="0"/>
    </xf>
    <xf numFmtId="0" fontId="42" fillId="0" borderId="3" xfId="0" quotePrefix="1" applyFont="1" applyBorder="1" applyAlignment="1" applyProtection="1">
      <alignment vertical="top" wrapText="1"/>
      <protection locked="0"/>
    </xf>
    <xf numFmtId="0" fontId="42" fillId="0" borderId="15" xfId="0" applyFont="1" applyBorder="1" applyAlignment="1" applyProtection="1">
      <alignment horizontal="left" vertical="top" wrapText="1"/>
      <protection locked="0"/>
    </xf>
    <xf numFmtId="0" fontId="42" fillId="0" borderId="8" xfId="0" applyFont="1" applyBorder="1" applyAlignment="1" applyProtection="1">
      <alignment horizontal="left" vertical="top" wrapText="1"/>
      <protection locked="0"/>
    </xf>
    <xf numFmtId="0" fontId="42" fillId="0" borderId="9" xfId="0" applyFont="1" applyBorder="1" applyAlignment="1" applyProtection="1">
      <alignment horizontal="left" vertical="top" wrapText="1"/>
      <protection locked="0"/>
    </xf>
    <xf numFmtId="0" fontId="42" fillId="0" borderId="1" xfId="0" applyFont="1" applyBorder="1" applyAlignment="1" applyProtection="1">
      <alignment vertical="top" wrapText="1"/>
      <protection locked="0"/>
    </xf>
    <xf numFmtId="0" fontId="42" fillId="0" borderId="2" xfId="0" applyFont="1" applyBorder="1" applyAlignment="1" applyProtection="1">
      <alignment vertical="top"/>
      <protection locked="0"/>
    </xf>
    <xf numFmtId="0" fontId="42" fillId="0" borderId="3" xfId="0" applyFont="1" applyBorder="1" applyAlignment="1" applyProtection="1">
      <alignment vertical="top"/>
      <protection locked="0"/>
    </xf>
    <xf numFmtId="0" fontId="42" fillId="0" borderId="2" xfId="0" applyFont="1" applyBorder="1" applyAlignment="1" applyProtection="1">
      <alignment vertical="top" wrapText="1"/>
      <protection locked="0"/>
    </xf>
    <xf numFmtId="0" fontId="42" fillId="0" borderId="3" xfId="0" applyFont="1" applyBorder="1" applyAlignment="1" applyProtection="1">
      <alignment vertical="top" wrapText="1"/>
      <protection locked="0"/>
    </xf>
    <xf numFmtId="0" fontId="46" fillId="0" borderId="0" xfId="0" applyFont="1" applyAlignment="1" applyProtection="1">
      <alignment horizontal="center" vertical="center"/>
      <protection locked="0"/>
    </xf>
    <xf numFmtId="0" fontId="46" fillId="0" borderId="11" xfId="0" applyFont="1" applyBorder="1" applyAlignment="1" applyProtection="1">
      <alignment horizontal="center" vertical="center"/>
      <protection locked="0"/>
    </xf>
    <xf numFmtId="0" fontId="18" fillId="0" borderId="0" xfId="0" quotePrefix="1" applyFont="1" applyAlignment="1" applyProtection="1">
      <alignment horizontal="center" vertical="center" wrapText="1"/>
      <protection hidden="1"/>
    </xf>
    <xf numFmtId="0" fontId="18" fillId="0" borderId="0" xfId="0" quotePrefix="1" applyFont="1" applyAlignment="1" applyProtection="1">
      <alignment horizontal="center" vertical="center"/>
      <protection hidden="1"/>
    </xf>
    <xf numFmtId="0" fontId="9" fillId="0" borderId="0" xfId="0" applyFont="1" applyAlignment="1">
      <alignment vertical="center" wrapText="1"/>
    </xf>
    <xf numFmtId="0" fontId="59" fillId="0" borderId="0" xfId="0" applyFont="1"/>
    <xf numFmtId="0" fontId="42" fillId="0" borderId="1" xfId="0" applyFont="1" applyBorder="1" applyAlignment="1" applyProtection="1">
      <alignment vertical="center" wrapText="1"/>
      <protection hidden="1"/>
    </xf>
    <xf numFmtId="0" fontId="42" fillId="0" borderId="2" xfId="0" applyFont="1" applyBorder="1" applyAlignment="1" applyProtection="1">
      <alignment vertical="center" wrapText="1"/>
      <protection hidden="1"/>
    </xf>
    <xf numFmtId="0" fontId="42" fillId="0" borderId="3" xfId="0" applyFont="1" applyBorder="1" applyAlignment="1" applyProtection="1">
      <alignment vertical="center" wrapText="1"/>
      <protection hidden="1"/>
    </xf>
    <xf numFmtId="0" fontId="42" fillId="0" borderId="1" xfId="0" applyFont="1" applyBorder="1" applyAlignment="1" applyProtection="1">
      <alignment vertical="center"/>
      <protection hidden="1"/>
    </xf>
    <xf numFmtId="0" fontId="42" fillId="0" borderId="2" xfId="0" applyFont="1" applyBorder="1" applyAlignment="1" applyProtection="1">
      <alignment vertical="center"/>
      <protection hidden="1"/>
    </xf>
    <xf numFmtId="0" fontId="42" fillId="0" borderId="3" xfId="0" applyFont="1" applyBorder="1" applyAlignment="1" applyProtection="1">
      <alignment vertical="center"/>
      <protection hidden="1"/>
    </xf>
    <xf numFmtId="0" fontId="14" fillId="0" borderId="18" xfId="0" applyFont="1" applyBorder="1" applyAlignment="1" applyProtection="1">
      <alignment horizontal="left" vertical="center"/>
      <protection hidden="1"/>
    </xf>
    <xf numFmtId="0" fontId="13" fillId="0" borderId="0" xfId="0" applyFont="1" applyAlignment="1" applyProtection="1">
      <alignment horizontal="center" vertical="center"/>
      <protection hidden="1"/>
    </xf>
    <xf numFmtId="0" fontId="46" fillId="10" borderId="6" xfId="0" applyFont="1" applyFill="1" applyBorder="1" applyAlignment="1" applyProtection="1">
      <alignment horizontal="center" vertical="center"/>
      <protection hidden="1"/>
    </xf>
    <xf numFmtId="0" fontId="14" fillId="0" borderId="19" xfId="0" applyFont="1" applyBorder="1" applyAlignment="1" applyProtection="1">
      <alignment horizontal="right" vertical="center"/>
      <protection hidden="1"/>
    </xf>
    <xf numFmtId="0" fontId="13" fillId="0" borderId="0" xfId="0" quotePrefix="1" applyFont="1" applyAlignment="1" applyProtection="1">
      <alignment horizontal="center" vertical="center"/>
      <protection hidden="1"/>
    </xf>
    <xf numFmtId="0" fontId="14" fillId="0" borderId="20" xfId="0" quotePrefix="1" applyFont="1" applyBorder="1" applyAlignment="1" applyProtection="1">
      <alignment horizontal="center" vertical="center"/>
      <protection hidden="1"/>
    </xf>
    <xf numFmtId="0" fontId="32" fillId="0" borderId="1" xfId="0" applyFont="1" applyBorder="1" applyAlignment="1" applyProtection="1">
      <alignment vertical="center"/>
      <protection hidden="1"/>
    </xf>
    <xf numFmtId="0" fontId="32" fillId="0" borderId="2" xfId="0" applyFont="1" applyBorder="1" applyAlignment="1" applyProtection="1">
      <alignment vertical="center"/>
      <protection hidden="1"/>
    </xf>
    <xf numFmtId="0" fontId="32" fillId="0" borderId="3" xfId="0" applyFont="1" applyBorder="1" applyAlignment="1" applyProtection="1">
      <alignment vertical="center"/>
      <protection hidden="1"/>
    </xf>
    <xf numFmtId="0" fontId="63" fillId="9" borderId="1" xfId="0" applyFont="1" applyFill="1" applyBorder="1" applyAlignment="1" applyProtection="1">
      <alignment vertical="center"/>
      <protection hidden="1"/>
    </xf>
    <xf numFmtId="0" fontId="63" fillId="9" borderId="2" xfId="0" applyFont="1" applyFill="1" applyBorder="1" applyAlignment="1" applyProtection="1">
      <alignment vertical="center"/>
      <protection hidden="1"/>
    </xf>
    <xf numFmtId="0" fontId="63" fillId="9" borderId="3" xfId="0" applyFont="1" applyFill="1" applyBorder="1" applyAlignment="1" applyProtection="1">
      <alignment vertical="center"/>
      <protection hidden="1"/>
    </xf>
    <xf numFmtId="0" fontId="32" fillId="0" borderId="1" xfId="0" applyFont="1" applyBorder="1" applyAlignment="1" applyProtection="1">
      <alignment horizontal="left" vertical="center"/>
      <protection hidden="1"/>
    </xf>
    <xf numFmtId="0" fontId="32" fillId="0" borderId="2" xfId="0" applyFont="1" applyBorder="1" applyAlignment="1" applyProtection="1">
      <alignment horizontal="left" vertical="center"/>
      <protection hidden="1"/>
    </xf>
    <xf numFmtId="0" fontId="32" fillId="0" borderId="3" xfId="0" applyFont="1" applyBorder="1" applyAlignment="1" applyProtection="1">
      <alignment horizontal="left" vertical="center"/>
      <protection hidden="1"/>
    </xf>
    <xf numFmtId="0" fontId="13" fillId="9" borderId="70" xfId="0" applyFont="1" applyFill="1" applyBorder="1" applyAlignment="1" applyProtection="1">
      <alignment horizontal="center" vertical="center"/>
      <protection hidden="1"/>
    </xf>
    <xf numFmtId="0" fontId="13" fillId="9" borderId="71" xfId="0" applyFont="1" applyFill="1" applyBorder="1" applyAlignment="1" applyProtection="1">
      <alignment horizontal="center" vertical="center"/>
      <protection hidden="1"/>
    </xf>
    <xf numFmtId="0" fontId="13" fillId="9" borderId="72" xfId="0" applyFont="1" applyFill="1" applyBorder="1" applyAlignment="1" applyProtection="1">
      <alignment horizontal="center" vertical="center"/>
      <protection hidden="1"/>
    </xf>
    <xf numFmtId="3" fontId="14" fillId="0" borderId="18" xfId="0" applyNumberFormat="1" applyFont="1" applyBorder="1" applyAlignment="1" applyProtection="1">
      <alignment horizontal="center" vertical="center"/>
      <protection hidden="1"/>
    </xf>
    <xf numFmtId="3" fontId="14" fillId="0" borderId="20" xfId="0" applyNumberFormat="1" applyFont="1" applyBorder="1" applyAlignment="1" applyProtection="1">
      <alignment horizontal="center" vertical="center"/>
      <protection hidden="1"/>
    </xf>
    <xf numFmtId="0" fontId="32" fillId="0" borderId="6" xfId="0" applyFont="1" applyBorder="1" applyAlignment="1" applyProtection="1">
      <alignment vertical="center"/>
      <protection hidden="1"/>
    </xf>
    <xf numFmtId="0" fontId="32" fillId="0" borderId="1" xfId="0" applyFont="1" applyBorder="1" applyAlignment="1" applyProtection="1">
      <alignment vertical="center" wrapText="1"/>
      <protection hidden="1"/>
    </xf>
    <xf numFmtId="0" fontId="32" fillId="0" borderId="2" xfId="0" applyFont="1" applyBorder="1" applyAlignment="1" applyProtection="1">
      <alignment vertical="center" wrapText="1"/>
      <protection hidden="1"/>
    </xf>
    <xf numFmtId="0" fontId="32" fillId="0" borderId="3" xfId="0" applyFont="1" applyBorder="1" applyAlignment="1" applyProtection="1">
      <alignment vertical="center" wrapText="1"/>
      <protection hidden="1"/>
    </xf>
    <xf numFmtId="0" fontId="64" fillId="0" borderId="1" xfId="0" applyFont="1" applyBorder="1" applyAlignment="1" applyProtection="1">
      <alignment vertical="center"/>
      <protection hidden="1"/>
    </xf>
    <xf numFmtId="0" fontId="64" fillId="0" borderId="2" xfId="0" applyFont="1" applyBorder="1" applyAlignment="1" applyProtection="1">
      <alignment vertical="center"/>
      <protection hidden="1"/>
    </xf>
    <xf numFmtId="0" fontId="64" fillId="0" borderId="3" xfId="0" applyFont="1" applyBorder="1" applyAlignment="1" applyProtection="1">
      <alignment vertical="center"/>
      <protection hidden="1"/>
    </xf>
    <xf numFmtId="0" fontId="9" fillId="0" borderId="0" xfId="0" quotePrefix="1" applyFont="1" applyAlignment="1" applyProtection="1">
      <alignment horizontal="center" vertical="center"/>
      <protection hidden="1"/>
    </xf>
    <xf numFmtId="0" fontId="9" fillId="0" borderId="0" xfId="0" applyFont="1" applyAlignment="1" applyProtection="1">
      <alignment horizontal="center" vertical="center"/>
      <protection hidden="1"/>
    </xf>
    <xf numFmtId="0" fontId="42" fillId="0" borderId="2" xfId="0" applyFont="1" applyBorder="1" applyProtection="1">
      <protection hidden="1"/>
    </xf>
    <xf numFmtId="0" fontId="62" fillId="9" borderId="1" xfId="0" applyFont="1" applyFill="1" applyBorder="1" applyAlignment="1" applyProtection="1">
      <alignment horizontal="left" vertical="top"/>
      <protection hidden="1"/>
    </xf>
    <xf numFmtId="0" fontId="62" fillId="9" borderId="2" xfId="0" applyFont="1" applyFill="1" applyBorder="1" applyAlignment="1" applyProtection="1">
      <alignment horizontal="left" vertical="top"/>
      <protection hidden="1"/>
    </xf>
    <xf numFmtId="0" fontId="62" fillId="9" borderId="3" xfId="0" applyFont="1" applyFill="1" applyBorder="1" applyAlignment="1" applyProtection="1">
      <alignment horizontal="left" vertical="top"/>
      <protection hidden="1"/>
    </xf>
    <xf numFmtId="0" fontId="46" fillId="0" borderId="6" xfId="0" applyFont="1" applyBorder="1" applyAlignment="1" applyProtection="1">
      <alignment horizontal="center" vertical="center"/>
      <protection hidden="1"/>
    </xf>
    <xf numFmtId="0" fontId="46" fillId="3" borderId="6" xfId="0" applyFont="1" applyFill="1" applyBorder="1" applyProtection="1">
      <protection hidden="1"/>
    </xf>
    <xf numFmtId="0" fontId="42" fillId="0" borderId="1" xfId="0" applyFont="1" applyBorder="1" applyProtection="1">
      <protection hidden="1"/>
    </xf>
    <xf numFmtId="0" fontId="42" fillId="0" borderId="3" xfId="0" applyFont="1" applyBorder="1" applyProtection="1">
      <protection hidden="1"/>
    </xf>
    <xf numFmtId="0" fontId="14" fillId="3" borderId="6" xfId="0" applyFont="1" applyFill="1" applyBorder="1" applyAlignment="1" applyProtection="1">
      <alignment horizontal="center"/>
      <protection hidden="1"/>
    </xf>
    <xf numFmtId="0" fontId="63" fillId="0" borderId="12" xfId="0" applyFont="1" applyBorder="1" applyProtection="1">
      <protection locked="0"/>
    </xf>
    <xf numFmtId="0" fontId="63" fillId="0" borderId="5" xfId="0" applyFont="1" applyBorder="1" applyProtection="1">
      <protection locked="0"/>
    </xf>
    <xf numFmtId="3" fontId="42" fillId="14" borderId="1" xfId="4" applyNumberFormat="1" applyFont="1" applyFill="1" applyBorder="1" applyProtection="1">
      <protection locked="0"/>
    </xf>
    <xf numFmtId="3" fontId="42" fillId="14" borderId="3" xfId="4" applyNumberFormat="1" applyFont="1" applyFill="1" applyBorder="1" applyProtection="1">
      <protection locked="0"/>
    </xf>
    <xf numFmtId="0" fontId="42" fillId="0" borderId="12" xfId="0" applyFont="1" applyBorder="1" applyProtection="1">
      <protection locked="0"/>
    </xf>
    <xf numFmtId="0" fontId="42" fillId="0" borderId="5" xfId="0" applyFont="1" applyBorder="1" applyProtection="1">
      <protection locked="0"/>
    </xf>
    <xf numFmtId="165" fontId="32" fillId="0" borderId="5" xfId="4" applyFont="1" applyBorder="1" applyAlignment="1" applyProtection="1">
      <alignment vertical="center"/>
      <protection locked="0"/>
    </xf>
    <xf numFmtId="0" fontId="63" fillId="9" borderId="17" xfId="0" applyFont="1" applyFill="1" applyBorder="1" applyProtection="1">
      <protection locked="0"/>
    </xf>
    <xf numFmtId="0" fontId="63" fillId="9" borderId="16" xfId="0" applyFont="1" applyFill="1" applyBorder="1" applyProtection="1">
      <protection locked="0"/>
    </xf>
    <xf numFmtId="3" fontId="46" fillId="9" borderId="1" xfId="4" applyNumberFormat="1" applyFont="1" applyFill="1" applyBorder="1" applyProtection="1">
      <protection locked="0"/>
    </xf>
    <xf numFmtId="3" fontId="46" fillId="9" borderId="3" xfId="4" applyNumberFormat="1" applyFont="1" applyFill="1" applyBorder="1" applyProtection="1">
      <protection locked="0"/>
    </xf>
    <xf numFmtId="0" fontId="42" fillId="0" borderId="16" xfId="0" applyFont="1" applyBorder="1" applyProtection="1">
      <protection locked="0"/>
    </xf>
    <xf numFmtId="165" fontId="32" fillId="0" borderId="5" xfId="4" applyFont="1" applyBorder="1" applyAlignment="1" applyProtection="1">
      <alignment vertical="center"/>
      <protection hidden="1"/>
    </xf>
    <xf numFmtId="165" fontId="46" fillId="9" borderId="1" xfId="4" applyFont="1" applyFill="1" applyBorder="1" applyProtection="1">
      <protection hidden="1"/>
    </xf>
    <xf numFmtId="165" fontId="46" fillId="9" borderId="3" xfId="4" applyFont="1" applyFill="1" applyBorder="1" applyProtection="1">
      <protection hidden="1"/>
    </xf>
    <xf numFmtId="0" fontId="66" fillId="0" borderId="16" xfId="0" applyFont="1" applyBorder="1" applyAlignment="1" applyProtection="1">
      <alignment vertical="center"/>
      <protection locked="0"/>
    </xf>
    <xf numFmtId="0" fontId="67" fillId="9" borderId="17" xfId="0" applyFont="1" applyFill="1" applyBorder="1" applyAlignment="1" applyProtection="1">
      <alignment vertical="center"/>
      <protection locked="0"/>
    </xf>
    <xf numFmtId="0" fontId="67" fillId="9" borderId="16" xfId="0" applyFont="1" applyFill="1" applyBorder="1" applyAlignment="1" applyProtection="1">
      <alignment vertical="center"/>
      <protection locked="0"/>
    </xf>
    <xf numFmtId="3" fontId="26" fillId="9" borderId="6" xfId="4" applyNumberFormat="1" applyFont="1" applyFill="1" applyBorder="1" applyAlignment="1" applyProtection="1">
      <alignment vertical="center"/>
      <protection locked="0"/>
    </xf>
    <xf numFmtId="165" fontId="26" fillId="9" borderId="6" xfId="4" applyFont="1" applyFill="1" applyBorder="1" applyAlignment="1" applyProtection="1">
      <alignment vertical="center"/>
      <protection hidden="1"/>
    </xf>
    <xf numFmtId="0" fontId="66" fillId="0" borderId="83" xfId="0" applyFont="1" applyBorder="1" applyAlignment="1" applyProtection="1">
      <alignment vertical="center"/>
      <protection locked="0"/>
    </xf>
    <xf numFmtId="0" fontId="65" fillId="10" borderId="73" xfId="0" applyFont="1" applyFill="1" applyBorder="1" applyAlignment="1" applyProtection="1">
      <alignment horizontal="center" vertical="center" wrapText="1"/>
      <protection locked="0"/>
    </xf>
    <xf numFmtId="0" fontId="65" fillId="10" borderId="74" xfId="0" applyFont="1" applyFill="1" applyBorder="1" applyAlignment="1" applyProtection="1">
      <alignment horizontal="center" vertical="center" wrapText="1"/>
      <protection locked="0"/>
    </xf>
    <xf numFmtId="0" fontId="65" fillId="10" borderId="75" xfId="0" applyFont="1" applyFill="1" applyBorder="1" applyAlignment="1" applyProtection="1">
      <alignment horizontal="center" vertical="center" wrapText="1"/>
      <protection locked="0"/>
    </xf>
    <xf numFmtId="0" fontId="65" fillId="10" borderId="79" xfId="0" applyFont="1" applyFill="1" applyBorder="1" applyAlignment="1" applyProtection="1">
      <alignment horizontal="center" vertical="center" wrapText="1"/>
      <protection locked="0"/>
    </xf>
    <xf numFmtId="0" fontId="65" fillId="10" borderId="80" xfId="0" applyFont="1" applyFill="1" applyBorder="1" applyAlignment="1" applyProtection="1">
      <alignment horizontal="center" vertical="center" wrapText="1"/>
      <protection locked="0"/>
    </xf>
    <xf numFmtId="0" fontId="65" fillId="10" borderId="81" xfId="0" applyFont="1" applyFill="1" applyBorder="1" applyAlignment="1" applyProtection="1">
      <alignment horizontal="center" vertical="center" wrapText="1"/>
      <protection locked="0"/>
    </xf>
    <xf numFmtId="0" fontId="14" fillId="10" borderId="76" xfId="0" applyFont="1" applyFill="1" applyBorder="1" applyAlignment="1" applyProtection="1">
      <alignment horizontal="center" vertical="center"/>
      <protection hidden="1"/>
    </xf>
    <xf numFmtId="0" fontId="14" fillId="10" borderId="77" xfId="0" applyFont="1" applyFill="1" applyBorder="1" applyAlignment="1" applyProtection="1">
      <alignment horizontal="center" vertical="center"/>
      <protection hidden="1"/>
    </xf>
    <xf numFmtId="0" fontId="14" fillId="10" borderId="78" xfId="0" applyFont="1" applyFill="1" applyBorder="1" applyAlignment="1" applyProtection="1">
      <alignment horizontal="center" vertical="center"/>
      <protection hidden="1"/>
    </xf>
    <xf numFmtId="0" fontId="65" fillId="10" borderId="70" xfId="0" applyFont="1" applyFill="1" applyBorder="1" applyAlignment="1" applyProtection="1">
      <alignment horizontal="center" vertical="center"/>
      <protection hidden="1"/>
    </xf>
    <xf numFmtId="0" fontId="65" fillId="10" borderId="72" xfId="0" applyFont="1" applyFill="1" applyBorder="1" applyAlignment="1" applyProtection="1">
      <alignment horizontal="center" vertical="center"/>
      <protection hidden="1"/>
    </xf>
    <xf numFmtId="0" fontId="19" fillId="0" borderId="0" xfId="0" applyFont="1" applyAlignment="1" applyProtection="1">
      <alignment horizontal="center" vertical="center"/>
      <protection hidden="1"/>
    </xf>
    <xf numFmtId="3" fontId="28" fillId="0" borderId="102" xfId="0" applyNumberFormat="1" applyFont="1" applyBorder="1" applyAlignment="1" applyProtection="1">
      <alignment horizontal="right" vertical="center" wrapText="1"/>
      <protection locked="0"/>
    </xf>
    <xf numFmtId="3" fontId="25" fillId="0" borderId="102" xfId="0" applyNumberFormat="1" applyFont="1" applyBorder="1" applyAlignment="1" applyProtection="1">
      <alignment horizontal="right" vertical="center" wrapText="1"/>
      <protection locked="0"/>
    </xf>
    <xf numFmtId="3" fontId="25" fillId="0" borderId="103" xfId="0" applyNumberFormat="1" applyFont="1" applyBorder="1" applyAlignment="1" applyProtection="1">
      <alignment horizontal="right" vertical="center" wrapText="1"/>
      <protection locked="0"/>
    </xf>
    <xf numFmtId="0" fontId="70" fillId="4" borderId="79" xfId="0" applyFont="1" applyFill="1" applyBorder="1" applyAlignment="1" applyProtection="1">
      <alignment horizontal="center" vertical="center"/>
      <protection locked="0"/>
    </xf>
    <xf numFmtId="0" fontId="70" fillId="4" borderId="80" xfId="0" applyFont="1" applyFill="1" applyBorder="1" applyAlignment="1" applyProtection="1">
      <alignment horizontal="center" vertical="center"/>
      <protection locked="0"/>
    </xf>
    <xf numFmtId="3" fontId="28" fillId="4" borderId="128" xfId="0" applyNumberFormat="1" applyFont="1" applyFill="1" applyBorder="1" applyAlignment="1" applyProtection="1">
      <alignment horizontal="right" vertical="center"/>
      <protection locked="0"/>
    </xf>
    <xf numFmtId="3" fontId="28" fillId="4" borderId="129" xfId="0" applyNumberFormat="1" applyFont="1" applyFill="1" applyBorder="1" applyAlignment="1" applyProtection="1">
      <alignment horizontal="right" vertical="center"/>
      <protection locked="0"/>
    </xf>
    <xf numFmtId="3" fontId="28" fillId="4" borderId="116" xfId="0" applyNumberFormat="1" applyFont="1" applyFill="1" applyBorder="1" applyAlignment="1" applyProtection="1">
      <alignment horizontal="right" vertical="center" wrapText="1"/>
      <protection locked="0"/>
    </xf>
    <xf numFmtId="3" fontId="28" fillId="4" borderId="99" xfId="0" applyNumberFormat="1" applyFont="1" applyFill="1" applyBorder="1" applyAlignment="1" applyProtection="1">
      <alignment horizontal="right" vertical="center" wrapText="1"/>
      <protection locked="0"/>
    </xf>
    <xf numFmtId="3" fontId="28" fillId="4" borderId="117" xfId="0" applyNumberFormat="1" applyFont="1" applyFill="1" applyBorder="1" applyAlignment="1" applyProtection="1">
      <alignment horizontal="right" vertical="center" wrapText="1"/>
      <protection locked="0"/>
    </xf>
    <xf numFmtId="0" fontId="25" fillId="0" borderId="96" xfId="0" applyFont="1" applyBorder="1" applyAlignment="1" applyProtection="1">
      <alignment horizontal="left" vertical="center" wrapText="1"/>
      <protection locked="0"/>
    </xf>
    <xf numFmtId="0" fontId="25" fillId="0" borderId="0" xfId="0" applyFont="1" applyAlignment="1" applyProtection="1">
      <alignment horizontal="left" vertical="center" wrapText="1"/>
      <protection locked="0"/>
    </xf>
    <xf numFmtId="0" fontId="25" fillId="0" borderId="118" xfId="0" applyFont="1" applyBorder="1" applyAlignment="1" applyProtection="1">
      <alignment horizontal="left" vertical="center" wrapText="1"/>
      <protection locked="0"/>
    </xf>
    <xf numFmtId="3" fontId="25" fillId="0" borderId="123" xfId="0" applyNumberFormat="1" applyFont="1" applyBorder="1" applyAlignment="1" applyProtection="1">
      <alignment horizontal="right" vertical="center" wrapText="1"/>
      <protection locked="0"/>
    </xf>
    <xf numFmtId="3" fontId="25" fillId="0" borderId="104" xfId="0" applyNumberFormat="1" applyFont="1" applyBorder="1" applyAlignment="1" applyProtection="1">
      <alignment horizontal="right" vertical="center" wrapText="1"/>
      <protection locked="0"/>
    </xf>
    <xf numFmtId="3" fontId="28" fillId="0" borderId="88" xfId="0" applyNumberFormat="1" applyFont="1" applyBorder="1" applyAlignment="1" applyProtection="1">
      <alignment horizontal="right" vertical="center" wrapText="1"/>
      <protection locked="0"/>
    </xf>
    <xf numFmtId="3" fontId="25" fillId="0" borderId="88" xfId="0" applyNumberFormat="1" applyFont="1" applyBorder="1" applyAlignment="1" applyProtection="1">
      <alignment horizontal="right" vertical="center" wrapText="1"/>
      <protection locked="0"/>
    </xf>
    <xf numFmtId="3" fontId="25" fillId="0" borderId="89" xfId="0" applyNumberFormat="1" applyFont="1" applyBorder="1" applyAlignment="1" applyProtection="1">
      <alignment horizontal="right" vertical="center" wrapText="1"/>
      <protection locked="0"/>
    </xf>
    <xf numFmtId="3" fontId="25" fillId="0" borderId="0" xfId="0" applyNumberFormat="1" applyFont="1" applyAlignment="1" applyProtection="1">
      <alignment horizontal="right" vertical="center" wrapText="1"/>
      <protection locked="0"/>
    </xf>
    <xf numFmtId="3" fontId="25" fillId="0" borderId="94" xfId="0" applyNumberFormat="1" applyFont="1" applyBorder="1" applyAlignment="1" applyProtection="1">
      <alignment horizontal="right" vertical="center" wrapText="1"/>
      <protection locked="0"/>
    </xf>
    <xf numFmtId="3" fontId="25" fillId="0" borderId="95" xfId="0" applyNumberFormat="1" applyFont="1" applyBorder="1" applyAlignment="1" applyProtection="1">
      <alignment horizontal="right" vertical="center" wrapText="1"/>
      <protection locked="0"/>
    </xf>
    <xf numFmtId="0" fontId="25" fillId="0" borderId="113" xfId="0" applyFont="1" applyBorder="1" applyAlignment="1" applyProtection="1">
      <alignment horizontal="left" vertical="center" wrapText="1" indent="1"/>
      <protection locked="0"/>
    </xf>
    <xf numFmtId="0" fontId="25" fillId="0" borderId="114" xfId="0" applyFont="1" applyBorder="1" applyAlignment="1" applyProtection="1">
      <alignment horizontal="left" vertical="center" wrapText="1" indent="1"/>
      <protection locked="0"/>
    </xf>
    <xf numFmtId="0" fontId="25" fillId="0" borderId="115" xfId="0" applyFont="1" applyBorder="1" applyAlignment="1" applyProtection="1">
      <alignment horizontal="left" vertical="center" wrapText="1" indent="1"/>
      <protection locked="0"/>
    </xf>
    <xf numFmtId="3" fontId="25" fillId="0" borderId="116" xfId="0" applyNumberFormat="1" applyFont="1" applyBorder="1" applyAlignment="1" applyProtection="1">
      <alignment horizontal="right" vertical="center" wrapText="1"/>
      <protection locked="0"/>
    </xf>
    <xf numFmtId="3" fontId="25" fillId="0" borderId="117" xfId="0" applyNumberFormat="1" applyFont="1" applyBorder="1" applyAlignment="1" applyProtection="1">
      <alignment horizontal="right" vertical="center" wrapText="1"/>
      <protection locked="0"/>
    </xf>
    <xf numFmtId="0" fontId="25" fillId="0" borderId="96" xfId="0" applyFont="1" applyBorder="1" applyAlignment="1" applyProtection="1">
      <alignment horizontal="left" vertical="center" wrapText="1" indent="1"/>
      <protection locked="0"/>
    </xf>
    <xf numFmtId="0" fontId="25" fillId="0" borderId="0" xfId="0" applyFont="1" applyAlignment="1" applyProtection="1">
      <alignment horizontal="left" vertical="center" wrapText="1" indent="1"/>
      <protection locked="0"/>
    </xf>
    <xf numFmtId="0" fontId="25" fillId="0" borderId="118" xfId="0" applyFont="1" applyBorder="1" applyAlignment="1" applyProtection="1">
      <alignment horizontal="left" vertical="center" wrapText="1" indent="1"/>
      <protection locked="0"/>
    </xf>
    <xf numFmtId="0" fontId="70" fillId="4" borderId="97" xfId="0" applyFont="1" applyFill="1" applyBorder="1" applyAlignment="1" applyProtection="1">
      <alignment horizontal="center" vertical="center" wrapText="1"/>
      <protection locked="0"/>
    </xf>
    <xf numFmtId="0" fontId="70" fillId="4" borderId="98" xfId="0" applyFont="1" applyFill="1" applyBorder="1" applyAlignment="1" applyProtection="1">
      <alignment horizontal="center" vertical="center" wrapText="1"/>
      <protection locked="0"/>
    </xf>
    <xf numFmtId="0" fontId="70" fillId="4" borderId="99" xfId="0" applyFont="1" applyFill="1" applyBorder="1" applyAlignment="1" applyProtection="1">
      <alignment horizontal="center" vertical="center" wrapText="1"/>
      <protection locked="0"/>
    </xf>
    <xf numFmtId="0" fontId="25" fillId="0" borderId="111" xfId="0" applyFont="1" applyBorder="1" applyAlignment="1" applyProtection="1">
      <alignment horizontal="center" vertical="center" wrapText="1"/>
      <protection locked="0"/>
    </xf>
    <xf numFmtId="0" fontId="25" fillId="0" borderId="112" xfId="0" applyFont="1" applyBorder="1" applyAlignment="1" applyProtection="1">
      <alignment horizontal="center" vertical="center" wrapText="1"/>
      <protection locked="0"/>
    </xf>
    <xf numFmtId="0" fontId="25" fillId="0" borderId="87" xfId="0" applyFont="1" applyBorder="1" applyAlignment="1" applyProtection="1">
      <alignment horizontal="center" vertical="center" wrapText="1"/>
      <protection locked="0"/>
    </xf>
    <xf numFmtId="0" fontId="25" fillId="0" borderId="88" xfId="0" applyFont="1" applyBorder="1" applyAlignment="1" applyProtection="1">
      <alignment horizontal="center" vertical="center" wrapText="1"/>
      <protection locked="0"/>
    </xf>
    <xf numFmtId="0" fontId="25" fillId="0" borderId="89" xfId="0" applyFont="1" applyBorder="1" applyAlignment="1" applyProtection="1">
      <alignment horizontal="center" vertical="center" wrapText="1"/>
      <protection locked="0"/>
    </xf>
    <xf numFmtId="3" fontId="25" fillId="0" borderId="119" xfId="0" applyNumberFormat="1" applyFont="1" applyBorder="1" applyAlignment="1" applyProtection="1">
      <alignment horizontal="right" vertical="center" wrapText="1"/>
      <protection locked="0"/>
    </xf>
    <xf numFmtId="3" fontId="25" fillId="0" borderId="120" xfId="0" applyNumberFormat="1" applyFont="1" applyBorder="1" applyAlignment="1" applyProtection="1">
      <alignment horizontal="right" vertical="center" wrapText="1"/>
      <protection locked="0"/>
    </xf>
    <xf numFmtId="3" fontId="25" fillId="0" borderId="121" xfId="0" applyNumberFormat="1" applyFont="1" applyBorder="1" applyAlignment="1" applyProtection="1">
      <alignment horizontal="right" vertical="center" wrapText="1"/>
      <protection locked="0"/>
    </xf>
    <xf numFmtId="3" fontId="25" fillId="0" borderId="122" xfId="0" applyNumberFormat="1" applyFont="1" applyBorder="1" applyAlignment="1" applyProtection="1">
      <alignment horizontal="right" vertical="center" wrapText="1"/>
      <protection locked="0"/>
    </xf>
    <xf numFmtId="0" fontId="28" fillId="0" borderId="97" xfId="0" applyFont="1" applyBorder="1" applyAlignment="1" applyProtection="1">
      <alignment horizontal="center" vertical="center" wrapText="1"/>
      <protection locked="0"/>
    </xf>
    <xf numFmtId="0" fontId="28" fillId="0" borderId="99" xfId="0" applyFont="1" applyBorder="1" applyAlignment="1" applyProtection="1">
      <alignment horizontal="center" vertical="center" wrapText="1"/>
      <protection locked="0"/>
    </xf>
    <xf numFmtId="0" fontId="68" fillId="0" borderId="97" xfId="0" applyFont="1" applyBorder="1" applyAlignment="1" applyProtection="1">
      <alignment horizontal="left" vertical="center" wrapText="1" indent="1"/>
      <protection locked="0"/>
    </xf>
    <xf numFmtId="0" fontId="68" fillId="0" borderId="98" xfId="0" applyFont="1" applyBorder="1" applyAlignment="1" applyProtection="1">
      <alignment horizontal="left" vertical="center" wrapText="1" indent="1"/>
      <protection locked="0"/>
    </xf>
    <xf numFmtId="0" fontId="68" fillId="0" borderId="99" xfId="0" applyFont="1" applyBorder="1" applyAlignment="1" applyProtection="1">
      <alignment horizontal="left" vertical="center" wrapText="1" indent="1"/>
      <protection locked="0"/>
    </xf>
    <xf numFmtId="0" fontId="28" fillId="4" borderId="100" xfId="0" applyFont="1" applyFill="1" applyBorder="1" applyAlignment="1" applyProtection="1">
      <alignment horizontal="center" vertical="center" wrapText="1"/>
      <protection locked="0"/>
    </xf>
    <xf numFmtId="0" fontId="28" fillId="4" borderId="101" xfId="0" applyFont="1" applyFill="1" applyBorder="1" applyAlignment="1" applyProtection="1">
      <alignment horizontal="center" vertical="center" wrapText="1"/>
      <protection locked="0"/>
    </xf>
    <xf numFmtId="0" fontId="25" fillId="0" borderId="106" xfId="0" applyFont="1" applyBorder="1" applyAlignment="1" applyProtection="1">
      <alignment horizontal="center" vertical="center" wrapText="1"/>
      <protection locked="0"/>
    </xf>
    <xf numFmtId="0" fontId="25" fillId="0" borderId="107" xfId="0" applyFont="1" applyBorder="1" applyAlignment="1" applyProtection="1">
      <alignment horizontal="center" vertical="center" wrapText="1"/>
      <protection locked="0"/>
    </xf>
    <xf numFmtId="0" fontId="25" fillId="0" borderId="108" xfId="0" applyFont="1" applyBorder="1" applyAlignment="1" applyProtection="1">
      <alignment horizontal="center" vertical="center" wrapText="1"/>
      <protection locked="0"/>
    </xf>
    <xf numFmtId="0" fontId="25" fillId="0" borderId="109" xfId="0" applyFont="1" applyBorder="1" applyAlignment="1" applyProtection="1">
      <alignment horizontal="center" vertical="center" wrapText="1"/>
      <protection locked="0"/>
    </xf>
    <xf numFmtId="0" fontId="25" fillId="0" borderId="110" xfId="0" applyFont="1" applyBorder="1" applyAlignment="1" applyProtection="1">
      <alignment horizontal="center" vertical="center" wrapText="1"/>
      <protection locked="0"/>
    </xf>
    <xf numFmtId="0" fontId="69" fillId="0" borderId="96" xfId="0" applyFont="1" applyBorder="1" applyAlignment="1" applyProtection="1">
      <alignment horizontal="center" vertical="center" wrapText="1"/>
      <protection locked="0"/>
    </xf>
    <xf numFmtId="0" fontId="69" fillId="0" borderId="0" xfId="0" applyFont="1" applyAlignment="1" applyProtection="1">
      <alignment horizontal="center" vertical="center" wrapText="1"/>
      <protection locked="0"/>
    </xf>
    <xf numFmtId="3" fontId="25" fillId="0" borderId="91" xfId="0" applyNumberFormat="1" applyFont="1" applyBorder="1" applyAlignment="1" applyProtection="1">
      <alignment horizontal="right" vertical="center" wrapText="1"/>
      <protection locked="0"/>
    </xf>
    <xf numFmtId="3" fontId="25" fillId="0" borderId="92" xfId="0" applyNumberFormat="1" applyFont="1" applyBorder="1" applyAlignment="1" applyProtection="1">
      <alignment horizontal="right" vertical="center" wrapText="1"/>
      <protection locked="0"/>
    </xf>
    <xf numFmtId="0" fontId="68" fillId="0" borderId="96" xfId="0" applyFont="1" applyBorder="1" applyAlignment="1" applyProtection="1">
      <alignment horizontal="left" vertical="center" wrapText="1" indent="1"/>
      <protection locked="0"/>
    </xf>
    <xf numFmtId="0" fontId="68" fillId="0" borderId="0" xfId="0" applyFont="1" applyAlignment="1" applyProtection="1">
      <alignment horizontal="left" vertical="center" wrapText="1" indent="1"/>
      <protection locked="0"/>
    </xf>
    <xf numFmtId="0" fontId="25" fillId="0" borderId="96" xfId="0" applyFont="1" applyBorder="1" applyAlignment="1" applyProtection="1">
      <alignment horizontal="left" indent="1"/>
      <protection locked="0"/>
    </xf>
    <xf numFmtId="0" fontId="25" fillId="0" borderId="0" xfId="0" applyFont="1" applyAlignment="1" applyProtection="1">
      <alignment horizontal="left" indent="1"/>
      <protection locked="0"/>
    </xf>
    <xf numFmtId="0" fontId="25" fillId="10" borderId="88" xfId="0" applyFont="1" applyFill="1" applyBorder="1" applyAlignment="1" applyProtection="1">
      <alignment horizontal="center" vertical="center" wrapText="1"/>
      <protection locked="0"/>
    </xf>
    <xf numFmtId="0" fontId="25" fillId="10" borderId="89" xfId="0" applyFont="1" applyFill="1" applyBorder="1" applyAlignment="1" applyProtection="1">
      <alignment horizontal="center" vertical="center" wrapText="1"/>
      <protection locked="0"/>
    </xf>
    <xf numFmtId="3" fontId="25" fillId="0" borderId="85" xfId="0" applyNumberFormat="1" applyFont="1" applyBorder="1" applyAlignment="1" applyProtection="1">
      <alignment horizontal="right" vertical="center" wrapText="1"/>
      <protection locked="0"/>
    </xf>
    <xf numFmtId="3" fontId="25" fillId="0" borderId="86" xfId="0" applyNumberFormat="1" applyFont="1" applyBorder="1" applyAlignment="1" applyProtection="1">
      <alignment horizontal="right" vertical="center" wrapText="1"/>
      <protection locked="0"/>
    </xf>
    <xf numFmtId="0" fontId="25" fillId="10" borderId="84" xfId="0" applyFont="1" applyFill="1" applyBorder="1" applyAlignment="1" applyProtection="1">
      <alignment horizontal="center" vertical="center" wrapText="1"/>
      <protection locked="0"/>
    </xf>
    <xf numFmtId="0" fontId="25" fillId="10" borderId="85" xfId="0" applyFont="1" applyFill="1" applyBorder="1" applyAlignment="1" applyProtection="1">
      <alignment horizontal="center" vertical="center" wrapText="1"/>
      <protection locked="0"/>
    </xf>
    <xf numFmtId="0" fontId="25" fillId="10" borderId="90" xfId="0" applyFont="1" applyFill="1" applyBorder="1" applyAlignment="1" applyProtection="1">
      <alignment horizontal="center" vertical="center" wrapText="1"/>
      <protection locked="0"/>
    </xf>
    <xf numFmtId="0" fontId="25" fillId="10" borderId="91" xfId="0" applyFont="1" applyFill="1" applyBorder="1" applyAlignment="1" applyProtection="1">
      <alignment horizontal="center" vertical="center" wrapText="1"/>
      <protection locked="0"/>
    </xf>
    <xf numFmtId="0" fontId="25" fillId="10" borderId="93" xfId="0" applyFont="1" applyFill="1" applyBorder="1" applyAlignment="1" applyProtection="1">
      <alignment horizontal="center" vertical="center" wrapText="1"/>
      <protection locked="0"/>
    </xf>
    <xf numFmtId="0" fontId="25" fillId="10" borderId="94" xfId="0" applyFont="1" applyFill="1" applyBorder="1" applyAlignment="1" applyProtection="1">
      <alignment horizontal="center" vertical="center" wrapText="1"/>
      <protection locked="0"/>
    </xf>
    <xf numFmtId="0" fontId="25" fillId="10" borderId="86" xfId="0" applyFont="1" applyFill="1" applyBorder="1" applyAlignment="1" applyProtection="1">
      <alignment horizontal="center" vertical="center" wrapText="1"/>
      <protection locked="0"/>
    </xf>
    <xf numFmtId="0" fontId="25" fillId="10" borderId="92" xfId="0" applyFont="1" applyFill="1" applyBorder="1" applyAlignment="1" applyProtection="1">
      <alignment horizontal="center" vertical="center" wrapText="1"/>
      <protection locked="0"/>
    </xf>
    <xf numFmtId="0" fontId="25" fillId="10" borderId="95" xfId="0" applyFont="1" applyFill="1" applyBorder="1" applyAlignment="1" applyProtection="1">
      <alignment horizontal="center" vertical="center" wrapText="1"/>
      <protection locked="0"/>
    </xf>
    <xf numFmtId="0" fontId="25" fillId="10" borderId="87" xfId="0" applyFont="1" applyFill="1" applyBorder="1" applyAlignment="1" applyProtection="1">
      <alignment horizontal="center" vertical="center" wrapText="1"/>
      <protection locked="0"/>
    </xf>
    <xf numFmtId="0" fontId="13" fillId="9" borderId="70" xfId="0" applyFont="1" applyFill="1" applyBorder="1" applyAlignment="1" applyProtection="1">
      <alignment horizontal="center" vertical="center"/>
      <protection locked="0"/>
    </xf>
    <xf numFmtId="0" fontId="13" fillId="9" borderId="71" xfId="0" applyFont="1" applyFill="1" applyBorder="1" applyAlignment="1" applyProtection="1">
      <alignment horizontal="center" vertical="center"/>
      <protection locked="0"/>
    </xf>
    <xf numFmtId="0" fontId="13" fillId="9" borderId="72" xfId="0" applyFont="1" applyFill="1" applyBorder="1" applyAlignment="1" applyProtection="1">
      <alignment horizontal="center" vertical="center"/>
      <protection locked="0"/>
    </xf>
    <xf numFmtId="0" fontId="19" fillId="0" borderId="0" xfId="0" applyFont="1" applyAlignment="1" applyProtection="1">
      <alignment horizontal="center" vertical="center"/>
      <protection locked="0"/>
    </xf>
    <xf numFmtId="0" fontId="25" fillId="10" borderId="73" xfId="0" applyFont="1" applyFill="1" applyBorder="1" applyAlignment="1" applyProtection="1">
      <alignment horizontal="center" vertical="center" wrapText="1"/>
      <protection locked="0"/>
    </xf>
    <xf numFmtId="0" fontId="28" fillId="10" borderId="74" xfId="0" applyFont="1" applyFill="1" applyBorder="1" applyAlignment="1" applyProtection="1">
      <alignment horizontal="center" vertical="center" wrapText="1"/>
      <protection locked="0"/>
    </xf>
    <xf numFmtId="0" fontId="28" fillId="10" borderId="75" xfId="0" applyFont="1" applyFill="1" applyBorder="1" applyAlignment="1" applyProtection="1">
      <alignment horizontal="center" vertical="center" wrapText="1"/>
      <protection locked="0"/>
    </xf>
    <xf numFmtId="0" fontId="25" fillId="10" borderId="74" xfId="0" applyFont="1" applyFill="1" applyBorder="1" applyAlignment="1" applyProtection="1">
      <alignment horizontal="center" vertical="center" wrapText="1"/>
      <protection locked="0"/>
    </xf>
    <xf numFmtId="0" fontId="25" fillId="10" borderId="75" xfId="0" applyFont="1" applyFill="1" applyBorder="1" applyAlignment="1" applyProtection="1">
      <alignment horizontal="center" vertical="center" wrapText="1"/>
      <protection locked="0"/>
    </xf>
    <xf numFmtId="0" fontId="14" fillId="0" borderId="0" xfId="0" applyFont="1" applyAlignment="1" applyProtection="1">
      <alignment horizontal="right"/>
      <protection hidden="1"/>
    </xf>
    <xf numFmtId="0" fontId="73" fillId="4" borderId="135" xfId="0" applyFont="1" applyFill="1" applyBorder="1" applyAlignment="1" applyProtection="1">
      <alignment horizontal="center" vertical="center"/>
      <protection locked="0"/>
    </xf>
    <xf numFmtId="0" fontId="73" fillId="4" borderId="136" xfId="0" applyFont="1" applyFill="1" applyBorder="1" applyAlignment="1" applyProtection="1">
      <alignment horizontal="center" vertical="center"/>
      <protection locked="0"/>
    </xf>
    <xf numFmtId="0" fontId="73" fillId="4" borderId="137" xfId="0" applyFont="1" applyFill="1" applyBorder="1" applyAlignment="1" applyProtection="1">
      <alignment horizontal="center" vertical="center"/>
      <protection locked="0"/>
    </xf>
    <xf numFmtId="0" fontId="72" fillId="0" borderId="88" xfId="0" applyFont="1" applyBorder="1" applyAlignment="1" applyProtection="1">
      <alignment horizontal="left" vertical="center"/>
      <protection locked="0"/>
    </xf>
    <xf numFmtId="0" fontId="72" fillId="0" borderId="85" xfId="0" applyFont="1" applyBorder="1" applyAlignment="1" applyProtection="1">
      <alignment horizontal="left" vertical="center"/>
      <protection locked="0"/>
    </xf>
    <xf numFmtId="0" fontId="71" fillId="10" borderId="110" xfId="0" applyFont="1" applyFill="1" applyBorder="1" applyAlignment="1" applyProtection="1">
      <alignment horizontal="center" vertical="center"/>
      <protection locked="0"/>
    </xf>
    <xf numFmtId="0" fontId="25" fillId="10" borderId="110" xfId="0" applyFont="1" applyFill="1" applyBorder="1" applyAlignment="1" applyProtection="1">
      <alignment horizontal="center" vertical="center" wrapText="1"/>
      <protection locked="0"/>
    </xf>
    <xf numFmtId="0" fontId="25" fillId="10" borderId="130" xfId="0" applyFont="1" applyFill="1" applyBorder="1" applyAlignment="1" applyProtection="1">
      <alignment horizontal="center" vertical="center" wrapText="1"/>
      <protection locked="0"/>
    </xf>
    <xf numFmtId="0" fontId="72" fillId="0" borderId="132" xfId="0" applyFont="1" applyBorder="1" applyAlignment="1" applyProtection="1">
      <alignment horizontal="left" vertical="center"/>
      <protection locked="0"/>
    </xf>
    <xf numFmtId="0" fontId="25" fillId="10" borderId="109" xfId="0" applyFont="1" applyFill="1" applyBorder="1" applyAlignment="1" applyProtection="1">
      <alignment horizontal="center" vertical="center" wrapText="1"/>
      <protection locked="0"/>
    </xf>
    <xf numFmtId="0" fontId="25" fillId="10" borderId="110" xfId="0" applyFont="1" applyFill="1" applyBorder="1" applyAlignment="1" applyProtection="1">
      <alignment horizontal="center" vertical="center"/>
      <protection locked="0"/>
    </xf>
    <xf numFmtId="0" fontId="25" fillId="10" borderId="85" xfId="0" applyFont="1" applyFill="1" applyBorder="1" applyAlignment="1" applyProtection="1">
      <alignment horizontal="center" vertical="center"/>
      <protection locked="0"/>
    </xf>
    <xf numFmtId="3" fontId="46" fillId="4" borderId="147" xfId="0" applyNumberFormat="1" applyFont="1" applyFill="1" applyBorder="1" applyAlignment="1" applyProtection="1">
      <alignment vertical="center"/>
      <protection locked="0"/>
    </xf>
    <xf numFmtId="3" fontId="46" fillId="4" borderId="148" xfId="0" applyNumberFormat="1" applyFont="1" applyFill="1" applyBorder="1" applyAlignment="1" applyProtection="1">
      <alignment vertical="center"/>
      <protection locked="0"/>
    </xf>
    <xf numFmtId="0" fontId="42" fillId="0" borderId="144" xfId="0" applyFont="1" applyBorder="1" applyAlignment="1" applyProtection="1">
      <alignment vertical="center"/>
      <protection locked="0"/>
    </xf>
    <xf numFmtId="0" fontId="42" fillId="0" borderId="3" xfId="0" applyFont="1" applyBorder="1" applyAlignment="1" applyProtection="1">
      <alignment vertical="center"/>
      <protection locked="0"/>
    </xf>
    <xf numFmtId="3" fontId="42" fillId="0" borderId="6" xfId="0" applyNumberFormat="1" applyFont="1" applyBorder="1" applyAlignment="1" applyProtection="1">
      <alignment vertical="center"/>
      <protection locked="0"/>
    </xf>
    <xf numFmtId="3" fontId="42" fillId="0" borderId="145" xfId="0" applyNumberFormat="1" applyFont="1" applyBorder="1" applyAlignment="1" applyProtection="1">
      <alignment vertical="center"/>
      <protection locked="0"/>
    </xf>
    <xf numFmtId="0" fontId="42" fillId="0" borderId="141" xfId="0" applyFont="1" applyBorder="1" applyAlignment="1" applyProtection="1">
      <alignment vertical="center"/>
      <protection locked="0"/>
    </xf>
    <xf numFmtId="0" fontId="42" fillId="0" borderId="142" xfId="0" applyFont="1" applyBorder="1" applyAlignment="1" applyProtection="1">
      <alignment vertical="center"/>
      <protection locked="0"/>
    </xf>
    <xf numFmtId="3" fontId="42" fillId="0" borderId="5" xfId="0" applyNumberFormat="1" applyFont="1" applyBorder="1" applyAlignment="1" applyProtection="1">
      <alignment vertical="center"/>
      <protection locked="0"/>
    </xf>
    <xf numFmtId="3" fontId="42" fillId="0" borderId="143" xfId="0" applyNumberFormat="1" applyFont="1" applyBorder="1" applyAlignment="1" applyProtection="1">
      <alignment vertical="center"/>
      <protection locked="0"/>
    </xf>
    <xf numFmtId="0" fontId="42" fillId="10" borderId="140" xfId="0" applyFont="1" applyFill="1" applyBorder="1" applyAlignment="1" applyProtection="1">
      <alignment horizontal="center" vertical="center" wrapText="1"/>
      <protection locked="0"/>
    </xf>
    <xf numFmtId="0" fontId="12" fillId="0" borderId="6" xfId="0" applyFont="1" applyBorder="1" applyProtection="1">
      <protection locked="0"/>
    </xf>
    <xf numFmtId="3" fontId="12" fillId="0" borderId="6" xfId="0" applyNumberFormat="1" applyFont="1" applyBorder="1" applyProtection="1">
      <protection locked="0"/>
    </xf>
    <xf numFmtId="0" fontId="32" fillId="15" borderId="153" xfId="2" applyFont="1" applyFill="1" applyBorder="1" applyAlignment="1" applyProtection="1">
      <alignment horizontal="left" vertical="center"/>
      <protection locked="0"/>
    </xf>
    <xf numFmtId="0" fontId="32" fillId="15" borderId="6" xfId="2" applyFont="1" applyFill="1" applyBorder="1" applyAlignment="1" applyProtection="1">
      <alignment horizontal="left" vertical="center"/>
      <protection locked="0"/>
    </xf>
    <xf numFmtId="3" fontId="32" fillId="15" borderId="6" xfId="2" applyNumberFormat="1" applyFont="1" applyFill="1" applyBorder="1" applyAlignment="1" applyProtection="1">
      <alignment horizontal="right" vertical="center"/>
      <protection locked="0"/>
    </xf>
    <xf numFmtId="3" fontId="32" fillId="15" borderId="145" xfId="2" applyNumberFormat="1" applyFont="1" applyFill="1" applyBorder="1" applyAlignment="1" applyProtection="1">
      <alignment horizontal="right" vertical="center"/>
      <protection locked="0"/>
    </xf>
    <xf numFmtId="0" fontId="32" fillId="0" borderId="153" xfId="2" applyFont="1" applyBorder="1" applyAlignment="1" applyProtection="1">
      <alignment horizontal="left" vertical="center"/>
      <protection locked="0"/>
    </xf>
    <xf numFmtId="0" fontId="32" fillId="0" borderId="6" xfId="2" applyFont="1" applyBorder="1" applyAlignment="1" applyProtection="1">
      <alignment horizontal="left" vertical="center"/>
      <protection locked="0"/>
    </xf>
    <xf numFmtId="3" fontId="32" fillId="0" borderId="6" xfId="2" applyNumberFormat="1" applyFont="1" applyBorder="1" applyAlignment="1" applyProtection="1">
      <alignment horizontal="right" vertical="center"/>
      <protection locked="0"/>
    </xf>
    <xf numFmtId="3" fontId="32" fillId="0" borderId="145" xfId="2" applyNumberFormat="1" applyFont="1" applyBorder="1" applyAlignment="1" applyProtection="1">
      <alignment horizontal="right" vertical="center"/>
      <protection locked="0"/>
    </xf>
    <xf numFmtId="0" fontId="26" fillId="4" borderId="146" xfId="2" applyFont="1" applyFill="1" applyBorder="1" applyAlignment="1" applyProtection="1">
      <alignment horizontal="right" vertical="center"/>
      <protection locked="0"/>
    </xf>
    <xf numFmtId="0" fontId="26" fillId="4" borderId="147" xfId="2" applyFont="1" applyFill="1" applyBorder="1" applyAlignment="1" applyProtection="1">
      <alignment horizontal="right" vertical="center"/>
      <protection locked="0"/>
    </xf>
    <xf numFmtId="3" fontId="26" fillId="4" borderId="147" xfId="2" applyNumberFormat="1" applyFont="1" applyFill="1" applyBorder="1" applyAlignment="1" applyProtection="1">
      <alignment horizontal="right" vertical="center"/>
      <protection locked="0"/>
    </xf>
    <xf numFmtId="3" fontId="26" fillId="4" borderId="148" xfId="2" applyNumberFormat="1" applyFont="1" applyFill="1" applyBorder="1" applyAlignment="1" applyProtection="1">
      <alignment horizontal="right" vertical="center"/>
      <protection locked="0"/>
    </xf>
    <xf numFmtId="0" fontId="24" fillId="9" borderId="144" xfId="2" applyFont="1" applyFill="1" applyBorder="1" applyAlignment="1" applyProtection="1">
      <alignment horizontal="center"/>
      <protection locked="0"/>
    </xf>
    <xf numFmtId="0" fontId="24" fillId="9" borderId="2" xfId="2" applyFont="1" applyFill="1" applyBorder="1" applyAlignment="1" applyProtection="1">
      <alignment horizontal="center"/>
      <protection locked="0"/>
    </xf>
    <xf numFmtId="0" fontId="24" fillId="9" borderId="152" xfId="2" applyFont="1" applyFill="1" applyBorder="1" applyAlignment="1" applyProtection="1">
      <alignment horizontal="center"/>
      <protection locked="0"/>
    </xf>
    <xf numFmtId="0" fontId="32" fillId="15" borderId="144" xfId="2" applyFont="1" applyFill="1" applyBorder="1" applyAlignment="1" applyProtection="1">
      <alignment horizontal="left" vertical="center"/>
      <protection locked="0"/>
    </xf>
    <xf numFmtId="0" fontId="32" fillId="15" borderId="2" xfId="2" applyFont="1" applyFill="1" applyBorder="1" applyAlignment="1" applyProtection="1">
      <alignment horizontal="left" vertical="center"/>
      <protection locked="0"/>
    </xf>
    <xf numFmtId="0" fontId="32" fillId="15" borderId="3" xfId="2" applyFont="1" applyFill="1" applyBorder="1" applyAlignment="1" applyProtection="1">
      <alignment horizontal="left" vertical="center"/>
      <protection locked="0"/>
    </xf>
    <xf numFmtId="3" fontId="32" fillId="15" borderId="1" xfId="2" applyNumberFormat="1" applyFont="1" applyFill="1" applyBorder="1" applyAlignment="1" applyProtection="1">
      <alignment horizontal="right" vertical="center"/>
      <protection locked="0"/>
    </xf>
    <xf numFmtId="3" fontId="32" fillId="15" borderId="152" xfId="2" applyNumberFormat="1" applyFont="1" applyFill="1" applyBorder="1" applyAlignment="1" applyProtection="1">
      <alignment horizontal="right" vertical="center"/>
      <protection locked="0"/>
    </xf>
    <xf numFmtId="0" fontId="32" fillId="10" borderId="149" xfId="2" applyFont="1" applyFill="1" applyBorder="1" applyAlignment="1" applyProtection="1">
      <alignment horizontal="center"/>
      <protection locked="0"/>
    </xf>
    <xf numFmtId="0" fontId="32" fillId="10" borderId="150" xfId="2" applyFont="1" applyFill="1" applyBorder="1" applyAlignment="1" applyProtection="1">
      <alignment horizontal="center"/>
      <protection locked="0"/>
    </xf>
    <xf numFmtId="0" fontId="26" fillId="10" borderId="150" xfId="2" applyFont="1" applyFill="1" applyBorder="1" applyAlignment="1" applyProtection="1">
      <alignment horizontal="center" vertical="center" wrapText="1"/>
      <protection locked="0"/>
    </xf>
    <xf numFmtId="0" fontId="26" fillId="10" borderId="151" xfId="2" applyFont="1" applyFill="1" applyBorder="1" applyAlignment="1" applyProtection="1">
      <alignment horizontal="center" vertical="center" wrapText="1"/>
      <protection locked="0"/>
    </xf>
    <xf numFmtId="0" fontId="13" fillId="9" borderId="70" xfId="0" applyFont="1" applyFill="1" applyBorder="1" applyAlignment="1" applyProtection="1">
      <alignment horizontal="center" vertical="center" wrapText="1"/>
      <protection locked="0"/>
    </xf>
    <xf numFmtId="0" fontId="61" fillId="0" borderId="0" xfId="0" applyFont="1" applyAlignment="1" applyProtection="1">
      <alignment horizontal="left" vertical="center" wrapText="1"/>
      <protection locked="0"/>
    </xf>
    <xf numFmtId="3" fontId="19" fillId="0" borderId="6" xfId="0" applyNumberFormat="1" applyFont="1" applyBorder="1" applyProtection="1">
      <protection locked="0"/>
    </xf>
    <xf numFmtId="0" fontId="46" fillId="4" borderId="6" xfId="0" applyFont="1" applyFill="1" applyBorder="1" applyAlignment="1" applyProtection="1">
      <alignment horizontal="center" vertical="center"/>
      <protection locked="0"/>
    </xf>
    <xf numFmtId="0" fontId="19" fillId="4" borderId="6" xfId="0" applyFont="1" applyFill="1" applyBorder="1" applyAlignment="1" applyProtection="1">
      <alignment horizontal="center" vertical="center"/>
      <protection locked="0"/>
    </xf>
    <xf numFmtId="0" fontId="19" fillId="4" borderId="6" xfId="0" applyFont="1" applyFill="1" applyBorder="1" applyAlignment="1" applyProtection="1">
      <alignment horizontal="center" vertical="center" wrapText="1"/>
      <protection locked="0"/>
    </xf>
    <xf numFmtId="0" fontId="12" fillId="0" borderId="1" xfId="0" applyFont="1" applyBorder="1" applyProtection="1">
      <protection locked="0"/>
    </xf>
    <xf numFmtId="0" fontId="12" fillId="0" borderId="2" xfId="0" applyFont="1" applyBorder="1" applyProtection="1">
      <protection locked="0"/>
    </xf>
    <xf numFmtId="0" fontId="12" fillId="0" borderId="3" xfId="0" applyFont="1" applyBorder="1" applyProtection="1">
      <protection locked="0"/>
    </xf>
    <xf numFmtId="0" fontId="19" fillId="4" borderId="1" xfId="0" applyFont="1" applyFill="1" applyBorder="1" applyAlignment="1" applyProtection="1">
      <alignment horizontal="center" vertical="center"/>
      <protection locked="0"/>
    </xf>
    <xf numFmtId="0" fontId="19" fillId="4" borderId="2" xfId="0" applyFont="1" applyFill="1" applyBorder="1" applyAlignment="1" applyProtection="1">
      <alignment horizontal="center" vertical="center"/>
      <protection locked="0"/>
    </xf>
    <xf numFmtId="0" fontId="19" fillId="4" borderId="3" xfId="0" applyFont="1" applyFill="1" applyBorder="1" applyAlignment="1" applyProtection="1">
      <alignment horizontal="center" vertical="center"/>
      <protection locked="0"/>
    </xf>
    <xf numFmtId="0" fontId="46" fillId="9" borderId="6" xfId="0" applyFont="1" applyFill="1" applyBorder="1" applyAlignment="1" applyProtection="1">
      <alignment horizontal="center" vertical="center"/>
      <protection locked="0"/>
    </xf>
    <xf numFmtId="0" fontId="31" fillId="0" borderId="70" xfId="0" applyFont="1" applyBorder="1" applyAlignment="1" applyProtection="1">
      <alignment horizontal="center"/>
      <protection locked="0"/>
    </xf>
    <xf numFmtId="0" fontId="31" fillId="0" borderId="71" xfId="0" applyFont="1" applyBorder="1" applyAlignment="1" applyProtection="1">
      <alignment horizontal="center"/>
      <protection locked="0"/>
    </xf>
    <xf numFmtId="0" fontId="31" fillId="0" borderId="158" xfId="0" applyFont="1" applyBorder="1" applyAlignment="1" applyProtection="1">
      <alignment horizontal="center"/>
      <protection locked="0"/>
    </xf>
    <xf numFmtId="0" fontId="23" fillId="0" borderId="1" xfId="0" applyFont="1" applyBorder="1" applyProtection="1">
      <protection locked="0"/>
    </xf>
    <xf numFmtId="0" fontId="23" fillId="0" borderId="3" xfId="0" applyFont="1" applyBorder="1" applyProtection="1">
      <protection locked="0"/>
    </xf>
    <xf numFmtId="0" fontId="23" fillId="0" borderId="154" xfId="0" applyFont="1" applyBorder="1" applyProtection="1">
      <protection locked="0"/>
    </xf>
    <xf numFmtId="0" fontId="23" fillId="0" borderId="155" xfId="0" applyFont="1" applyBorder="1" applyProtection="1">
      <protection locked="0"/>
    </xf>
    <xf numFmtId="0" fontId="13" fillId="9" borderId="71" xfId="0" applyFont="1" applyFill="1" applyBorder="1" applyAlignment="1" applyProtection="1">
      <alignment horizontal="center" vertical="center" wrapText="1"/>
      <protection locked="0"/>
    </xf>
    <xf numFmtId="0" fontId="13" fillId="9" borderId="72" xfId="0" applyFont="1" applyFill="1" applyBorder="1" applyAlignment="1" applyProtection="1">
      <alignment horizontal="center" vertical="center" wrapText="1"/>
      <protection locked="0"/>
    </xf>
    <xf numFmtId="0" fontId="28" fillId="0" borderId="149" xfId="0" applyFont="1" applyBorder="1" applyAlignment="1" applyProtection="1">
      <alignment horizontal="center" vertical="center"/>
      <protection locked="0"/>
    </xf>
    <xf numFmtId="0" fontId="28" fillId="0" borderId="150" xfId="0" applyFont="1" applyBorder="1" applyAlignment="1" applyProtection="1">
      <alignment horizontal="center" vertical="center"/>
      <protection locked="0"/>
    </xf>
    <xf numFmtId="0" fontId="28" fillId="0" borderId="150" xfId="0" applyFont="1" applyBorder="1" applyAlignment="1" applyProtection="1">
      <alignment horizontal="center" vertical="center" wrapText="1"/>
      <protection locked="0"/>
    </xf>
    <xf numFmtId="0" fontId="28" fillId="0" borderId="147" xfId="0" applyFont="1" applyBorder="1" applyAlignment="1" applyProtection="1">
      <alignment horizontal="center" vertical="center" wrapText="1"/>
      <protection locked="0"/>
    </xf>
    <xf numFmtId="0" fontId="28" fillId="0" borderId="151" xfId="0" applyFont="1" applyBorder="1" applyAlignment="1" applyProtection="1">
      <alignment horizontal="center" vertical="center" wrapText="1"/>
      <protection locked="0"/>
    </xf>
    <xf numFmtId="0" fontId="28" fillId="0" borderId="148" xfId="0" applyFont="1" applyBorder="1" applyAlignment="1" applyProtection="1">
      <alignment horizontal="center" vertical="center" wrapText="1"/>
      <protection locked="0"/>
    </xf>
    <xf numFmtId="0" fontId="28" fillId="0" borderId="154" xfId="0" applyFont="1" applyBorder="1" applyAlignment="1" applyProtection="1">
      <alignment horizontal="center" vertical="center" wrapText="1"/>
      <protection locked="0"/>
    </xf>
    <xf numFmtId="0" fontId="28" fillId="0" borderId="155" xfId="0" applyFont="1" applyBorder="1" applyAlignment="1" applyProtection="1">
      <alignment horizontal="center" vertical="center" wrapText="1"/>
      <protection locked="0"/>
    </xf>
    <xf numFmtId="0" fontId="23" fillId="0" borderId="157" xfId="0" applyFont="1" applyBorder="1" applyAlignment="1" applyProtection="1">
      <alignment wrapText="1"/>
      <protection locked="0"/>
    </xf>
    <xf numFmtId="0" fontId="23" fillId="0" borderId="142" xfId="0" applyFont="1" applyBorder="1" applyAlignment="1" applyProtection="1">
      <alignment wrapText="1"/>
      <protection locked="0"/>
    </xf>
    <xf numFmtId="0" fontId="14" fillId="0" borderId="0" xfId="0" applyFont="1" applyAlignment="1" applyProtection="1">
      <alignment horizontal="right" vertical="center"/>
      <protection hidden="1"/>
    </xf>
    <xf numFmtId="0" fontId="31" fillId="0" borderId="1" xfId="0" applyFont="1" applyBorder="1" applyAlignment="1" applyProtection="1">
      <alignment horizontal="center"/>
      <protection locked="0"/>
    </xf>
    <xf numFmtId="0" fontId="31" fillId="0" borderId="2" xfId="0" applyFont="1" applyBorder="1" applyAlignment="1" applyProtection="1">
      <alignment horizontal="center"/>
      <protection locked="0"/>
    </xf>
    <xf numFmtId="0" fontId="31" fillId="0" borderId="3" xfId="0" applyFont="1" applyBorder="1" applyAlignment="1" applyProtection="1">
      <alignment horizontal="center"/>
      <protection locked="0"/>
    </xf>
    <xf numFmtId="0" fontId="61" fillId="0" borderId="6" xfId="0" applyFont="1" applyBorder="1" applyProtection="1">
      <protection locked="0"/>
    </xf>
    <xf numFmtId="0" fontId="61" fillId="0" borderId="6" xfId="0" applyFont="1" applyBorder="1" applyAlignment="1" applyProtection="1">
      <alignment wrapText="1"/>
      <protection locked="0"/>
    </xf>
    <xf numFmtId="0" fontId="73" fillId="0" borderId="6" xfId="0" applyFont="1" applyBorder="1" applyAlignment="1" applyProtection="1">
      <alignment horizontal="center" vertical="center" wrapText="1"/>
      <protection locked="0"/>
    </xf>
    <xf numFmtId="0" fontId="61" fillId="0" borderId="6" xfId="0" applyFont="1" applyBorder="1" applyAlignment="1" applyProtection="1">
      <alignment horizontal="center" vertical="center" wrapText="1"/>
      <protection locked="0"/>
    </xf>
    <xf numFmtId="0" fontId="28" fillId="10" borderId="6" xfId="0" applyFont="1" applyFill="1" applyBorder="1" applyAlignment="1" applyProtection="1">
      <alignment horizontal="center" vertical="center" wrapText="1"/>
      <protection locked="0"/>
    </xf>
    <xf numFmtId="3" fontId="61" fillId="0" borderId="6" xfId="0" applyNumberFormat="1" applyFont="1" applyBorder="1" applyProtection="1">
      <protection locked="0"/>
    </xf>
    <xf numFmtId="0" fontId="73" fillId="0" borderId="1" xfId="0" applyFont="1" applyBorder="1" applyAlignment="1" applyProtection="1">
      <alignment horizontal="center"/>
      <protection locked="0"/>
    </xf>
    <xf numFmtId="0" fontId="73" fillId="0" borderId="2" xfId="0" applyFont="1" applyBorder="1" applyAlignment="1" applyProtection="1">
      <alignment horizontal="center"/>
      <protection locked="0"/>
    </xf>
    <xf numFmtId="0" fontId="73" fillId="0" borderId="3" xfId="0" applyFont="1" applyBorder="1" applyAlignment="1" applyProtection="1">
      <alignment horizontal="center"/>
      <protection locked="0"/>
    </xf>
    <xf numFmtId="3" fontId="73" fillId="0" borderId="6" xfId="0" applyNumberFormat="1" applyFont="1" applyBorder="1" applyProtection="1">
      <protection locked="0"/>
    </xf>
    <xf numFmtId="3" fontId="73" fillId="0" borderId="6" xfId="0" applyNumberFormat="1" applyFont="1" applyBorder="1" applyAlignment="1" applyProtection="1">
      <alignment horizontal="center" vertical="center" wrapText="1"/>
      <protection locked="0"/>
    </xf>
    <xf numFmtId="0" fontId="14" fillId="15" borderId="1" xfId="0" applyFont="1" applyFill="1" applyBorder="1" applyAlignment="1" applyProtection="1">
      <alignment horizontal="center" vertical="center"/>
      <protection locked="0"/>
    </xf>
    <xf numFmtId="0" fontId="14" fillId="15" borderId="2" xfId="0" applyFont="1" applyFill="1" applyBorder="1" applyAlignment="1" applyProtection="1">
      <alignment horizontal="center" vertical="center"/>
      <protection locked="0"/>
    </xf>
    <xf numFmtId="0" fontId="14" fillId="15" borderId="3" xfId="0" applyFont="1" applyFill="1" applyBorder="1" applyAlignment="1" applyProtection="1">
      <alignment horizontal="center" vertical="center"/>
      <protection locked="0"/>
    </xf>
    <xf numFmtId="0" fontId="72" fillId="0" borderId="6" xfId="0" applyFont="1" applyBorder="1" applyAlignment="1" applyProtection="1">
      <alignment horizontal="left" vertical="center" indent="1"/>
      <protection locked="0"/>
    </xf>
    <xf numFmtId="0" fontId="14" fillId="9" borderId="70" xfId="0" applyFont="1" applyFill="1" applyBorder="1" applyAlignment="1" applyProtection="1">
      <alignment horizontal="center" vertical="center" wrapText="1"/>
      <protection locked="0"/>
    </xf>
    <xf numFmtId="0" fontId="14" fillId="9" borderId="71" xfId="0" applyFont="1" applyFill="1" applyBorder="1" applyAlignment="1" applyProtection="1">
      <alignment horizontal="center" vertical="center" wrapText="1"/>
      <protection locked="0"/>
    </xf>
    <xf numFmtId="3" fontId="12" fillId="15" borderId="1" xfId="0" applyNumberFormat="1" applyFont="1" applyFill="1" applyBorder="1" applyAlignment="1" applyProtection="1">
      <alignment horizontal="center"/>
      <protection locked="0"/>
    </xf>
    <xf numFmtId="3" fontId="12" fillId="15" borderId="3" xfId="0" applyNumberFormat="1" applyFont="1" applyFill="1" applyBorder="1" applyAlignment="1" applyProtection="1">
      <alignment horizontal="center"/>
      <protection locked="0"/>
    </xf>
    <xf numFmtId="0" fontId="72" fillId="0" borderId="1" xfId="0" applyFont="1" applyBorder="1" applyAlignment="1" applyProtection="1">
      <alignment horizontal="left" vertical="center" indent="1"/>
      <protection locked="0"/>
    </xf>
    <xf numFmtId="0" fontId="72" fillId="0" borderId="2" xfId="0" applyFont="1" applyBorder="1" applyAlignment="1" applyProtection="1">
      <alignment horizontal="left" vertical="center" indent="1"/>
      <protection locked="0"/>
    </xf>
    <xf numFmtId="0" fontId="72" fillId="0" borderId="3" xfId="0" applyFont="1" applyBorder="1" applyAlignment="1" applyProtection="1">
      <alignment horizontal="left" vertical="center" indent="1"/>
      <protection locked="0"/>
    </xf>
    <xf numFmtId="3" fontId="12" fillId="0" borderId="1" xfId="0" applyNumberFormat="1" applyFont="1" applyBorder="1" applyProtection="1">
      <protection locked="0"/>
    </xf>
    <xf numFmtId="3" fontId="12" fillId="0" borderId="3" xfId="0" applyNumberFormat="1" applyFont="1" applyBorder="1" applyProtection="1">
      <protection locked="0"/>
    </xf>
    <xf numFmtId="0" fontId="28" fillId="10" borderId="1" xfId="0" applyFont="1" applyFill="1" applyBorder="1" applyAlignment="1" applyProtection="1">
      <alignment horizontal="center" vertical="center" wrapText="1"/>
      <protection locked="0"/>
    </xf>
    <xf numFmtId="0" fontId="28" fillId="10" borderId="2" xfId="0" applyFont="1" applyFill="1" applyBorder="1" applyAlignment="1" applyProtection="1">
      <alignment horizontal="center" vertical="center" wrapText="1"/>
      <protection locked="0"/>
    </xf>
    <xf numFmtId="0" fontId="28" fillId="10" borderId="3" xfId="0" applyFont="1" applyFill="1" applyBorder="1" applyAlignment="1" applyProtection="1">
      <alignment horizontal="center" vertical="center" wrapText="1"/>
      <protection locked="0"/>
    </xf>
  </cellXfs>
  <cellStyles count="8">
    <cellStyle name="Lien hypertexte" xfId="3" builtinId="8"/>
    <cellStyle name="Milliers [0]" xfId="5" builtinId="6"/>
    <cellStyle name="Milliers 2" xfId="4" xr:uid="{F42AF5DC-97A2-41A5-A724-9F6B5A12F9E9}"/>
    <cellStyle name="Normal" xfId="0" builtinId="0"/>
    <cellStyle name="Normal 3" xfId="2" xr:uid="{E803970D-9ABD-4F4F-825C-9F2CE2FC2ECB}"/>
    <cellStyle name="Normal 4" xfId="7" xr:uid="{7C399E37-91AF-4BA7-9857-C03391C405B9}"/>
    <cellStyle name="Normal_LIASSE SYSCOA ESSAI 1999" xfId="1" xr:uid="{147FCA95-C0EB-42FE-9264-0AF7962E6198}"/>
    <cellStyle name="Pourcentage" xfId="6" builtinId="5"/>
  </cellStyles>
  <dxfs count="6">
    <dxf>
      <border outline="0">
        <top style="thin">
          <color indexed="64"/>
        </top>
      </border>
    </dxf>
    <dxf>
      <border outline="0">
        <bottom style="thin">
          <color indexed="64"/>
        </bottom>
      </border>
    </dxf>
    <dxf>
      <font>
        <b/>
        <i val="0"/>
        <strike val="0"/>
        <condense val="0"/>
        <extend val="0"/>
        <outline val="0"/>
        <shadow val="0"/>
        <u val="none"/>
        <vertAlign val="baseline"/>
        <sz val="11"/>
        <color theme="1"/>
        <name val="Calibri"/>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style="thin">
          <color indexed="64"/>
        </right>
        <top/>
        <bottom/>
      </border>
    </dxf>
    <dxf>
      <border outline="0">
        <top style="thin">
          <color indexed="64"/>
        </top>
      </border>
    </dxf>
    <dxf>
      <border outline="0">
        <bottom style="thin">
          <color indexed="64"/>
        </bottom>
      </border>
    </dxf>
    <dxf>
      <font>
        <b/>
        <i val="0"/>
        <strike val="0"/>
        <condense val="0"/>
        <extend val="0"/>
        <outline val="0"/>
        <shadow val="0"/>
        <u val="none"/>
        <vertAlign val="baseline"/>
        <sz val="11"/>
        <color theme="1"/>
        <name val="Calibri"/>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style="thin">
          <color indexed="64"/>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worksheet" Target="worksheets/sheet55.xml"/><Relationship Id="rId63" Type="http://schemas.openxmlformats.org/officeDocument/2006/relationships/worksheet" Target="worksheets/sheet63.xml"/><Relationship Id="rId68" Type="http://schemas.openxmlformats.org/officeDocument/2006/relationships/worksheet" Target="worksheets/sheet68.xml"/><Relationship Id="rId76" Type="http://schemas.openxmlformats.org/officeDocument/2006/relationships/worksheet" Target="worksheets/sheet76.xml"/><Relationship Id="rId84" Type="http://schemas.openxmlformats.org/officeDocument/2006/relationships/worksheet" Target="worksheets/sheet84.xml"/><Relationship Id="rId89" Type="http://schemas.openxmlformats.org/officeDocument/2006/relationships/worksheet" Target="worksheets/sheet89.xml"/><Relationship Id="rId97" Type="http://schemas.openxmlformats.org/officeDocument/2006/relationships/calcChain" Target="calcChain.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worksheet" Target="worksheets/sheet58.xml"/><Relationship Id="rId66" Type="http://schemas.openxmlformats.org/officeDocument/2006/relationships/worksheet" Target="worksheets/sheet66.xml"/><Relationship Id="rId74" Type="http://schemas.openxmlformats.org/officeDocument/2006/relationships/worksheet" Target="worksheets/sheet74.xml"/><Relationship Id="rId79" Type="http://schemas.openxmlformats.org/officeDocument/2006/relationships/worksheet" Target="worksheets/sheet79.xml"/><Relationship Id="rId87" Type="http://schemas.openxmlformats.org/officeDocument/2006/relationships/worksheet" Target="worksheets/sheet87.xml"/><Relationship Id="rId5" Type="http://schemas.openxmlformats.org/officeDocument/2006/relationships/worksheet" Target="worksheets/sheet5.xml"/><Relationship Id="rId61" Type="http://schemas.openxmlformats.org/officeDocument/2006/relationships/worksheet" Target="worksheets/sheet61.xml"/><Relationship Id="rId82" Type="http://schemas.openxmlformats.org/officeDocument/2006/relationships/worksheet" Target="worksheets/sheet82.xml"/><Relationship Id="rId90" Type="http://schemas.openxmlformats.org/officeDocument/2006/relationships/worksheet" Target="worksheets/sheet90.xml"/><Relationship Id="rId95" Type="http://schemas.openxmlformats.org/officeDocument/2006/relationships/styles" Target="styles.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64" Type="http://schemas.openxmlformats.org/officeDocument/2006/relationships/worksheet" Target="worksheets/sheet64.xml"/><Relationship Id="rId69" Type="http://schemas.openxmlformats.org/officeDocument/2006/relationships/worksheet" Target="worksheets/sheet69.xml"/><Relationship Id="rId77" Type="http://schemas.openxmlformats.org/officeDocument/2006/relationships/worksheet" Target="worksheets/sheet77.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80" Type="http://schemas.openxmlformats.org/officeDocument/2006/relationships/worksheet" Target="worksheets/sheet80.xml"/><Relationship Id="rId85" Type="http://schemas.openxmlformats.org/officeDocument/2006/relationships/worksheet" Target="worksheets/sheet85.xml"/><Relationship Id="rId93" Type="http://schemas.openxmlformats.org/officeDocument/2006/relationships/externalLink" Target="externalLinks/externalLink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67" Type="http://schemas.openxmlformats.org/officeDocument/2006/relationships/worksheet" Target="worksheets/sheet67.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70" Type="http://schemas.openxmlformats.org/officeDocument/2006/relationships/worksheet" Target="worksheets/sheet70.xml"/><Relationship Id="rId75" Type="http://schemas.openxmlformats.org/officeDocument/2006/relationships/worksheet" Target="worksheets/sheet75.xml"/><Relationship Id="rId83" Type="http://schemas.openxmlformats.org/officeDocument/2006/relationships/worksheet" Target="worksheets/sheet83.xml"/><Relationship Id="rId88" Type="http://schemas.openxmlformats.org/officeDocument/2006/relationships/worksheet" Target="worksheets/sheet88.xml"/><Relationship Id="rId91" Type="http://schemas.openxmlformats.org/officeDocument/2006/relationships/worksheet" Target="worksheets/sheet91.xml"/><Relationship Id="rId9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worksheet" Target="worksheets/sheet65.xml"/><Relationship Id="rId73" Type="http://schemas.openxmlformats.org/officeDocument/2006/relationships/worksheet" Target="worksheets/sheet73.xml"/><Relationship Id="rId78" Type="http://schemas.openxmlformats.org/officeDocument/2006/relationships/worksheet" Target="worksheets/sheet78.xml"/><Relationship Id="rId81" Type="http://schemas.openxmlformats.org/officeDocument/2006/relationships/worksheet" Target="worksheets/sheet81.xml"/><Relationship Id="rId86" Type="http://schemas.openxmlformats.org/officeDocument/2006/relationships/worksheet" Target="worksheets/sheet86.xml"/><Relationship Id="rId94"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s>
</file>

<file path=xl/ctrlProps/ctrlProp1.xml><?xml version="1.0" encoding="utf-8"?>
<formControlPr xmlns="http://schemas.microsoft.com/office/spreadsheetml/2009/9/main" objectType="CheckBox" lockText="1" noThreeD="1"/>
</file>

<file path=xl/ctrlProps/ctrlProp2.xml><?xml version="1.0" encoding="utf-8"?>
<formControlPr xmlns="http://schemas.microsoft.com/office/spreadsheetml/2009/9/main" objectType="CheckBox" lockText="1" noThreeD="1"/>
</file>

<file path=xl/ctrlProps/ctrlProp3.xml><?xml version="1.0" encoding="utf-8"?>
<formControlPr xmlns="http://schemas.microsoft.com/office/spreadsheetml/2009/9/main" objectType="CheckBox" lockText="1" noThreeD="1"/>
</file>

<file path=xl/ctrlProps/ctrlProp4.xml><?xml version="1.0" encoding="utf-8"?>
<formControlPr xmlns="http://schemas.microsoft.com/office/spreadsheetml/2009/9/main" objectType="CheckBox" lockText="1" noThreeD="1"/>
</file>

<file path=xl/drawings/drawing1.xml><?xml version="1.0" encoding="utf-8"?>
<xdr:wsDr xmlns:xdr="http://schemas.openxmlformats.org/drawingml/2006/spreadsheetDrawing" xmlns:a="http://schemas.openxmlformats.org/drawingml/2006/main">
  <xdr:twoCellAnchor>
    <xdr:from>
      <xdr:col>1</xdr:col>
      <xdr:colOff>13335</xdr:colOff>
      <xdr:row>2</xdr:row>
      <xdr:rowOff>28576</xdr:rowOff>
    </xdr:from>
    <xdr:to>
      <xdr:col>9</xdr:col>
      <xdr:colOff>516780</xdr:colOff>
      <xdr:row>3</xdr:row>
      <xdr:rowOff>59791</xdr:rowOff>
    </xdr:to>
    <xdr:sp macro="[1]!PageDeGarde1" textlink="">
      <xdr:nvSpPr>
        <xdr:cNvPr id="2" name="Rectangle à coins arrondis 2">
          <a:extLst>
            <a:ext uri="{FF2B5EF4-FFF2-40B4-BE49-F238E27FC236}">
              <a16:creationId xmlns:a16="http://schemas.microsoft.com/office/drawing/2014/main" id="{B73E3B11-8E3D-40D7-B3F9-7C1B5F6E1142}"/>
            </a:ext>
          </a:extLst>
        </xdr:cNvPr>
        <xdr:cNvSpPr/>
      </xdr:nvSpPr>
      <xdr:spPr>
        <a:xfrm>
          <a:off x="260985" y="409576"/>
          <a:ext cx="7151895" cy="221715"/>
        </a:xfrm>
        <a:prstGeom prst="roundRect">
          <a:avLst/>
        </a:prstGeom>
      </xdr:spPr>
      <xdr:style>
        <a:lnRef idx="2">
          <a:schemeClr val="dk1">
            <a:shade val="50000"/>
          </a:schemeClr>
        </a:lnRef>
        <a:fillRef idx="1">
          <a:schemeClr val="dk1"/>
        </a:fillRef>
        <a:effectRef idx="0">
          <a:schemeClr val="dk1"/>
        </a:effectRef>
        <a:fontRef idx="minor">
          <a:schemeClr val="lt1"/>
        </a:fontRef>
      </xdr:style>
      <xdr:txBody>
        <a:bodyPr vertOverflow="clip" horzOverflow="clip" rtlCol="0" anchor="ctr"/>
        <a:lstStyle/>
        <a:p>
          <a:pPr algn="ctr"/>
          <a:r>
            <a:rPr lang="en-US" sz="1000" b="0">
              <a:ln>
                <a:noFill/>
              </a:ln>
              <a:solidFill>
                <a:schemeClr val="bg1"/>
              </a:solidFill>
              <a:latin typeface="Cambria" panose="02040503050406030204" pitchFamily="18" charset="0"/>
              <a:ea typeface="Cambria" panose="02040503050406030204" pitchFamily="18" charset="0"/>
            </a:rPr>
            <a:t>Page De</a:t>
          </a:r>
          <a:r>
            <a:rPr lang="en-US" sz="1000" b="0" baseline="0">
              <a:ln>
                <a:noFill/>
              </a:ln>
              <a:solidFill>
                <a:schemeClr val="bg1"/>
              </a:solidFill>
              <a:latin typeface="Cambria" panose="02040503050406030204" pitchFamily="18" charset="0"/>
              <a:ea typeface="Cambria" panose="02040503050406030204" pitchFamily="18" charset="0"/>
            </a:rPr>
            <a:t> Garde</a:t>
          </a:r>
          <a:endParaRPr lang="en-US" sz="1000" b="0">
            <a:ln>
              <a:noFill/>
            </a:ln>
            <a:solidFill>
              <a:schemeClr val="bg1"/>
            </a:solidFill>
            <a:latin typeface="Cambria" panose="02040503050406030204" pitchFamily="18" charset="0"/>
            <a:ea typeface="Cambria" panose="02040503050406030204" pitchFamily="18" charset="0"/>
          </a:endParaRPr>
        </a:p>
      </xdr:txBody>
    </xdr:sp>
    <xdr:clientData/>
  </xdr:twoCellAnchor>
  <xdr:twoCellAnchor>
    <xdr:from>
      <xdr:col>1</xdr:col>
      <xdr:colOff>15240</xdr:colOff>
      <xdr:row>14</xdr:row>
      <xdr:rowOff>37048</xdr:rowOff>
    </xdr:from>
    <xdr:to>
      <xdr:col>9</xdr:col>
      <xdr:colOff>514875</xdr:colOff>
      <xdr:row>15</xdr:row>
      <xdr:rowOff>68263</xdr:rowOff>
    </xdr:to>
    <xdr:sp macro="[1]!PageDeGardeBilan" textlink="">
      <xdr:nvSpPr>
        <xdr:cNvPr id="3" name="Rectangle à coins arrondis 3">
          <a:extLst>
            <a:ext uri="{FF2B5EF4-FFF2-40B4-BE49-F238E27FC236}">
              <a16:creationId xmlns:a16="http://schemas.microsoft.com/office/drawing/2014/main" id="{1B8A6944-12B8-494B-B6FF-D3D8B1A3D10B}"/>
            </a:ext>
          </a:extLst>
        </xdr:cNvPr>
        <xdr:cNvSpPr/>
      </xdr:nvSpPr>
      <xdr:spPr>
        <a:xfrm>
          <a:off x="262890" y="2704048"/>
          <a:ext cx="7148085" cy="221715"/>
        </a:xfrm>
        <a:prstGeom prst="roundRect">
          <a:avLst/>
        </a:prstGeom>
      </xdr:spPr>
      <xdr:style>
        <a:lnRef idx="2">
          <a:schemeClr val="dk1">
            <a:shade val="50000"/>
          </a:schemeClr>
        </a:lnRef>
        <a:fillRef idx="1">
          <a:schemeClr val="dk1"/>
        </a:fillRef>
        <a:effectRef idx="0">
          <a:schemeClr val="dk1"/>
        </a:effectRef>
        <a:fontRef idx="minor">
          <a:schemeClr val="lt1"/>
        </a:fontRef>
      </xdr:style>
      <xdr:txBody>
        <a:bodyPr vertOverflow="clip" horzOverflow="clip" rtlCol="0" anchor="ctr"/>
        <a:lstStyle/>
        <a:p>
          <a:pPr algn="ctr"/>
          <a:r>
            <a:rPr lang="en-US" sz="1000" b="0">
              <a:ln>
                <a:noFill/>
              </a:ln>
              <a:solidFill>
                <a:schemeClr val="bg1"/>
              </a:solidFill>
              <a:latin typeface="Cambria" panose="02040503050406030204" pitchFamily="18" charset="0"/>
              <a:ea typeface="Cambria" panose="02040503050406030204" pitchFamily="18" charset="0"/>
            </a:rPr>
            <a:t>Page De</a:t>
          </a:r>
          <a:r>
            <a:rPr lang="en-US" sz="1000" b="0" baseline="0">
              <a:ln>
                <a:noFill/>
              </a:ln>
              <a:solidFill>
                <a:schemeClr val="bg1"/>
              </a:solidFill>
              <a:latin typeface="Cambria" panose="02040503050406030204" pitchFamily="18" charset="0"/>
              <a:ea typeface="Cambria" panose="02040503050406030204" pitchFamily="18" charset="0"/>
            </a:rPr>
            <a:t> Garde Bilan</a:t>
          </a:r>
          <a:endParaRPr lang="en-US" sz="1000" b="0">
            <a:ln>
              <a:noFill/>
            </a:ln>
            <a:solidFill>
              <a:schemeClr val="bg1"/>
            </a:solidFill>
            <a:latin typeface="Cambria" panose="02040503050406030204" pitchFamily="18" charset="0"/>
            <a:ea typeface="Cambria" panose="02040503050406030204" pitchFamily="18" charset="0"/>
          </a:endParaRPr>
        </a:p>
      </xdr:txBody>
    </xdr:sp>
    <xdr:clientData/>
  </xdr:twoCellAnchor>
  <xdr:twoCellAnchor>
    <xdr:from>
      <xdr:col>1</xdr:col>
      <xdr:colOff>16193</xdr:colOff>
      <xdr:row>16</xdr:row>
      <xdr:rowOff>44175</xdr:rowOff>
    </xdr:from>
    <xdr:to>
      <xdr:col>9</xdr:col>
      <xdr:colOff>513923</xdr:colOff>
      <xdr:row>17</xdr:row>
      <xdr:rowOff>69675</xdr:rowOff>
    </xdr:to>
    <xdr:sp macro="[1]!BILAN" textlink="">
      <xdr:nvSpPr>
        <xdr:cNvPr id="4" name="Rectangle à coins arrondis 4">
          <a:extLst>
            <a:ext uri="{FF2B5EF4-FFF2-40B4-BE49-F238E27FC236}">
              <a16:creationId xmlns:a16="http://schemas.microsoft.com/office/drawing/2014/main" id="{880B9A2E-4497-4477-81CA-81E99D5182F7}"/>
            </a:ext>
          </a:extLst>
        </xdr:cNvPr>
        <xdr:cNvSpPr/>
      </xdr:nvSpPr>
      <xdr:spPr>
        <a:xfrm>
          <a:off x="263843" y="3092175"/>
          <a:ext cx="7146180" cy="216000"/>
        </a:xfrm>
        <a:prstGeom prst="round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000" b="0">
              <a:ln>
                <a:noFill/>
              </a:ln>
              <a:solidFill>
                <a:schemeClr val="bg1"/>
              </a:solidFill>
              <a:latin typeface="Cambria" panose="02040503050406030204" pitchFamily="18" charset="0"/>
              <a:ea typeface="Cambria" panose="02040503050406030204" pitchFamily="18" charset="0"/>
            </a:rPr>
            <a:t>Bilan</a:t>
          </a:r>
        </a:p>
      </xdr:txBody>
    </xdr:sp>
    <xdr:clientData/>
  </xdr:twoCellAnchor>
  <xdr:twoCellAnchor>
    <xdr:from>
      <xdr:col>1</xdr:col>
      <xdr:colOff>19050</xdr:colOff>
      <xdr:row>18</xdr:row>
      <xdr:rowOff>45587</xdr:rowOff>
    </xdr:from>
    <xdr:to>
      <xdr:col>9</xdr:col>
      <xdr:colOff>511065</xdr:colOff>
      <xdr:row>19</xdr:row>
      <xdr:rowOff>69182</xdr:rowOff>
    </xdr:to>
    <xdr:sp macro="[1]!PageDeGardeCpteResultat" textlink="">
      <xdr:nvSpPr>
        <xdr:cNvPr id="5" name="Rectangle à coins arrondis 5">
          <a:extLst>
            <a:ext uri="{FF2B5EF4-FFF2-40B4-BE49-F238E27FC236}">
              <a16:creationId xmlns:a16="http://schemas.microsoft.com/office/drawing/2014/main" id="{FF20ED9B-EC5E-4735-A70B-C47A46F34205}"/>
            </a:ext>
          </a:extLst>
        </xdr:cNvPr>
        <xdr:cNvSpPr/>
      </xdr:nvSpPr>
      <xdr:spPr>
        <a:xfrm>
          <a:off x="266700" y="3474587"/>
          <a:ext cx="7140465" cy="214095"/>
        </a:xfrm>
        <a:prstGeom prst="roundRect">
          <a:avLst/>
        </a:prstGeom>
      </xdr:spPr>
      <xdr:style>
        <a:lnRef idx="2">
          <a:schemeClr val="dk1">
            <a:shade val="50000"/>
          </a:schemeClr>
        </a:lnRef>
        <a:fillRef idx="1">
          <a:schemeClr val="dk1"/>
        </a:fillRef>
        <a:effectRef idx="0">
          <a:schemeClr val="dk1"/>
        </a:effectRef>
        <a:fontRef idx="minor">
          <a:schemeClr val="lt1"/>
        </a:fontRef>
      </xdr:style>
      <xdr:txBody>
        <a:bodyPr vertOverflow="clip" horzOverflow="clip" rtlCol="0" anchor="ctr"/>
        <a:lstStyle/>
        <a:p>
          <a:pPr algn="ctr"/>
          <a:r>
            <a:rPr lang="en-US" sz="1000" b="0">
              <a:ln>
                <a:noFill/>
              </a:ln>
              <a:solidFill>
                <a:schemeClr val="bg1"/>
              </a:solidFill>
              <a:latin typeface="Cambria" panose="02040503050406030204" pitchFamily="18" charset="0"/>
              <a:ea typeface="Cambria" panose="02040503050406030204" pitchFamily="18" charset="0"/>
            </a:rPr>
            <a:t>Page De</a:t>
          </a:r>
          <a:r>
            <a:rPr lang="en-US" sz="1000" b="0" baseline="0">
              <a:ln>
                <a:noFill/>
              </a:ln>
              <a:solidFill>
                <a:schemeClr val="bg1"/>
              </a:solidFill>
              <a:latin typeface="Cambria" panose="02040503050406030204" pitchFamily="18" charset="0"/>
              <a:ea typeface="Cambria" panose="02040503050406030204" pitchFamily="18" charset="0"/>
            </a:rPr>
            <a:t> Garde Compte De Resultat</a:t>
          </a:r>
          <a:endParaRPr lang="en-US" sz="1000" b="0">
            <a:ln>
              <a:noFill/>
            </a:ln>
            <a:solidFill>
              <a:schemeClr val="bg1"/>
            </a:solidFill>
            <a:latin typeface="Cambria" panose="02040503050406030204" pitchFamily="18" charset="0"/>
            <a:ea typeface="Cambria" panose="02040503050406030204" pitchFamily="18" charset="0"/>
          </a:endParaRPr>
        </a:p>
      </xdr:txBody>
    </xdr:sp>
    <xdr:clientData/>
  </xdr:twoCellAnchor>
  <xdr:twoCellAnchor>
    <xdr:from>
      <xdr:col>1</xdr:col>
      <xdr:colOff>19050</xdr:colOff>
      <xdr:row>20</xdr:row>
      <xdr:rowOff>45094</xdr:rowOff>
    </xdr:from>
    <xdr:to>
      <xdr:col>9</xdr:col>
      <xdr:colOff>511065</xdr:colOff>
      <xdr:row>21</xdr:row>
      <xdr:rowOff>83929</xdr:rowOff>
    </xdr:to>
    <xdr:sp macro="[1]!COMPTE_DE_RESULTAT" textlink="">
      <xdr:nvSpPr>
        <xdr:cNvPr id="6" name="Rectangle à coins arrondis 6">
          <a:extLst>
            <a:ext uri="{FF2B5EF4-FFF2-40B4-BE49-F238E27FC236}">
              <a16:creationId xmlns:a16="http://schemas.microsoft.com/office/drawing/2014/main" id="{BEF3BFC6-4993-4EFD-AA44-4C2EE100D2E2}"/>
            </a:ext>
          </a:extLst>
        </xdr:cNvPr>
        <xdr:cNvSpPr/>
      </xdr:nvSpPr>
      <xdr:spPr>
        <a:xfrm>
          <a:off x="266700" y="3855094"/>
          <a:ext cx="7140465" cy="229335"/>
        </a:xfrm>
        <a:prstGeom prst="round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000" b="0">
              <a:ln>
                <a:noFill/>
              </a:ln>
              <a:solidFill>
                <a:schemeClr val="bg1"/>
              </a:solidFill>
              <a:latin typeface="Cambria" panose="02040503050406030204" pitchFamily="18" charset="0"/>
              <a:ea typeface="Cambria" panose="02040503050406030204" pitchFamily="18" charset="0"/>
            </a:rPr>
            <a:t>Compte De</a:t>
          </a:r>
          <a:r>
            <a:rPr lang="en-US" sz="1000" b="0" baseline="0">
              <a:ln>
                <a:noFill/>
              </a:ln>
              <a:solidFill>
                <a:schemeClr val="bg1"/>
              </a:solidFill>
              <a:latin typeface="Cambria" panose="02040503050406030204" pitchFamily="18" charset="0"/>
              <a:ea typeface="Cambria" panose="02040503050406030204" pitchFamily="18" charset="0"/>
            </a:rPr>
            <a:t> Résultat</a:t>
          </a:r>
          <a:endParaRPr lang="en-US" sz="1000" b="0">
            <a:ln>
              <a:noFill/>
            </a:ln>
            <a:solidFill>
              <a:schemeClr val="bg1"/>
            </a:solidFill>
            <a:latin typeface="Cambria" panose="02040503050406030204" pitchFamily="18" charset="0"/>
            <a:ea typeface="Cambria" panose="02040503050406030204" pitchFamily="18" charset="0"/>
          </a:endParaRPr>
        </a:p>
      </xdr:txBody>
    </xdr:sp>
    <xdr:clientData/>
  </xdr:twoCellAnchor>
  <xdr:twoCellAnchor>
    <xdr:from>
      <xdr:col>1</xdr:col>
      <xdr:colOff>19050</xdr:colOff>
      <xdr:row>22</xdr:row>
      <xdr:rowOff>57936</xdr:rowOff>
    </xdr:from>
    <xdr:to>
      <xdr:col>9</xdr:col>
      <xdr:colOff>511065</xdr:colOff>
      <xdr:row>23</xdr:row>
      <xdr:rowOff>92961</xdr:rowOff>
    </xdr:to>
    <xdr:sp macro="[1]!PageDeGardeTafluxT" textlink="">
      <xdr:nvSpPr>
        <xdr:cNvPr id="7" name="Rectangle à coins arrondis 7">
          <a:extLst>
            <a:ext uri="{FF2B5EF4-FFF2-40B4-BE49-F238E27FC236}">
              <a16:creationId xmlns:a16="http://schemas.microsoft.com/office/drawing/2014/main" id="{BD97874B-CBA8-43CD-B5FF-4A68C01828F2}"/>
            </a:ext>
          </a:extLst>
        </xdr:cNvPr>
        <xdr:cNvSpPr/>
      </xdr:nvSpPr>
      <xdr:spPr>
        <a:xfrm>
          <a:off x="266700" y="4248936"/>
          <a:ext cx="7140465" cy="225525"/>
        </a:xfrm>
        <a:prstGeom prst="roundRect">
          <a:avLst/>
        </a:prstGeom>
      </xdr:spPr>
      <xdr:style>
        <a:lnRef idx="2">
          <a:schemeClr val="dk1">
            <a:shade val="50000"/>
          </a:schemeClr>
        </a:lnRef>
        <a:fillRef idx="1">
          <a:schemeClr val="dk1"/>
        </a:fillRef>
        <a:effectRef idx="0">
          <a:schemeClr val="dk1"/>
        </a:effectRef>
        <a:fontRef idx="minor">
          <a:schemeClr val="lt1"/>
        </a:fontRef>
      </xdr:style>
      <xdr:txBody>
        <a:bodyPr vertOverflow="clip" horzOverflow="clip" rtlCol="0" anchor="ctr"/>
        <a:lstStyle/>
        <a:p>
          <a:pPr algn="ctr"/>
          <a:r>
            <a:rPr lang="en-US" sz="1000" b="0">
              <a:ln>
                <a:noFill/>
              </a:ln>
              <a:solidFill>
                <a:schemeClr val="bg1"/>
              </a:solidFill>
              <a:latin typeface="Cambria" panose="02040503050406030204" pitchFamily="18" charset="0"/>
              <a:ea typeface="Cambria" panose="02040503050406030204" pitchFamily="18" charset="0"/>
            </a:rPr>
            <a:t>Page De</a:t>
          </a:r>
          <a:r>
            <a:rPr lang="en-US" sz="1000" b="0" baseline="0">
              <a:ln>
                <a:noFill/>
              </a:ln>
              <a:solidFill>
                <a:schemeClr val="bg1"/>
              </a:solidFill>
              <a:latin typeface="Cambria" panose="02040503050406030204" pitchFamily="18" charset="0"/>
              <a:ea typeface="Cambria" panose="02040503050406030204" pitchFamily="18" charset="0"/>
            </a:rPr>
            <a:t> Garde TafluxT</a:t>
          </a:r>
          <a:endParaRPr lang="en-US" sz="1000" b="0">
            <a:ln>
              <a:noFill/>
            </a:ln>
            <a:solidFill>
              <a:schemeClr val="bg1"/>
            </a:solidFill>
            <a:latin typeface="Cambria" panose="02040503050406030204" pitchFamily="18" charset="0"/>
            <a:ea typeface="Cambria" panose="02040503050406030204" pitchFamily="18" charset="0"/>
          </a:endParaRPr>
        </a:p>
      </xdr:txBody>
    </xdr:sp>
    <xdr:clientData/>
  </xdr:twoCellAnchor>
  <xdr:twoCellAnchor>
    <xdr:from>
      <xdr:col>1</xdr:col>
      <xdr:colOff>16193</xdr:colOff>
      <xdr:row>24</xdr:row>
      <xdr:rowOff>57443</xdr:rowOff>
    </xdr:from>
    <xdr:to>
      <xdr:col>9</xdr:col>
      <xdr:colOff>513923</xdr:colOff>
      <xdr:row>25</xdr:row>
      <xdr:rowOff>92468</xdr:rowOff>
    </xdr:to>
    <xdr:sp macro="[1]!TFT" textlink="">
      <xdr:nvSpPr>
        <xdr:cNvPr id="8" name="Rectangle à coins arrondis 8">
          <a:extLst>
            <a:ext uri="{FF2B5EF4-FFF2-40B4-BE49-F238E27FC236}">
              <a16:creationId xmlns:a16="http://schemas.microsoft.com/office/drawing/2014/main" id="{F8E1BA45-4E19-4E11-9A48-F00A4C84509A}"/>
            </a:ext>
          </a:extLst>
        </xdr:cNvPr>
        <xdr:cNvSpPr/>
      </xdr:nvSpPr>
      <xdr:spPr>
        <a:xfrm>
          <a:off x="263843" y="4629443"/>
          <a:ext cx="7146180" cy="225525"/>
        </a:xfrm>
        <a:prstGeom prst="round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000" b="0">
              <a:ln>
                <a:noFill/>
              </a:ln>
              <a:solidFill>
                <a:schemeClr val="bg1"/>
              </a:solidFill>
              <a:latin typeface="Cambria" panose="02040503050406030204" pitchFamily="18" charset="0"/>
              <a:ea typeface="Cambria" panose="02040503050406030204" pitchFamily="18" charset="0"/>
            </a:rPr>
            <a:t>TFT</a:t>
          </a:r>
        </a:p>
      </xdr:txBody>
    </xdr:sp>
    <xdr:clientData/>
  </xdr:twoCellAnchor>
  <xdr:twoCellAnchor>
    <xdr:from>
      <xdr:col>1</xdr:col>
      <xdr:colOff>11430</xdr:colOff>
      <xdr:row>28</xdr:row>
      <xdr:rowOff>56457</xdr:rowOff>
    </xdr:from>
    <xdr:to>
      <xdr:col>9</xdr:col>
      <xdr:colOff>518685</xdr:colOff>
      <xdr:row>29</xdr:row>
      <xdr:rowOff>97197</xdr:rowOff>
    </xdr:to>
    <xdr:sp macro="[1]!NOTES" textlink="">
      <xdr:nvSpPr>
        <xdr:cNvPr id="9" name="Rectangle à coins arrondis 9">
          <a:extLst>
            <a:ext uri="{FF2B5EF4-FFF2-40B4-BE49-F238E27FC236}">
              <a16:creationId xmlns:a16="http://schemas.microsoft.com/office/drawing/2014/main" id="{CD9F5117-00BD-44A0-B540-0039B3702374}"/>
            </a:ext>
          </a:extLst>
        </xdr:cNvPr>
        <xdr:cNvSpPr/>
      </xdr:nvSpPr>
      <xdr:spPr>
        <a:xfrm>
          <a:off x="259080" y="5390457"/>
          <a:ext cx="7155705" cy="231240"/>
        </a:xfrm>
        <a:prstGeom prst="round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000" b="0">
              <a:ln>
                <a:noFill/>
              </a:ln>
              <a:solidFill>
                <a:schemeClr val="bg1"/>
              </a:solidFill>
              <a:latin typeface="Cambria" panose="02040503050406030204" pitchFamily="18" charset="0"/>
              <a:ea typeface="Cambria" panose="02040503050406030204" pitchFamily="18" charset="0"/>
            </a:rPr>
            <a:t>Notes</a:t>
          </a:r>
        </a:p>
      </xdr:txBody>
    </xdr:sp>
    <xdr:clientData/>
  </xdr:twoCellAnchor>
  <xdr:twoCellAnchor>
    <xdr:from>
      <xdr:col>1</xdr:col>
      <xdr:colOff>19050</xdr:colOff>
      <xdr:row>26</xdr:row>
      <xdr:rowOff>56950</xdr:rowOff>
    </xdr:from>
    <xdr:to>
      <xdr:col>9</xdr:col>
      <xdr:colOff>511065</xdr:colOff>
      <xdr:row>27</xdr:row>
      <xdr:rowOff>91975</xdr:rowOff>
    </xdr:to>
    <xdr:sp macro="[1]!PageDeGardeNote" textlink="">
      <xdr:nvSpPr>
        <xdr:cNvPr id="10" name="Rectangle à coins arrondis 10">
          <a:extLst>
            <a:ext uri="{FF2B5EF4-FFF2-40B4-BE49-F238E27FC236}">
              <a16:creationId xmlns:a16="http://schemas.microsoft.com/office/drawing/2014/main" id="{B9CB5F82-5223-494C-8194-D3618E5D2632}"/>
            </a:ext>
          </a:extLst>
        </xdr:cNvPr>
        <xdr:cNvSpPr/>
      </xdr:nvSpPr>
      <xdr:spPr>
        <a:xfrm>
          <a:off x="266700" y="5009950"/>
          <a:ext cx="7140465" cy="225525"/>
        </a:xfrm>
        <a:prstGeom prst="roundRect">
          <a:avLst/>
        </a:prstGeom>
      </xdr:spPr>
      <xdr:style>
        <a:lnRef idx="2">
          <a:schemeClr val="dk1">
            <a:shade val="50000"/>
          </a:schemeClr>
        </a:lnRef>
        <a:fillRef idx="1">
          <a:schemeClr val="dk1"/>
        </a:fillRef>
        <a:effectRef idx="0">
          <a:schemeClr val="dk1"/>
        </a:effectRef>
        <a:fontRef idx="minor">
          <a:schemeClr val="lt1"/>
        </a:fontRef>
      </xdr:style>
      <xdr:txBody>
        <a:bodyPr vertOverflow="clip" horzOverflow="clip" rtlCol="0" anchor="ctr"/>
        <a:lstStyle/>
        <a:p>
          <a:pPr algn="ctr"/>
          <a:r>
            <a:rPr lang="en-US" sz="1000" b="0">
              <a:ln>
                <a:noFill/>
              </a:ln>
              <a:solidFill>
                <a:schemeClr val="bg1"/>
              </a:solidFill>
              <a:latin typeface="Cambria" panose="02040503050406030204" pitchFamily="18" charset="0"/>
              <a:ea typeface="Cambria" panose="02040503050406030204" pitchFamily="18" charset="0"/>
            </a:rPr>
            <a:t>Page De</a:t>
          </a:r>
          <a:r>
            <a:rPr lang="en-US" sz="1000" b="0" baseline="0">
              <a:ln>
                <a:noFill/>
              </a:ln>
              <a:solidFill>
                <a:schemeClr val="bg1"/>
              </a:solidFill>
              <a:latin typeface="Cambria" panose="02040503050406030204" pitchFamily="18" charset="0"/>
              <a:ea typeface="Cambria" panose="02040503050406030204" pitchFamily="18" charset="0"/>
            </a:rPr>
            <a:t> Garde Note</a:t>
          </a:r>
          <a:endParaRPr lang="en-US" sz="1000" b="0">
            <a:ln>
              <a:noFill/>
            </a:ln>
            <a:solidFill>
              <a:schemeClr val="bg1"/>
            </a:solidFill>
            <a:latin typeface="Cambria" panose="02040503050406030204" pitchFamily="18" charset="0"/>
            <a:ea typeface="Cambria" panose="02040503050406030204" pitchFamily="18" charset="0"/>
          </a:endParaRPr>
        </a:p>
      </xdr:txBody>
    </xdr:sp>
    <xdr:clientData/>
  </xdr:twoCellAnchor>
  <xdr:twoCellAnchor>
    <xdr:from>
      <xdr:col>1</xdr:col>
      <xdr:colOff>9525</xdr:colOff>
      <xdr:row>30</xdr:row>
      <xdr:rowOff>63584</xdr:rowOff>
    </xdr:from>
    <xdr:to>
      <xdr:col>9</xdr:col>
      <xdr:colOff>520590</xdr:colOff>
      <xdr:row>31</xdr:row>
      <xdr:rowOff>96704</xdr:rowOff>
    </xdr:to>
    <xdr:sp macro="[1]!NOTE_1" textlink="">
      <xdr:nvSpPr>
        <xdr:cNvPr id="11" name="Rectangle à coins arrondis 11">
          <a:extLst>
            <a:ext uri="{FF2B5EF4-FFF2-40B4-BE49-F238E27FC236}">
              <a16:creationId xmlns:a16="http://schemas.microsoft.com/office/drawing/2014/main" id="{0AFB79FE-0888-4753-9A65-1DFEEDA52161}"/>
            </a:ext>
          </a:extLst>
        </xdr:cNvPr>
        <xdr:cNvSpPr/>
      </xdr:nvSpPr>
      <xdr:spPr>
        <a:xfrm>
          <a:off x="257175" y="5778584"/>
          <a:ext cx="7159515" cy="223620"/>
        </a:xfrm>
        <a:prstGeom prst="round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000" b="0">
              <a:ln>
                <a:noFill/>
              </a:ln>
              <a:solidFill>
                <a:schemeClr val="bg1"/>
              </a:solidFill>
              <a:latin typeface="Cambria" panose="02040503050406030204" pitchFamily="18" charset="0"/>
              <a:ea typeface="Cambria" panose="02040503050406030204" pitchFamily="18" charset="0"/>
            </a:rPr>
            <a:t>Note</a:t>
          </a:r>
          <a:r>
            <a:rPr lang="en-US" sz="1000" b="0" baseline="0">
              <a:ln>
                <a:noFill/>
              </a:ln>
              <a:solidFill>
                <a:schemeClr val="bg1"/>
              </a:solidFill>
              <a:latin typeface="Cambria" panose="02040503050406030204" pitchFamily="18" charset="0"/>
              <a:ea typeface="Cambria" panose="02040503050406030204" pitchFamily="18" charset="0"/>
            </a:rPr>
            <a:t> 1 : Dettes garanties par des suretés réelles, engagements financiers et contributions volontaires en nature</a:t>
          </a:r>
          <a:endParaRPr lang="en-US" sz="1000" b="0">
            <a:ln>
              <a:noFill/>
            </a:ln>
            <a:solidFill>
              <a:schemeClr val="bg1"/>
            </a:solidFill>
            <a:latin typeface="Cambria" panose="02040503050406030204" pitchFamily="18" charset="0"/>
            <a:ea typeface="Cambria" panose="02040503050406030204" pitchFamily="18" charset="0"/>
          </a:endParaRPr>
        </a:p>
      </xdr:txBody>
    </xdr:sp>
    <xdr:clientData/>
  </xdr:twoCellAnchor>
  <xdr:twoCellAnchor>
    <xdr:from>
      <xdr:col>1</xdr:col>
      <xdr:colOff>11430</xdr:colOff>
      <xdr:row>32</xdr:row>
      <xdr:rowOff>63091</xdr:rowOff>
    </xdr:from>
    <xdr:to>
      <xdr:col>9</xdr:col>
      <xdr:colOff>518685</xdr:colOff>
      <xdr:row>33</xdr:row>
      <xdr:rowOff>96211</xdr:rowOff>
    </xdr:to>
    <xdr:sp macro="[1]!NOTE_2" textlink="">
      <xdr:nvSpPr>
        <xdr:cNvPr id="12" name="Rectangle à coins arrondis 12">
          <a:extLst>
            <a:ext uri="{FF2B5EF4-FFF2-40B4-BE49-F238E27FC236}">
              <a16:creationId xmlns:a16="http://schemas.microsoft.com/office/drawing/2014/main" id="{08834E50-E38A-4DB6-967A-0E8FD03C5CE0}"/>
            </a:ext>
          </a:extLst>
        </xdr:cNvPr>
        <xdr:cNvSpPr/>
      </xdr:nvSpPr>
      <xdr:spPr>
        <a:xfrm>
          <a:off x="259080" y="6159091"/>
          <a:ext cx="7155705" cy="223620"/>
        </a:xfrm>
        <a:prstGeom prst="round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000" b="0">
              <a:ln>
                <a:noFill/>
              </a:ln>
              <a:solidFill>
                <a:schemeClr val="bg1"/>
              </a:solidFill>
              <a:latin typeface="Cambria" panose="02040503050406030204" pitchFamily="18" charset="0"/>
              <a:ea typeface="Cambria" panose="02040503050406030204" pitchFamily="18" charset="0"/>
            </a:rPr>
            <a:t>Note</a:t>
          </a:r>
          <a:r>
            <a:rPr lang="en-US" sz="1000" b="0" baseline="0">
              <a:ln>
                <a:noFill/>
              </a:ln>
              <a:solidFill>
                <a:schemeClr val="bg1"/>
              </a:solidFill>
              <a:latin typeface="Cambria" panose="02040503050406030204" pitchFamily="18" charset="0"/>
              <a:ea typeface="Cambria" panose="02040503050406030204" pitchFamily="18" charset="0"/>
            </a:rPr>
            <a:t> 2 : Informations obligatoires</a:t>
          </a:r>
          <a:endParaRPr lang="en-US" sz="1000" b="0">
            <a:ln>
              <a:noFill/>
            </a:ln>
            <a:solidFill>
              <a:schemeClr val="bg1"/>
            </a:solidFill>
            <a:latin typeface="Cambria" panose="02040503050406030204" pitchFamily="18" charset="0"/>
            <a:ea typeface="Cambria" panose="02040503050406030204" pitchFamily="18" charset="0"/>
          </a:endParaRPr>
        </a:p>
      </xdr:txBody>
    </xdr:sp>
    <xdr:clientData/>
  </xdr:twoCellAnchor>
  <xdr:twoCellAnchor>
    <xdr:from>
      <xdr:col>1</xdr:col>
      <xdr:colOff>9525</xdr:colOff>
      <xdr:row>34</xdr:row>
      <xdr:rowOff>60693</xdr:rowOff>
    </xdr:from>
    <xdr:to>
      <xdr:col>9</xdr:col>
      <xdr:colOff>520590</xdr:colOff>
      <xdr:row>35</xdr:row>
      <xdr:rowOff>95718</xdr:rowOff>
    </xdr:to>
    <xdr:sp macro="[1]!NOTE_2" textlink="">
      <xdr:nvSpPr>
        <xdr:cNvPr id="13" name="Rectangle à coins arrondis 13">
          <a:extLst>
            <a:ext uri="{FF2B5EF4-FFF2-40B4-BE49-F238E27FC236}">
              <a16:creationId xmlns:a16="http://schemas.microsoft.com/office/drawing/2014/main" id="{C70388C2-DA4D-4749-BFE1-269AF4A62182}"/>
            </a:ext>
          </a:extLst>
        </xdr:cNvPr>
        <xdr:cNvSpPr/>
      </xdr:nvSpPr>
      <xdr:spPr>
        <a:xfrm>
          <a:off x="257175" y="6537693"/>
          <a:ext cx="7159515" cy="225525"/>
        </a:xfrm>
        <a:prstGeom prst="round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000" b="0">
              <a:ln>
                <a:noFill/>
              </a:ln>
              <a:solidFill>
                <a:schemeClr val="bg1"/>
              </a:solidFill>
              <a:latin typeface="Cambria" panose="02040503050406030204" pitchFamily="18" charset="0"/>
              <a:ea typeface="Cambria" panose="02040503050406030204" pitchFamily="18" charset="0"/>
            </a:rPr>
            <a:t>Note</a:t>
          </a:r>
          <a:r>
            <a:rPr lang="en-US" sz="1000" b="0" baseline="0">
              <a:ln>
                <a:noFill/>
              </a:ln>
              <a:solidFill>
                <a:schemeClr val="bg1"/>
              </a:solidFill>
              <a:latin typeface="Cambria" panose="02040503050406030204" pitchFamily="18" charset="0"/>
              <a:ea typeface="Cambria" panose="02040503050406030204" pitchFamily="18" charset="0"/>
            </a:rPr>
            <a:t> 3 : Evènements postérieurs à la clôture de l'exercice</a:t>
          </a:r>
          <a:endParaRPr lang="en-US" sz="1000" b="0">
            <a:ln>
              <a:noFill/>
            </a:ln>
            <a:solidFill>
              <a:schemeClr val="bg1"/>
            </a:solidFill>
            <a:latin typeface="Cambria" panose="02040503050406030204" pitchFamily="18" charset="0"/>
            <a:ea typeface="Cambria" panose="02040503050406030204" pitchFamily="18" charset="0"/>
          </a:endParaRPr>
        </a:p>
      </xdr:txBody>
    </xdr:sp>
    <xdr:clientData/>
  </xdr:twoCellAnchor>
  <xdr:twoCellAnchor>
    <xdr:from>
      <xdr:col>1</xdr:col>
      <xdr:colOff>9525</xdr:colOff>
      <xdr:row>36</xdr:row>
      <xdr:rowOff>60200</xdr:rowOff>
    </xdr:from>
    <xdr:to>
      <xdr:col>9</xdr:col>
      <xdr:colOff>520590</xdr:colOff>
      <xdr:row>37</xdr:row>
      <xdr:rowOff>99035</xdr:rowOff>
    </xdr:to>
    <xdr:sp macro="[1]!NOTE_4" textlink="">
      <xdr:nvSpPr>
        <xdr:cNvPr id="14" name="Rectangle à coins arrondis 14">
          <a:extLst>
            <a:ext uri="{FF2B5EF4-FFF2-40B4-BE49-F238E27FC236}">
              <a16:creationId xmlns:a16="http://schemas.microsoft.com/office/drawing/2014/main" id="{5425AB1B-C4AB-44DE-9A46-035ECB57D32F}"/>
            </a:ext>
          </a:extLst>
        </xdr:cNvPr>
        <xdr:cNvSpPr/>
      </xdr:nvSpPr>
      <xdr:spPr>
        <a:xfrm>
          <a:off x="257175" y="6918200"/>
          <a:ext cx="7159515" cy="229335"/>
        </a:xfrm>
        <a:prstGeom prst="round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000" b="0">
              <a:ln>
                <a:noFill/>
              </a:ln>
              <a:solidFill>
                <a:schemeClr val="bg1"/>
              </a:solidFill>
              <a:latin typeface="Cambria" panose="02040503050406030204" pitchFamily="18" charset="0"/>
              <a:ea typeface="Cambria" panose="02040503050406030204" pitchFamily="18" charset="0"/>
            </a:rPr>
            <a:t>Note</a:t>
          </a:r>
          <a:r>
            <a:rPr lang="en-US" sz="1000" b="0" baseline="0">
              <a:ln>
                <a:noFill/>
              </a:ln>
              <a:solidFill>
                <a:schemeClr val="bg1"/>
              </a:solidFill>
              <a:latin typeface="Cambria" panose="02040503050406030204" pitchFamily="18" charset="0"/>
              <a:ea typeface="Cambria" panose="02040503050406030204" pitchFamily="18" charset="0"/>
            </a:rPr>
            <a:t> 4 : Changements de méthodes comptables, d'estimations et corrections d'erreurs</a:t>
          </a:r>
          <a:endParaRPr lang="en-US" sz="1000" b="0">
            <a:ln>
              <a:noFill/>
            </a:ln>
            <a:solidFill>
              <a:schemeClr val="bg1"/>
            </a:solidFill>
            <a:latin typeface="Cambria" panose="02040503050406030204" pitchFamily="18" charset="0"/>
            <a:ea typeface="Cambria" panose="02040503050406030204" pitchFamily="18" charset="0"/>
          </a:endParaRPr>
        </a:p>
      </xdr:txBody>
    </xdr:sp>
    <xdr:clientData/>
  </xdr:twoCellAnchor>
  <xdr:twoCellAnchor>
    <xdr:from>
      <xdr:col>1</xdr:col>
      <xdr:colOff>9525</xdr:colOff>
      <xdr:row>38</xdr:row>
      <xdr:rowOff>65422</xdr:rowOff>
    </xdr:from>
    <xdr:to>
      <xdr:col>9</xdr:col>
      <xdr:colOff>520590</xdr:colOff>
      <xdr:row>39</xdr:row>
      <xdr:rowOff>98542</xdr:rowOff>
    </xdr:to>
    <xdr:sp macro="[1]!NOTE_5A" textlink="">
      <xdr:nvSpPr>
        <xdr:cNvPr id="15" name="Rectangle à coins arrondis 15">
          <a:extLst>
            <a:ext uri="{FF2B5EF4-FFF2-40B4-BE49-F238E27FC236}">
              <a16:creationId xmlns:a16="http://schemas.microsoft.com/office/drawing/2014/main" id="{26D275EC-9756-413A-AB30-7202B0C13CB0}"/>
            </a:ext>
          </a:extLst>
        </xdr:cNvPr>
        <xdr:cNvSpPr/>
      </xdr:nvSpPr>
      <xdr:spPr>
        <a:xfrm>
          <a:off x="257175" y="7304422"/>
          <a:ext cx="7159515" cy="223620"/>
        </a:xfrm>
        <a:prstGeom prst="round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000" b="0">
              <a:ln>
                <a:noFill/>
              </a:ln>
              <a:solidFill>
                <a:schemeClr val="bg1"/>
              </a:solidFill>
              <a:latin typeface="Cambria" panose="02040503050406030204" pitchFamily="18" charset="0"/>
              <a:ea typeface="Cambria" panose="02040503050406030204" pitchFamily="18" charset="0"/>
            </a:rPr>
            <a:t>Note</a:t>
          </a:r>
          <a:r>
            <a:rPr lang="en-US" sz="1000" b="0" baseline="0">
              <a:ln>
                <a:noFill/>
              </a:ln>
              <a:solidFill>
                <a:schemeClr val="bg1"/>
              </a:solidFill>
              <a:latin typeface="Cambria" panose="02040503050406030204" pitchFamily="18" charset="0"/>
              <a:ea typeface="Cambria" panose="02040503050406030204" pitchFamily="18" charset="0"/>
            </a:rPr>
            <a:t> 5A : Dons et legs d'immobilisations non reçus destinés à la vente et usufruit temporaire</a:t>
          </a:r>
          <a:endParaRPr lang="en-US" sz="1000" b="0">
            <a:ln>
              <a:noFill/>
            </a:ln>
            <a:solidFill>
              <a:schemeClr val="bg1"/>
            </a:solidFill>
            <a:latin typeface="Cambria" panose="02040503050406030204" pitchFamily="18" charset="0"/>
            <a:ea typeface="Cambria" panose="02040503050406030204" pitchFamily="18" charset="0"/>
          </a:endParaRPr>
        </a:p>
      </xdr:txBody>
    </xdr:sp>
    <xdr:clientData/>
  </xdr:twoCellAnchor>
  <xdr:twoCellAnchor>
    <xdr:from>
      <xdr:col>1</xdr:col>
      <xdr:colOff>19050</xdr:colOff>
      <xdr:row>40</xdr:row>
      <xdr:rowOff>64929</xdr:rowOff>
    </xdr:from>
    <xdr:to>
      <xdr:col>9</xdr:col>
      <xdr:colOff>511065</xdr:colOff>
      <xdr:row>41</xdr:row>
      <xdr:rowOff>98049</xdr:rowOff>
    </xdr:to>
    <xdr:sp macro="[1]!NOTE_5B" textlink="">
      <xdr:nvSpPr>
        <xdr:cNvPr id="16" name="Rectangle à coins arrondis 16">
          <a:extLst>
            <a:ext uri="{FF2B5EF4-FFF2-40B4-BE49-F238E27FC236}">
              <a16:creationId xmlns:a16="http://schemas.microsoft.com/office/drawing/2014/main" id="{E2CD6645-DE47-431A-88DE-3D8C457E1A09}"/>
            </a:ext>
          </a:extLst>
        </xdr:cNvPr>
        <xdr:cNvSpPr/>
      </xdr:nvSpPr>
      <xdr:spPr>
        <a:xfrm>
          <a:off x="266700" y="7684929"/>
          <a:ext cx="7140465" cy="223620"/>
        </a:xfrm>
        <a:prstGeom prst="round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000" b="0">
              <a:ln>
                <a:noFill/>
              </a:ln>
              <a:solidFill>
                <a:schemeClr val="bg1"/>
              </a:solidFill>
              <a:latin typeface="Cambria" panose="02040503050406030204" pitchFamily="18" charset="0"/>
              <a:ea typeface="Cambria" panose="02040503050406030204" pitchFamily="18" charset="0"/>
            </a:rPr>
            <a:t>Note</a:t>
          </a:r>
          <a:r>
            <a:rPr lang="en-US" sz="1000" b="0" baseline="0">
              <a:ln>
                <a:noFill/>
              </a:ln>
              <a:solidFill>
                <a:schemeClr val="bg1"/>
              </a:solidFill>
              <a:latin typeface="Cambria" panose="02040503050406030204" pitchFamily="18" charset="0"/>
              <a:ea typeface="Cambria" panose="02040503050406030204" pitchFamily="18" charset="0"/>
            </a:rPr>
            <a:t> 5B : Immobilisations brutes</a:t>
          </a:r>
          <a:endParaRPr lang="en-US" sz="1000" b="0">
            <a:ln>
              <a:noFill/>
            </a:ln>
            <a:solidFill>
              <a:schemeClr val="bg1"/>
            </a:solidFill>
            <a:latin typeface="Cambria" panose="02040503050406030204" pitchFamily="18" charset="0"/>
            <a:ea typeface="Cambria" panose="02040503050406030204" pitchFamily="18" charset="0"/>
          </a:endParaRPr>
        </a:p>
      </xdr:txBody>
    </xdr:sp>
    <xdr:clientData/>
  </xdr:twoCellAnchor>
  <xdr:twoCellAnchor>
    <xdr:from>
      <xdr:col>1</xdr:col>
      <xdr:colOff>19050</xdr:colOff>
      <xdr:row>42</xdr:row>
      <xdr:rowOff>64436</xdr:rowOff>
    </xdr:from>
    <xdr:to>
      <xdr:col>9</xdr:col>
      <xdr:colOff>511065</xdr:colOff>
      <xdr:row>43</xdr:row>
      <xdr:rowOff>97556</xdr:rowOff>
    </xdr:to>
    <xdr:sp macro="[1]!NOTE_5C" textlink="">
      <xdr:nvSpPr>
        <xdr:cNvPr id="17" name="Rectangle à coins arrondis 17">
          <a:extLst>
            <a:ext uri="{FF2B5EF4-FFF2-40B4-BE49-F238E27FC236}">
              <a16:creationId xmlns:a16="http://schemas.microsoft.com/office/drawing/2014/main" id="{415CB63C-B61E-452C-95FF-9A10B9925E5C}"/>
            </a:ext>
          </a:extLst>
        </xdr:cNvPr>
        <xdr:cNvSpPr/>
      </xdr:nvSpPr>
      <xdr:spPr>
        <a:xfrm>
          <a:off x="266700" y="8065436"/>
          <a:ext cx="7140465" cy="223620"/>
        </a:xfrm>
        <a:prstGeom prst="round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000" b="0">
              <a:ln>
                <a:noFill/>
              </a:ln>
              <a:solidFill>
                <a:schemeClr val="bg1"/>
              </a:solidFill>
              <a:latin typeface="Cambria" panose="02040503050406030204" pitchFamily="18" charset="0"/>
              <a:ea typeface="Cambria" panose="02040503050406030204" pitchFamily="18" charset="0"/>
            </a:rPr>
            <a:t>Note</a:t>
          </a:r>
          <a:r>
            <a:rPr lang="en-US" sz="1000" b="0" baseline="0">
              <a:ln>
                <a:noFill/>
              </a:ln>
              <a:solidFill>
                <a:schemeClr val="bg1"/>
              </a:solidFill>
              <a:latin typeface="Cambria" panose="02040503050406030204" pitchFamily="18" charset="0"/>
              <a:ea typeface="Cambria" panose="02040503050406030204" pitchFamily="18" charset="0"/>
            </a:rPr>
            <a:t> 5C : Biens pris en location -  acquisition</a:t>
          </a:r>
          <a:endParaRPr lang="en-US" sz="1000" b="0">
            <a:ln>
              <a:noFill/>
            </a:ln>
            <a:solidFill>
              <a:schemeClr val="bg1"/>
            </a:solidFill>
            <a:latin typeface="Cambria" panose="02040503050406030204" pitchFamily="18" charset="0"/>
            <a:ea typeface="Cambria" panose="02040503050406030204" pitchFamily="18" charset="0"/>
          </a:endParaRPr>
        </a:p>
      </xdr:txBody>
    </xdr:sp>
    <xdr:clientData/>
  </xdr:twoCellAnchor>
  <xdr:twoCellAnchor>
    <xdr:from>
      <xdr:col>1</xdr:col>
      <xdr:colOff>11430</xdr:colOff>
      <xdr:row>44</xdr:row>
      <xdr:rowOff>63943</xdr:rowOff>
    </xdr:from>
    <xdr:to>
      <xdr:col>9</xdr:col>
      <xdr:colOff>518685</xdr:colOff>
      <xdr:row>45</xdr:row>
      <xdr:rowOff>93253</xdr:rowOff>
    </xdr:to>
    <xdr:sp macro="[1]!NOTE_5D" textlink="">
      <xdr:nvSpPr>
        <xdr:cNvPr id="18" name="Rectangle à coins arrondis 18">
          <a:extLst>
            <a:ext uri="{FF2B5EF4-FFF2-40B4-BE49-F238E27FC236}">
              <a16:creationId xmlns:a16="http://schemas.microsoft.com/office/drawing/2014/main" id="{318A0EA0-4FCC-4C92-AE49-2F768FC4F469}"/>
            </a:ext>
          </a:extLst>
        </xdr:cNvPr>
        <xdr:cNvSpPr/>
      </xdr:nvSpPr>
      <xdr:spPr>
        <a:xfrm>
          <a:off x="259080" y="8445943"/>
          <a:ext cx="7155705" cy="219810"/>
        </a:xfrm>
        <a:prstGeom prst="round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000" b="0">
              <a:ln>
                <a:noFill/>
              </a:ln>
              <a:solidFill>
                <a:schemeClr val="bg1"/>
              </a:solidFill>
              <a:latin typeface="Cambria" panose="02040503050406030204" pitchFamily="18" charset="0"/>
              <a:ea typeface="Cambria" panose="02040503050406030204" pitchFamily="18" charset="0"/>
            </a:rPr>
            <a:t>Note</a:t>
          </a:r>
          <a:r>
            <a:rPr lang="en-US" sz="1000" b="0" baseline="0">
              <a:ln>
                <a:noFill/>
              </a:ln>
              <a:solidFill>
                <a:schemeClr val="bg1"/>
              </a:solidFill>
              <a:latin typeface="Cambria" panose="02040503050406030204" pitchFamily="18" charset="0"/>
              <a:ea typeface="Cambria" panose="02040503050406030204" pitchFamily="18" charset="0"/>
            </a:rPr>
            <a:t> 5D : Dons et legs d'immobilisations non reçus destinés à la vente et usufruit temporaire (amortissements et dépréciations)</a:t>
          </a:r>
          <a:endParaRPr lang="en-US" sz="1000" b="0">
            <a:ln>
              <a:noFill/>
            </a:ln>
            <a:solidFill>
              <a:schemeClr val="bg1"/>
            </a:solidFill>
            <a:latin typeface="Cambria" panose="02040503050406030204" pitchFamily="18" charset="0"/>
            <a:ea typeface="Cambria" panose="02040503050406030204" pitchFamily="18" charset="0"/>
          </a:endParaRPr>
        </a:p>
      </xdr:txBody>
    </xdr:sp>
    <xdr:clientData/>
  </xdr:twoCellAnchor>
  <xdr:twoCellAnchor>
    <xdr:from>
      <xdr:col>1</xdr:col>
      <xdr:colOff>20955</xdr:colOff>
      <xdr:row>46</xdr:row>
      <xdr:rowOff>67260</xdr:rowOff>
    </xdr:from>
    <xdr:to>
      <xdr:col>9</xdr:col>
      <xdr:colOff>509160</xdr:colOff>
      <xdr:row>47</xdr:row>
      <xdr:rowOff>108000</xdr:rowOff>
    </xdr:to>
    <xdr:sp macro="[1]!NOTE_5E" textlink="">
      <xdr:nvSpPr>
        <xdr:cNvPr id="19" name="Rectangle à coins arrondis 19">
          <a:extLst>
            <a:ext uri="{FF2B5EF4-FFF2-40B4-BE49-F238E27FC236}">
              <a16:creationId xmlns:a16="http://schemas.microsoft.com/office/drawing/2014/main" id="{EAD37890-CBF3-4876-A81B-DE27117DBBA3}"/>
            </a:ext>
          </a:extLst>
        </xdr:cNvPr>
        <xdr:cNvSpPr/>
      </xdr:nvSpPr>
      <xdr:spPr>
        <a:xfrm>
          <a:off x="268605" y="8830260"/>
          <a:ext cx="7136655" cy="231240"/>
        </a:xfrm>
        <a:prstGeom prst="round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000" b="0">
              <a:ln>
                <a:noFill/>
              </a:ln>
              <a:solidFill>
                <a:schemeClr val="bg1"/>
              </a:solidFill>
              <a:latin typeface="Cambria" panose="02040503050406030204" pitchFamily="18" charset="0"/>
              <a:ea typeface="Cambria" panose="02040503050406030204" pitchFamily="18" charset="0"/>
            </a:rPr>
            <a:t>Note</a:t>
          </a:r>
          <a:r>
            <a:rPr lang="en-US" sz="1000" b="0" baseline="0">
              <a:ln>
                <a:noFill/>
              </a:ln>
              <a:solidFill>
                <a:schemeClr val="bg1"/>
              </a:solidFill>
              <a:latin typeface="Cambria" panose="02040503050406030204" pitchFamily="18" charset="0"/>
              <a:ea typeface="Cambria" panose="02040503050406030204" pitchFamily="18" charset="0"/>
            </a:rPr>
            <a:t> 5E : Immobilisations : Amortissements</a:t>
          </a:r>
          <a:endParaRPr lang="en-US" sz="1000" b="0">
            <a:ln>
              <a:noFill/>
            </a:ln>
            <a:solidFill>
              <a:schemeClr val="bg1"/>
            </a:solidFill>
            <a:latin typeface="Cambria" panose="02040503050406030204" pitchFamily="18" charset="0"/>
            <a:ea typeface="Cambria" panose="02040503050406030204" pitchFamily="18" charset="0"/>
          </a:endParaRPr>
        </a:p>
      </xdr:txBody>
    </xdr:sp>
    <xdr:clientData/>
  </xdr:twoCellAnchor>
  <xdr:twoCellAnchor>
    <xdr:from>
      <xdr:col>1</xdr:col>
      <xdr:colOff>19050</xdr:colOff>
      <xdr:row>48</xdr:row>
      <xdr:rowOff>83912</xdr:rowOff>
    </xdr:from>
    <xdr:to>
      <xdr:col>9</xdr:col>
      <xdr:colOff>511065</xdr:colOff>
      <xdr:row>49</xdr:row>
      <xdr:rowOff>120842</xdr:rowOff>
    </xdr:to>
    <xdr:sp macro="[1]!NOTE_5F" textlink="">
      <xdr:nvSpPr>
        <xdr:cNvPr id="20" name="Rectangle à coins arrondis 20">
          <a:extLst>
            <a:ext uri="{FF2B5EF4-FFF2-40B4-BE49-F238E27FC236}">
              <a16:creationId xmlns:a16="http://schemas.microsoft.com/office/drawing/2014/main" id="{7C82E507-29AE-4EB9-927B-66F332B06EEB}"/>
            </a:ext>
          </a:extLst>
        </xdr:cNvPr>
        <xdr:cNvSpPr/>
      </xdr:nvSpPr>
      <xdr:spPr>
        <a:xfrm>
          <a:off x="266700" y="9227912"/>
          <a:ext cx="7140465" cy="227430"/>
        </a:xfrm>
        <a:prstGeom prst="round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000" b="0">
              <a:ln>
                <a:noFill/>
              </a:ln>
              <a:solidFill>
                <a:schemeClr val="bg1"/>
              </a:solidFill>
              <a:latin typeface="Cambria" panose="02040503050406030204" pitchFamily="18" charset="0"/>
              <a:ea typeface="Cambria" panose="02040503050406030204" pitchFamily="18" charset="0"/>
            </a:rPr>
            <a:t>Note</a:t>
          </a:r>
          <a:r>
            <a:rPr lang="en-US" sz="1000" b="0" baseline="0">
              <a:ln>
                <a:noFill/>
              </a:ln>
              <a:solidFill>
                <a:schemeClr val="bg1"/>
              </a:solidFill>
              <a:latin typeface="Cambria" panose="02040503050406030204" pitchFamily="18" charset="0"/>
              <a:ea typeface="Cambria" panose="02040503050406030204" pitchFamily="18" charset="0"/>
            </a:rPr>
            <a:t> 5F : Immobilisations : Dépréciations</a:t>
          </a:r>
          <a:endParaRPr lang="en-US" sz="1000" b="0">
            <a:ln>
              <a:noFill/>
            </a:ln>
            <a:solidFill>
              <a:schemeClr val="bg1"/>
            </a:solidFill>
            <a:latin typeface="Cambria" panose="02040503050406030204" pitchFamily="18" charset="0"/>
            <a:ea typeface="Cambria" panose="02040503050406030204" pitchFamily="18" charset="0"/>
          </a:endParaRPr>
        </a:p>
      </xdr:txBody>
    </xdr:sp>
    <xdr:clientData/>
  </xdr:twoCellAnchor>
  <xdr:twoCellAnchor>
    <xdr:from>
      <xdr:col>1</xdr:col>
      <xdr:colOff>20955</xdr:colOff>
      <xdr:row>50</xdr:row>
      <xdr:rowOff>94849</xdr:rowOff>
    </xdr:from>
    <xdr:to>
      <xdr:col>9</xdr:col>
      <xdr:colOff>509160</xdr:colOff>
      <xdr:row>51</xdr:row>
      <xdr:rowOff>131779</xdr:rowOff>
    </xdr:to>
    <xdr:sp macro="[1]!NOTE_5G" textlink="">
      <xdr:nvSpPr>
        <xdr:cNvPr id="21" name="Rectangle à coins arrondis 21">
          <a:extLst>
            <a:ext uri="{FF2B5EF4-FFF2-40B4-BE49-F238E27FC236}">
              <a16:creationId xmlns:a16="http://schemas.microsoft.com/office/drawing/2014/main" id="{393794FE-9AE6-4FEB-8BAF-46DE7B001566}"/>
            </a:ext>
          </a:extLst>
        </xdr:cNvPr>
        <xdr:cNvSpPr/>
      </xdr:nvSpPr>
      <xdr:spPr>
        <a:xfrm>
          <a:off x="268605" y="9619849"/>
          <a:ext cx="7136655" cy="227430"/>
        </a:xfrm>
        <a:prstGeom prst="round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000" b="0">
              <a:ln>
                <a:noFill/>
              </a:ln>
              <a:solidFill>
                <a:schemeClr val="bg1"/>
              </a:solidFill>
              <a:latin typeface="Cambria" panose="02040503050406030204" pitchFamily="18" charset="0"/>
              <a:ea typeface="Cambria" panose="02040503050406030204" pitchFamily="18" charset="0"/>
            </a:rPr>
            <a:t>Note</a:t>
          </a:r>
          <a:r>
            <a:rPr lang="en-US" sz="1000" b="0" baseline="0">
              <a:ln>
                <a:noFill/>
              </a:ln>
              <a:solidFill>
                <a:schemeClr val="bg1"/>
              </a:solidFill>
              <a:latin typeface="Cambria" panose="02040503050406030204" pitchFamily="18" charset="0"/>
              <a:ea typeface="Cambria" panose="02040503050406030204" pitchFamily="18" charset="0"/>
            </a:rPr>
            <a:t> 5G : Immobilisations : Plus-values et moins-values de cession</a:t>
          </a:r>
          <a:endParaRPr lang="en-US" sz="1000" b="0">
            <a:ln>
              <a:noFill/>
            </a:ln>
            <a:solidFill>
              <a:schemeClr val="bg1"/>
            </a:solidFill>
            <a:latin typeface="Cambria" panose="02040503050406030204" pitchFamily="18" charset="0"/>
            <a:ea typeface="Cambria" panose="02040503050406030204" pitchFamily="18" charset="0"/>
          </a:endParaRPr>
        </a:p>
      </xdr:txBody>
    </xdr:sp>
    <xdr:clientData/>
  </xdr:twoCellAnchor>
  <xdr:twoCellAnchor>
    <xdr:from>
      <xdr:col>1</xdr:col>
      <xdr:colOff>11430</xdr:colOff>
      <xdr:row>52</xdr:row>
      <xdr:rowOff>105786</xdr:rowOff>
    </xdr:from>
    <xdr:to>
      <xdr:col>9</xdr:col>
      <xdr:colOff>518685</xdr:colOff>
      <xdr:row>53</xdr:row>
      <xdr:rowOff>150336</xdr:rowOff>
    </xdr:to>
    <xdr:sp macro="[1]!NOTE_5H" textlink="">
      <xdr:nvSpPr>
        <xdr:cNvPr id="22" name="Rectangle à coins arrondis 22">
          <a:extLst>
            <a:ext uri="{FF2B5EF4-FFF2-40B4-BE49-F238E27FC236}">
              <a16:creationId xmlns:a16="http://schemas.microsoft.com/office/drawing/2014/main" id="{9BB78ABF-3E1E-4D73-807F-73E979DB059E}"/>
            </a:ext>
          </a:extLst>
        </xdr:cNvPr>
        <xdr:cNvSpPr/>
      </xdr:nvSpPr>
      <xdr:spPr>
        <a:xfrm>
          <a:off x="259080" y="10011786"/>
          <a:ext cx="7155705" cy="235050"/>
        </a:xfrm>
        <a:prstGeom prst="round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000" b="0">
              <a:ln>
                <a:noFill/>
              </a:ln>
              <a:solidFill>
                <a:schemeClr val="bg1"/>
              </a:solidFill>
              <a:latin typeface="Cambria" panose="02040503050406030204" pitchFamily="18" charset="0"/>
              <a:ea typeface="Cambria" panose="02040503050406030204" pitchFamily="18" charset="0"/>
            </a:rPr>
            <a:t>Note</a:t>
          </a:r>
          <a:r>
            <a:rPr lang="en-US" sz="1000" b="0" baseline="0">
              <a:ln>
                <a:noFill/>
              </a:ln>
              <a:solidFill>
                <a:schemeClr val="bg1"/>
              </a:solidFill>
              <a:latin typeface="Cambria" panose="02040503050406030204" pitchFamily="18" charset="0"/>
              <a:ea typeface="Cambria" panose="02040503050406030204" pitchFamily="18" charset="0"/>
            </a:rPr>
            <a:t> 5H : Informations sur les réévaluations effectuées par l'entité</a:t>
          </a:r>
          <a:endParaRPr lang="en-US" sz="1000" b="0">
            <a:ln>
              <a:noFill/>
            </a:ln>
            <a:solidFill>
              <a:schemeClr val="bg1"/>
            </a:solidFill>
            <a:latin typeface="Cambria" panose="02040503050406030204" pitchFamily="18" charset="0"/>
            <a:ea typeface="Cambria" panose="02040503050406030204" pitchFamily="18" charset="0"/>
          </a:endParaRPr>
        </a:p>
      </xdr:txBody>
    </xdr:sp>
    <xdr:clientData/>
  </xdr:twoCellAnchor>
  <xdr:twoCellAnchor>
    <xdr:from>
      <xdr:col>1</xdr:col>
      <xdr:colOff>20955</xdr:colOff>
      <xdr:row>54</xdr:row>
      <xdr:rowOff>124343</xdr:rowOff>
    </xdr:from>
    <xdr:to>
      <xdr:col>9</xdr:col>
      <xdr:colOff>509160</xdr:colOff>
      <xdr:row>55</xdr:row>
      <xdr:rowOff>151748</xdr:rowOff>
    </xdr:to>
    <xdr:sp macro="[1]!NOTE_6" textlink="">
      <xdr:nvSpPr>
        <xdr:cNvPr id="23" name="Rectangle à coins arrondis 23">
          <a:extLst>
            <a:ext uri="{FF2B5EF4-FFF2-40B4-BE49-F238E27FC236}">
              <a16:creationId xmlns:a16="http://schemas.microsoft.com/office/drawing/2014/main" id="{6F6FC250-49FD-475C-BF88-69710A0BFF67}"/>
            </a:ext>
          </a:extLst>
        </xdr:cNvPr>
        <xdr:cNvSpPr/>
      </xdr:nvSpPr>
      <xdr:spPr>
        <a:xfrm>
          <a:off x="268605" y="10411343"/>
          <a:ext cx="7136655" cy="217905"/>
        </a:xfrm>
        <a:prstGeom prst="round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000" b="0">
              <a:ln>
                <a:noFill/>
              </a:ln>
              <a:solidFill>
                <a:schemeClr val="bg1"/>
              </a:solidFill>
              <a:latin typeface="Cambria" panose="02040503050406030204" pitchFamily="18" charset="0"/>
              <a:ea typeface="Cambria" panose="02040503050406030204" pitchFamily="18" charset="0"/>
            </a:rPr>
            <a:t>Note</a:t>
          </a:r>
          <a:r>
            <a:rPr lang="en-US" sz="1000" b="0" baseline="0">
              <a:ln>
                <a:noFill/>
              </a:ln>
              <a:solidFill>
                <a:schemeClr val="bg1"/>
              </a:solidFill>
              <a:latin typeface="Cambria" panose="02040503050406030204" pitchFamily="18" charset="0"/>
              <a:ea typeface="Cambria" panose="02040503050406030204" pitchFamily="18" charset="0"/>
            </a:rPr>
            <a:t> 6 : Immobilisations financières</a:t>
          </a:r>
          <a:endParaRPr lang="en-US" sz="1000" b="0">
            <a:ln>
              <a:noFill/>
            </a:ln>
            <a:solidFill>
              <a:schemeClr val="bg1"/>
            </a:solidFill>
            <a:latin typeface="Cambria" panose="02040503050406030204" pitchFamily="18" charset="0"/>
            <a:ea typeface="Cambria" panose="02040503050406030204" pitchFamily="18" charset="0"/>
          </a:endParaRPr>
        </a:p>
      </xdr:txBody>
    </xdr:sp>
    <xdr:clientData/>
  </xdr:twoCellAnchor>
  <xdr:twoCellAnchor>
    <xdr:from>
      <xdr:col>1</xdr:col>
      <xdr:colOff>21908</xdr:colOff>
      <xdr:row>56</xdr:row>
      <xdr:rowOff>125755</xdr:rowOff>
    </xdr:from>
    <xdr:to>
      <xdr:col>9</xdr:col>
      <xdr:colOff>508208</xdr:colOff>
      <xdr:row>57</xdr:row>
      <xdr:rowOff>151255</xdr:rowOff>
    </xdr:to>
    <xdr:sp macro="[1]!NOTE_7" textlink="">
      <xdr:nvSpPr>
        <xdr:cNvPr id="24" name="Rectangle à coins arrondis 24">
          <a:extLst>
            <a:ext uri="{FF2B5EF4-FFF2-40B4-BE49-F238E27FC236}">
              <a16:creationId xmlns:a16="http://schemas.microsoft.com/office/drawing/2014/main" id="{A68C4223-99B1-4FAF-85A6-8E7CC1213565}"/>
            </a:ext>
          </a:extLst>
        </xdr:cNvPr>
        <xdr:cNvSpPr/>
      </xdr:nvSpPr>
      <xdr:spPr>
        <a:xfrm>
          <a:off x="269558" y="10793755"/>
          <a:ext cx="7134750" cy="216000"/>
        </a:xfrm>
        <a:prstGeom prst="round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000" b="0">
              <a:ln>
                <a:noFill/>
              </a:ln>
              <a:solidFill>
                <a:schemeClr val="bg1"/>
              </a:solidFill>
              <a:latin typeface="Cambria" panose="02040503050406030204" pitchFamily="18" charset="0"/>
              <a:ea typeface="Cambria" panose="02040503050406030204" pitchFamily="18" charset="0"/>
            </a:rPr>
            <a:t>Note</a:t>
          </a:r>
          <a:r>
            <a:rPr lang="en-US" sz="1000" b="0" baseline="0">
              <a:ln>
                <a:noFill/>
              </a:ln>
              <a:solidFill>
                <a:schemeClr val="bg1"/>
              </a:solidFill>
              <a:latin typeface="Cambria" panose="02040503050406030204" pitchFamily="18" charset="0"/>
              <a:ea typeface="Cambria" panose="02040503050406030204" pitchFamily="18" charset="0"/>
            </a:rPr>
            <a:t> 7 : Actif circulant et dettes circulantes HAO</a:t>
          </a:r>
          <a:endParaRPr lang="en-US" sz="1000" b="0">
            <a:ln>
              <a:noFill/>
            </a:ln>
            <a:solidFill>
              <a:schemeClr val="bg1"/>
            </a:solidFill>
            <a:latin typeface="Cambria" panose="02040503050406030204" pitchFamily="18" charset="0"/>
            <a:ea typeface="Cambria" panose="02040503050406030204" pitchFamily="18" charset="0"/>
          </a:endParaRPr>
        </a:p>
      </xdr:txBody>
    </xdr:sp>
    <xdr:clientData/>
  </xdr:twoCellAnchor>
  <xdr:twoCellAnchor>
    <xdr:from>
      <xdr:col>1</xdr:col>
      <xdr:colOff>11430</xdr:colOff>
      <xdr:row>58</xdr:row>
      <xdr:rowOff>125262</xdr:rowOff>
    </xdr:from>
    <xdr:to>
      <xdr:col>9</xdr:col>
      <xdr:colOff>518685</xdr:colOff>
      <xdr:row>59</xdr:row>
      <xdr:rowOff>150762</xdr:rowOff>
    </xdr:to>
    <xdr:sp macro="[1]!NOTE_8" textlink="">
      <xdr:nvSpPr>
        <xdr:cNvPr id="25" name="Rectangle à coins arrondis 25">
          <a:extLst>
            <a:ext uri="{FF2B5EF4-FFF2-40B4-BE49-F238E27FC236}">
              <a16:creationId xmlns:a16="http://schemas.microsoft.com/office/drawing/2014/main" id="{C7D06336-3741-4522-AEB0-DE95FAD84116}"/>
            </a:ext>
          </a:extLst>
        </xdr:cNvPr>
        <xdr:cNvSpPr/>
      </xdr:nvSpPr>
      <xdr:spPr>
        <a:xfrm>
          <a:off x="259080" y="11174262"/>
          <a:ext cx="7155705" cy="216000"/>
        </a:xfrm>
        <a:prstGeom prst="round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000" b="0">
              <a:ln>
                <a:noFill/>
              </a:ln>
              <a:solidFill>
                <a:schemeClr val="bg1"/>
              </a:solidFill>
              <a:latin typeface="Cambria" panose="02040503050406030204" pitchFamily="18" charset="0"/>
              <a:ea typeface="Cambria" panose="02040503050406030204" pitchFamily="18" charset="0"/>
            </a:rPr>
            <a:t>Note</a:t>
          </a:r>
          <a:r>
            <a:rPr lang="en-US" sz="1000" b="0" baseline="0">
              <a:ln>
                <a:noFill/>
              </a:ln>
              <a:solidFill>
                <a:schemeClr val="bg1"/>
              </a:solidFill>
              <a:latin typeface="Cambria" panose="02040503050406030204" pitchFamily="18" charset="0"/>
              <a:ea typeface="Cambria" panose="02040503050406030204" pitchFamily="18" charset="0"/>
            </a:rPr>
            <a:t> 8 : Stocks et encours</a:t>
          </a:r>
          <a:endParaRPr lang="en-US" sz="1000" b="0">
            <a:ln>
              <a:noFill/>
            </a:ln>
            <a:solidFill>
              <a:schemeClr val="bg1"/>
            </a:solidFill>
            <a:latin typeface="Cambria" panose="02040503050406030204" pitchFamily="18" charset="0"/>
            <a:ea typeface="Cambria" panose="02040503050406030204" pitchFamily="18" charset="0"/>
          </a:endParaRPr>
        </a:p>
      </xdr:txBody>
    </xdr:sp>
    <xdr:clientData/>
  </xdr:twoCellAnchor>
  <xdr:twoCellAnchor>
    <xdr:from>
      <xdr:col>1</xdr:col>
      <xdr:colOff>11430</xdr:colOff>
      <xdr:row>60</xdr:row>
      <xdr:rowOff>124769</xdr:rowOff>
    </xdr:from>
    <xdr:to>
      <xdr:col>9</xdr:col>
      <xdr:colOff>518685</xdr:colOff>
      <xdr:row>61</xdr:row>
      <xdr:rowOff>150269</xdr:rowOff>
    </xdr:to>
    <xdr:sp macro="[1]!NOTE_9" textlink="">
      <xdr:nvSpPr>
        <xdr:cNvPr id="26" name="Rectangle à coins arrondis 26">
          <a:extLst>
            <a:ext uri="{FF2B5EF4-FFF2-40B4-BE49-F238E27FC236}">
              <a16:creationId xmlns:a16="http://schemas.microsoft.com/office/drawing/2014/main" id="{04C69D50-06B1-4494-98F8-8671A8A2808C}"/>
            </a:ext>
          </a:extLst>
        </xdr:cNvPr>
        <xdr:cNvSpPr/>
      </xdr:nvSpPr>
      <xdr:spPr>
        <a:xfrm>
          <a:off x="259080" y="11554769"/>
          <a:ext cx="7155705" cy="216000"/>
        </a:xfrm>
        <a:prstGeom prst="round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000" b="0">
              <a:ln>
                <a:noFill/>
              </a:ln>
              <a:solidFill>
                <a:schemeClr val="bg1"/>
              </a:solidFill>
              <a:latin typeface="Cambria" panose="02040503050406030204" pitchFamily="18" charset="0"/>
              <a:ea typeface="Cambria" panose="02040503050406030204" pitchFamily="18" charset="0"/>
            </a:rPr>
            <a:t>Note</a:t>
          </a:r>
          <a:r>
            <a:rPr lang="en-US" sz="1000" b="0" baseline="0">
              <a:ln>
                <a:noFill/>
              </a:ln>
              <a:solidFill>
                <a:schemeClr val="bg1"/>
              </a:solidFill>
              <a:latin typeface="Cambria" panose="02040503050406030204" pitchFamily="18" charset="0"/>
              <a:ea typeface="Cambria" panose="02040503050406030204" pitchFamily="18" charset="0"/>
            </a:rPr>
            <a:t> 9 : Adhérents, clients-usagers</a:t>
          </a:r>
          <a:endParaRPr lang="en-US" sz="1000" b="0">
            <a:ln>
              <a:noFill/>
            </a:ln>
            <a:solidFill>
              <a:schemeClr val="bg1"/>
            </a:solidFill>
            <a:latin typeface="Cambria" panose="02040503050406030204" pitchFamily="18" charset="0"/>
            <a:ea typeface="Cambria" panose="02040503050406030204" pitchFamily="18" charset="0"/>
          </a:endParaRPr>
        </a:p>
      </xdr:txBody>
    </xdr:sp>
    <xdr:clientData/>
  </xdr:twoCellAnchor>
  <xdr:twoCellAnchor>
    <xdr:from>
      <xdr:col>1</xdr:col>
      <xdr:colOff>11430</xdr:colOff>
      <xdr:row>62</xdr:row>
      <xdr:rowOff>124276</xdr:rowOff>
    </xdr:from>
    <xdr:to>
      <xdr:col>9</xdr:col>
      <xdr:colOff>518685</xdr:colOff>
      <xdr:row>63</xdr:row>
      <xdr:rowOff>163111</xdr:rowOff>
    </xdr:to>
    <xdr:sp macro="[1]!NOTE_10" textlink="">
      <xdr:nvSpPr>
        <xdr:cNvPr id="27" name="Rectangle à coins arrondis 28">
          <a:extLst>
            <a:ext uri="{FF2B5EF4-FFF2-40B4-BE49-F238E27FC236}">
              <a16:creationId xmlns:a16="http://schemas.microsoft.com/office/drawing/2014/main" id="{035FA2F8-AC7F-4E7C-B72C-2CC19FB41A27}"/>
            </a:ext>
          </a:extLst>
        </xdr:cNvPr>
        <xdr:cNvSpPr/>
      </xdr:nvSpPr>
      <xdr:spPr>
        <a:xfrm>
          <a:off x="259080" y="11935276"/>
          <a:ext cx="7155705" cy="229335"/>
        </a:xfrm>
        <a:prstGeom prst="round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000" b="0">
              <a:ln>
                <a:noFill/>
              </a:ln>
              <a:solidFill>
                <a:schemeClr val="bg1"/>
              </a:solidFill>
              <a:latin typeface="Cambria" panose="02040503050406030204" pitchFamily="18" charset="0"/>
              <a:ea typeface="Cambria" panose="02040503050406030204" pitchFamily="18" charset="0"/>
            </a:rPr>
            <a:t>Note</a:t>
          </a:r>
          <a:r>
            <a:rPr lang="en-US" sz="1000" b="0" baseline="0">
              <a:ln>
                <a:noFill/>
              </a:ln>
              <a:solidFill>
                <a:schemeClr val="bg1"/>
              </a:solidFill>
              <a:latin typeface="Cambria" panose="02040503050406030204" pitchFamily="18" charset="0"/>
              <a:ea typeface="Cambria" panose="02040503050406030204" pitchFamily="18" charset="0"/>
            </a:rPr>
            <a:t> 10 : Autres créances</a:t>
          </a:r>
          <a:endParaRPr lang="en-US" sz="1000" b="0">
            <a:ln>
              <a:noFill/>
            </a:ln>
            <a:solidFill>
              <a:schemeClr val="bg1"/>
            </a:solidFill>
            <a:latin typeface="Cambria" panose="02040503050406030204" pitchFamily="18" charset="0"/>
            <a:ea typeface="Cambria" panose="02040503050406030204" pitchFamily="18" charset="0"/>
          </a:endParaRPr>
        </a:p>
      </xdr:txBody>
    </xdr:sp>
    <xdr:clientData/>
  </xdr:twoCellAnchor>
  <xdr:twoCellAnchor>
    <xdr:from>
      <xdr:col>1</xdr:col>
      <xdr:colOff>11430</xdr:colOff>
      <xdr:row>64</xdr:row>
      <xdr:rowOff>137118</xdr:rowOff>
    </xdr:from>
    <xdr:to>
      <xdr:col>9</xdr:col>
      <xdr:colOff>518685</xdr:colOff>
      <xdr:row>65</xdr:row>
      <xdr:rowOff>162618</xdr:rowOff>
    </xdr:to>
    <xdr:sp macro="[1]!NOTE_11" textlink="">
      <xdr:nvSpPr>
        <xdr:cNvPr id="28" name="Rectangle à coins arrondis 29">
          <a:extLst>
            <a:ext uri="{FF2B5EF4-FFF2-40B4-BE49-F238E27FC236}">
              <a16:creationId xmlns:a16="http://schemas.microsoft.com/office/drawing/2014/main" id="{3FF74010-9719-47D7-85C8-D5E411DBE6D4}"/>
            </a:ext>
          </a:extLst>
        </xdr:cNvPr>
        <xdr:cNvSpPr/>
      </xdr:nvSpPr>
      <xdr:spPr>
        <a:xfrm>
          <a:off x="259080" y="12329118"/>
          <a:ext cx="7155705" cy="216000"/>
        </a:xfrm>
        <a:prstGeom prst="round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000" b="0">
              <a:ln>
                <a:noFill/>
              </a:ln>
              <a:solidFill>
                <a:schemeClr val="bg1"/>
              </a:solidFill>
              <a:latin typeface="Cambria" panose="02040503050406030204" pitchFamily="18" charset="0"/>
              <a:ea typeface="Cambria" panose="02040503050406030204" pitchFamily="18" charset="0"/>
            </a:rPr>
            <a:t>Note</a:t>
          </a:r>
          <a:r>
            <a:rPr lang="en-US" sz="1000" b="0" baseline="0">
              <a:ln>
                <a:noFill/>
              </a:ln>
              <a:solidFill>
                <a:schemeClr val="bg1"/>
              </a:solidFill>
              <a:latin typeface="Cambria" panose="02040503050406030204" pitchFamily="18" charset="0"/>
              <a:ea typeface="Cambria" panose="02040503050406030204" pitchFamily="18" charset="0"/>
            </a:rPr>
            <a:t> 11 : Titres de placement</a:t>
          </a:r>
          <a:endParaRPr lang="en-US" sz="1000" b="0">
            <a:ln>
              <a:noFill/>
            </a:ln>
            <a:solidFill>
              <a:schemeClr val="bg1"/>
            </a:solidFill>
            <a:latin typeface="Cambria" panose="02040503050406030204" pitchFamily="18" charset="0"/>
            <a:ea typeface="Cambria" panose="02040503050406030204" pitchFamily="18" charset="0"/>
          </a:endParaRPr>
        </a:p>
      </xdr:txBody>
    </xdr:sp>
    <xdr:clientData/>
  </xdr:twoCellAnchor>
  <xdr:twoCellAnchor>
    <xdr:from>
      <xdr:col>1</xdr:col>
      <xdr:colOff>11430</xdr:colOff>
      <xdr:row>66</xdr:row>
      <xdr:rowOff>136625</xdr:rowOff>
    </xdr:from>
    <xdr:to>
      <xdr:col>9</xdr:col>
      <xdr:colOff>518685</xdr:colOff>
      <xdr:row>67</xdr:row>
      <xdr:rowOff>162125</xdr:rowOff>
    </xdr:to>
    <xdr:sp macro="[1]!NOTE_12" textlink="">
      <xdr:nvSpPr>
        <xdr:cNvPr id="29" name="Rectangle à coins arrondis 30">
          <a:extLst>
            <a:ext uri="{FF2B5EF4-FFF2-40B4-BE49-F238E27FC236}">
              <a16:creationId xmlns:a16="http://schemas.microsoft.com/office/drawing/2014/main" id="{C33FE7E1-1D62-4AB0-B681-B30C2CCFC932}"/>
            </a:ext>
          </a:extLst>
        </xdr:cNvPr>
        <xdr:cNvSpPr/>
      </xdr:nvSpPr>
      <xdr:spPr>
        <a:xfrm>
          <a:off x="259080" y="12709625"/>
          <a:ext cx="7155705" cy="216000"/>
        </a:xfrm>
        <a:prstGeom prst="round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000" b="0">
              <a:ln>
                <a:noFill/>
              </a:ln>
              <a:solidFill>
                <a:schemeClr val="bg1"/>
              </a:solidFill>
              <a:latin typeface="Cambria" panose="02040503050406030204" pitchFamily="18" charset="0"/>
              <a:ea typeface="Cambria" panose="02040503050406030204" pitchFamily="18" charset="0"/>
            </a:rPr>
            <a:t>Note</a:t>
          </a:r>
          <a:r>
            <a:rPr lang="en-US" sz="1000" b="0" baseline="0">
              <a:ln>
                <a:noFill/>
              </a:ln>
              <a:solidFill>
                <a:schemeClr val="bg1"/>
              </a:solidFill>
              <a:latin typeface="Cambria" panose="02040503050406030204" pitchFamily="18" charset="0"/>
              <a:ea typeface="Cambria" panose="02040503050406030204" pitchFamily="18" charset="0"/>
            </a:rPr>
            <a:t> 12 : Valeurs à encaisser</a:t>
          </a:r>
          <a:endParaRPr lang="en-US" sz="1000" b="0">
            <a:ln>
              <a:noFill/>
            </a:ln>
            <a:solidFill>
              <a:schemeClr val="bg1"/>
            </a:solidFill>
            <a:latin typeface="Cambria" panose="02040503050406030204" pitchFamily="18" charset="0"/>
            <a:ea typeface="Cambria" panose="02040503050406030204" pitchFamily="18" charset="0"/>
          </a:endParaRPr>
        </a:p>
      </xdr:txBody>
    </xdr:sp>
    <xdr:clientData/>
  </xdr:twoCellAnchor>
  <xdr:twoCellAnchor>
    <xdr:from>
      <xdr:col>1</xdr:col>
      <xdr:colOff>11430</xdr:colOff>
      <xdr:row>68</xdr:row>
      <xdr:rowOff>136132</xdr:rowOff>
    </xdr:from>
    <xdr:to>
      <xdr:col>9</xdr:col>
      <xdr:colOff>518685</xdr:colOff>
      <xdr:row>69</xdr:row>
      <xdr:rowOff>161632</xdr:rowOff>
    </xdr:to>
    <xdr:sp macro="[1]!NOTE_13" textlink="">
      <xdr:nvSpPr>
        <xdr:cNvPr id="30" name="Rectangle à coins arrondis 31">
          <a:extLst>
            <a:ext uri="{FF2B5EF4-FFF2-40B4-BE49-F238E27FC236}">
              <a16:creationId xmlns:a16="http://schemas.microsoft.com/office/drawing/2014/main" id="{D931ED0B-968A-450F-83A7-D709D0E7A157}"/>
            </a:ext>
          </a:extLst>
        </xdr:cNvPr>
        <xdr:cNvSpPr/>
      </xdr:nvSpPr>
      <xdr:spPr>
        <a:xfrm>
          <a:off x="259080" y="13090132"/>
          <a:ext cx="7155705" cy="216000"/>
        </a:xfrm>
        <a:prstGeom prst="round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000" b="0">
              <a:ln>
                <a:noFill/>
              </a:ln>
              <a:solidFill>
                <a:schemeClr val="bg1"/>
              </a:solidFill>
              <a:latin typeface="Cambria" panose="02040503050406030204" pitchFamily="18" charset="0"/>
              <a:ea typeface="Cambria" panose="02040503050406030204" pitchFamily="18" charset="0"/>
            </a:rPr>
            <a:t>Note</a:t>
          </a:r>
          <a:r>
            <a:rPr lang="en-US" sz="1000" b="0" baseline="0">
              <a:ln>
                <a:noFill/>
              </a:ln>
              <a:solidFill>
                <a:schemeClr val="bg1"/>
              </a:solidFill>
              <a:latin typeface="Cambria" panose="02040503050406030204" pitchFamily="18" charset="0"/>
              <a:ea typeface="Cambria" panose="02040503050406030204" pitchFamily="18" charset="0"/>
            </a:rPr>
            <a:t> 13 : Disponibilités</a:t>
          </a:r>
          <a:endParaRPr lang="en-US" sz="1000" b="0">
            <a:ln>
              <a:noFill/>
            </a:ln>
            <a:solidFill>
              <a:schemeClr val="bg1"/>
            </a:solidFill>
            <a:latin typeface="Cambria" panose="02040503050406030204" pitchFamily="18" charset="0"/>
            <a:ea typeface="Cambria" panose="02040503050406030204" pitchFamily="18" charset="0"/>
          </a:endParaRPr>
        </a:p>
      </xdr:txBody>
    </xdr:sp>
    <xdr:clientData/>
  </xdr:twoCellAnchor>
  <xdr:twoCellAnchor>
    <xdr:from>
      <xdr:col>1</xdr:col>
      <xdr:colOff>11430</xdr:colOff>
      <xdr:row>70</xdr:row>
      <xdr:rowOff>135639</xdr:rowOff>
    </xdr:from>
    <xdr:to>
      <xdr:col>9</xdr:col>
      <xdr:colOff>518685</xdr:colOff>
      <xdr:row>71</xdr:row>
      <xdr:rowOff>161139</xdr:rowOff>
    </xdr:to>
    <xdr:sp macro="[1]!NOTE_14" textlink="">
      <xdr:nvSpPr>
        <xdr:cNvPr id="31" name="Rectangle à coins arrondis 32">
          <a:extLst>
            <a:ext uri="{FF2B5EF4-FFF2-40B4-BE49-F238E27FC236}">
              <a16:creationId xmlns:a16="http://schemas.microsoft.com/office/drawing/2014/main" id="{39B671B1-97F8-4B59-A000-2A6C1D879F45}"/>
            </a:ext>
          </a:extLst>
        </xdr:cNvPr>
        <xdr:cNvSpPr/>
      </xdr:nvSpPr>
      <xdr:spPr>
        <a:xfrm>
          <a:off x="259080" y="13470639"/>
          <a:ext cx="7155705" cy="216000"/>
        </a:xfrm>
        <a:prstGeom prst="round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000" b="0">
              <a:ln>
                <a:noFill/>
              </a:ln>
              <a:solidFill>
                <a:schemeClr val="bg1"/>
              </a:solidFill>
              <a:latin typeface="Cambria" panose="02040503050406030204" pitchFamily="18" charset="0"/>
              <a:ea typeface="Cambria" panose="02040503050406030204" pitchFamily="18" charset="0"/>
            </a:rPr>
            <a:t>Note</a:t>
          </a:r>
          <a:r>
            <a:rPr lang="en-US" sz="1000" b="0" baseline="0">
              <a:ln>
                <a:noFill/>
              </a:ln>
              <a:solidFill>
                <a:schemeClr val="bg1"/>
              </a:solidFill>
              <a:latin typeface="Cambria" panose="02040503050406030204" pitchFamily="18" charset="0"/>
              <a:ea typeface="Cambria" panose="02040503050406030204" pitchFamily="18" charset="0"/>
            </a:rPr>
            <a:t> 14 : Ecarts de conversion</a:t>
          </a:r>
          <a:endParaRPr lang="en-US" sz="1000" b="0">
            <a:ln>
              <a:noFill/>
            </a:ln>
            <a:solidFill>
              <a:schemeClr val="bg1"/>
            </a:solidFill>
            <a:latin typeface="Cambria" panose="02040503050406030204" pitchFamily="18" charset="0"/>
            <a:ea typeface="Cambria" panose="02040503050406030204" pitchFamily="18" charset="0"/>
          </a:endParaRPr>
        </a:p>
      </xdr:txBody>
    </xdr:sp>
    <xdr:clientData/>
  </xdr:twoCellAnchor>
  <xdr:twoCellAnchor>
    <xdr:from>
      <xdr:col>1</xdr:col>
      <xdr:colOff>11430</xdr:colOff>
      <xdr:row>72</xdr:row>
      <xdr:rowOff>135146</xdr:rowOff>
    </xdr:from>
    <xdr:to>
      <xdr:col>9</xdr:col>
      <xdr:colOff>518685</xdr:colOff>
      <xdr:row>73</xdr:row>
      <xdr:rowOff>160646</xdr:rowOff>
    </xdr:to>
    <xdr:sp macro="[1]!NOTE_15" textlink="">
      <xdr:nvSpPr>
        <xdr:cNvPr id="32" name="Rectangle à coins arrondis 33">
          <a:extLst>
            <a:ext uri="{FF2B5EF4-FFF2-40B4-BE49-F238E27FC236}">
              <a16:creationId xmlns:a16="http://schemas.microsoft.com/office/drawing/2014/main" id="{E20F66D0-BBA7-4F9F-A6B9-90A0A0483785}"/>
            </a:ext>
          </a:extLst>
        </xdr:cNvPr>
        <xdr:cNvSpPr/>
      </xdr:nvSpPr>
      <xdr:spPr>
        <a:xfrm>
          <a:off x="259080" y="13851146"/>
          <a:ext cx="7155705" cy="216000"/>
        </a:xfrm>
        <a:prstGeom prst="round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000" b="0">
              <a:ln>
                <a:noFill/>
              </a:ln>
              <a:solidFill>
                <a:schemeClr val="bg1"/>
              </a:solidFill>
              <a:latin typeface="Cambria" panose="02040503050406030204" pitchFamily="18" charset="0"/>
              <a:ea typeface="Cambria" panose="02040503050406030204" pitchFamily="18" charset="0"/>
            </a:rPr>
            <a:t>Note</a:t>
          </a:r>
          <a:r>
            <a:rPr lang="en-US" sz="1000" b="0" baseline="0">
              <a:ln>
                <a:noFill/>
              </a:ln>
              <a:solidFill>
                <a:schemeClr val="bg1"/>
              </a:solidFill>
              <a:latin typeface="Cambria" panose="02040503050406030204" pitchFamily="18" charset="0"/>
              <a:ea typeface="Cambria" panose="02040503050406030204" pitchFamily="18" charset="0"/>
            </a:rPr>
            <a:t> 15 : Dotation</a:t>
          </a:r>
          <a:endParaRPr lang="en-US" sz="1000" b="0">
            <a:ln>
              <a:noFill/>
            </a:ln>
            <a:solidFill>
              <a:schemeClr val="bg1"/>
            </a:solidFill>
            <a:latin typeface="Cambria" panose="02040503050406030204" pitchFamily="18" charset="0"/>
            <a:ea typeface="Cambria" panose="02040503050406030204" pitchFamily="18" charset="0"/>
          </a:endParaRPr>
        </a:p>
      </xdr:txBody>
    </xdr:sp>
    <xdr:clientData/>
  </xdr:twoCellAnchor>
  <xdr:twoCellAnchor>
    <xdr:from>
      <xdr:col>1</xdr:col>
      <xdr:colOff>11430</xdr:colOff>
      <xdr:row>74</xdr:row>
      <xdr:rowOff>134653</xdr:rowOff>
    </xdr:from>
    <xdr:to>
      <xdr:col>9</xdr:col>
      <xdr:colOff>518685</xdr:colOff>
      <xdr:row>75</xdr:row>
      <xdr:rowOff>160153</xdr:rowOff>
    </xdr:to>
    <xdr:sp macro="[1]!NOTE_16" textlink="">
      <xdr:nvSpPr>
        <xdr:cNvPr id="33" name="Rectangle à coins arrondis 34">
          <a:extLst>
            <a:ext uri="{FF2B5EF4-FFF2-40B4-BE49-F238E27FC236}">
              <a16:creationId xmlns:a16="http://schemas.microsoft.com/office/drawing/2014/main" id="{59702758-01B9-4AA4-8118-DED649B1F456}"/>
            </a:ext>
          </a:extLst>
        </xdr:cNvPr>
        <xdr:cNvSpPr/>
      </xdr:nvSpPr>
      <xdr:spPr>
        <a:xfrm>
          <a:off x="259080" y="14231653"/>
          <a:ext cx="7155705" cy="216000"/>
        </a:xfrm>
        <a:prstGeom prst="round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000" b="0">
              <a:ln>
                <a:noFill/>
              </a:ln>
              <a:solidFill>
                <a:schemeClr val="bg1"/>
              </a:solidFill>
              <a:latin typeface="Cambria" panose="02040503050406030204" pitchFamily="18" charset="0"/>
              <a:ea typeface="Cambria" panose="02040503050406030204" pitchFamily="18" charset="0"/>
            </a:rPr>
            <a:t>Note</a:t>
          </a:r>
          <a:r>
            <a:rPr lang="en-US" sz="1000" b="0" baseline="0">
              <a:ln>
                <a:noFill/>
              </a:ln>
              <a:solidFill>
                <a:schemeClr val="bg1"/>
              </a:solidFill>
              <a:latin typeface="Cambria" panose="02040503050406030204" pitchFamily="18" charset="0"/>
              <a:ea typeface="Cambria" panose="02040503050406030204" pitchFamily="18" charset="0"/>
            </a:rPr>
            <a:t> 16 : Réserves</a:t>
          </a:r>
          <a:endParaRPr lang="en-US" sz="1000" b="0">
            <a:ln>
              <a:noFill/>
            </a:ln>
            <a:solidFill>
              <a:schemeClr val="bg1"/>
            </a:solidFill>
            <a:latin typeface="Cambria" panose="02040503050406030204" pitchFamily="18" charset="0"/>
            <a:ea typeface="Cambria" panose="02040503050406030204" pitchFamily="18" charset="0"/>
          </a:endParaRPr>
        </a:p>
      </xdr:txBody>
    </xdr:sp>
    <xdr:clientData/>
  </xdr:twoCellAnchor>
  <xdr:twoCellAnchor>
    <xdr:from>
      <xdr:col>1</xdr:col>
      <xdr:colOff>11430</xdr:colOff>
      <xdr:row>76</xdr:row>
      <xdr:rowOff>134160</xdr:rowOff>
    </xdr:from>
    <xdr:to>
      <xdr:col>9</xdr:col>
      <xdr:colOff>518685</xdr:colOff>
      <xdr:row>77</xdr:row>
      <xdr:rowOff>159660</xdr:rowOff>
    </xdr:to>
    <xdr:sp macro="[1]!NOTE_17A" textlink="">
      <xdr:nvSpPr>
        <xdr:cNvPr id="34" name="Rectangle à coins arrondis 35">
          <a:extLst>
            <a:ext uri="{FF2B5EF4-FFF2-40B4-BE49-F238E27FC236}">
              <a16:creationId xmlns:a16="http://schemas.microsoft.com/office/drawing/2014/main" id="{363065D6-12BB-441F-845D-4BB5B27B0D36}"/>
            </a:ext>
          </a:extLst>
        </xdr:cNvPr>
        <xdr:cNvSpPr/>
      </xdr:nvSpPr>
      <xdr:spPr>
        <a:xfrm>
          <a:off x="259080" y="14612160"/>
          <a:ext cx="7155705" cy="216000"/>
        </a:xfrm>
        <a:prstGeom prst="round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000" b="0">
              <a:ln>
                <a:noFill/>
              </a:ln>
              <a:solidFill>
                <a:schemeClr val="bg1"/>
              </a:solidFill>
              <a:latin typeface="Cambria" panose="02040503050406030204" pitchFamily="18" charset="0"/>
              <a:ea typeface="Cambria" panose="02040503050406030204" pitchFamily="18" charset="0"/>
            </a:rPr>
            <a:t>Note</a:t>
          </a:r>
          <a:r>
            <a:rPr lang="en-US" sz="1000" b="0" baseline="0">
              <a:ln>
                <a:noFill/>
              </a:ln>
              <a:solidFill>
                <a:schemeClr val="bg1"/>
              </a:solidFill>
              <a:latin typeface="Cambria" panose="02040503050406030204" pitchFamily="18" charset="0"/>
              <a:ea typeface="Cambria" panose="02040503050406030204" pitchFamily="18" charset="0"/>
            </a:rPr>
            <a:t> 17A : Subventions et provisions règlementées</a:t>
          </a:r>
          <a:endParaRPr lang="en-US" sz="1000" b="0">
            <a:ln>
              <a:noFill/>
            </a:ln>
            <a:solidFill>
              <a:schemeClr val="bg1"/>
            </a:solidFill>
            <a:latin typeface="Cambria" panose="02040503050406030204" pitchFamily="18" charset="0"/>
            <a:ea typeface="Cambria" panose="02040503050406030204" pitchFamily="18" charset="0"/>
          </a:endParaRPr>
        </a:p>
      </xdr:txBody>
    </xdr:sp>
    <xdr:clientData/>
  </xdr:twoCellAnchor>
  <xdr:twoCellAnchor>
    <xdr:from>
      <xdr:col>1</xdr:col>
      <xdr:colOff>11430</xdr:colOff>
      <xdr:row>78</xdr:row>
      <xdr:rowOff>133667</xdr:rowOff>
    </xdr:from>
    <xdr:to>
      <xdr:col>9</xdr:col>
      <xdr:colOff>518685</xdr:colOff>
      <xdr:row>79</xdr:row>
      <xdr:rowOff>159167</xdr:rowOff>
    </xdr:to>
    <xdr:sp macro="[1]!NOTE_17B" textlink="">
      <xdr:nvSpPr>
        <xdr:cNvPr id="35" name="Rectangle à coins arrondis 36">
          <a:extLst>
            <a:ext uri="{FF2B5EF4-FFF2-40B4-BE49-F238E27FC236}">
              <a16:creationId xmlns:a16="http://schemas.microsoft.com/office/drawing/2014/main" id="{C594269A-4560-4E6E-9421-F37B10DF4CB2}"/>
            </a:ext>
          </a:extLst>
        </xdr:cNvPr>
        <xdr:cNvSpPr/>
      </xdr:nvSpPr>
      <xdr:spPr>
        <a:xfrm>
          <a:off x="259080" y="14992667"/>
          <a:ext cx="7155705" cy="216000"/>
        </a:xfrm>
        <a:prstGeom prst="round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000" b="0">
              <a:ln>
                <a:noFill/>
              </a:ln>
              <a:solidFill>
                <a:schemeClr val="bg1"/>
              </a:solidFill>
              <a:latin typeface="Cambria" panose="02040503050406030204" pitchFamily="18" charset="0"/>
              <a:ea typeface="Cambria" panose="02040503050406030204" pitchFamily="18" charset="0"/>
            </a:rPr>
            <a:t>Note</a:t>
          </a:r>
          <a:r>
            <a:rPr lang="en-US" sz="1000" b="0" baseline="0">
              <a:ln>
                <a:noFill/>
              </a:ln>
              <a:solidFill>
                <a:schemeClr val="bg1"/>
              </a:solidFill>
              <a:latin typeface="Cambria" panose="02040503050406030204" pitchFamily="18" charset="0"/>
              <a:ea typeface="Cambria" panose="02040503050406030204" pitchFamily="18" charset="0"/>
            </a:rPr>
            <a:t> 17B : Fonds affectés et reportés</a:t>
          </a:r>
          <a:endParaRPr lang="en-US" sz="1000" b="0">
            <a:ln>
              <a:noFill/>
            </a:ln>
            <a:solidFill>
              <a:schemeClr val="bg1"/>
            </a:solidFill>
            <a:latin typeface="Cambria" panose="02040503050406030204" pitchFamily="18" charset="0"/>
            <a:ea typeface="Cambria" panose="02040503050406030204" pitchFamily="18" charset="0"/>
          </a:endParaRPr>
        </a:p>
      </xdr:txBody>
    </xdr:sp>
    <xdr:clientData/>
  </xdr:twoCellAnchor>
  <xdr:twoCellAnchor>
    <xdr:from>
      <xdr:col>1</xdr:col>
      <xdr:colOff>11430</xdr:colOff>
      <xdr:row>80</xdr:row>
      <xdr:rowOff>133174</xdr:rowOff>
    </xdr:from>
    <xdr:to>
      <xdr:col>9</xdr:col>
      <xdr:colOff>518685</xdr:colOff>
      <xdr:row>81</xdr:row>
      <xdr:rowOff>158674</xdr:rowOff>
    </xdr:to>
    <xdr:sp macro="[1]!NOTE_18A" textlink="">
      <xdr:nvSpPr>
        <xdr:cNvPr id="36" name="Rectangle à coins arrondis 37">
          <a:extLst>
            <a:ext uri="{FF2B5EF4-FFF2-40B4-BE49-F238E27FC236}">
              <a16:creationId xmlns:a16="http://schemas.microsoft.com/office/drawing/2014/main" id="{CB048D62-73CA-4385-802A-42C095E12A3B}"/>
            </a:ext>
          </a:extLst>
        </xdr:cNvPr>
        <xdr:cNvSpPr/>
      </xdr:nvSpPr>
      <xdr:spPr>
        <a:xfrm>
          <a:off x="259080" y="15373174"/>
          <a:ext cx="7155705" cy="216000"/>
        </a:xfrm>
        <a:prstGeom prst="round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000" b="0">
              <a:ln>
                <a:noFill/>
              </a:ln>
              <a:solidFill>
                <a:schemeClr val="bg1"/>
              </a:solidFill>
              <a:latin typeface="Cambria" panose="02040503050406030204" pitchFamily="18" charset="0"/>
              <a:ea typeface="Cambria" panose="02040503050406030204" pitchFamily="18" charset="0"/>
            </a:rPr>
            <a:t>Note</a:t>
          </a:r>
          <a:r>
            <a:rPr lang="en-US" sz="1000" b="0" baseline="0">
              <a:ln>
                <a:noFill/>
              </a:ln>
              <a:solidFill>
                <a:schemeClr val="bg1"/>
              </a:solidFill>
              <a:latin typeface="Cambria" panose="02040503050406030204" pitchFamily="18" charset="0"/>
              <a:ea typeface="Cambria" panose="02040503050406030204" pitchFamily="18" charset="0"/>
            </a:rPr>
            <a:t> 18A : Dettes financières et ressources assimilées</a:t>
          </a:r>
          <a:endParaRPr lang="en-US" sz="1000" b="0">
            <a:ln>
              <a:noFill/>
            </a:ln>
            <a:solidFill>
              <a:schemeClr val="bg1"/>
            </a:solidFill>
            <a:latin typeface="Cambria" panose="02040503050406030204" pitchFamily="18" charset="0"/>
            <a:ea typeface="Cambria" panose="02040503050406030204" pitchFamily="18" charset="0"/>
          </a:endParaRPr>
        </a:p>
      </xdr:txBody>
    </xdr:sp>
    <xdr:clientData/>
  </xdr:twoCellAnchor>
  <xdr:twoCellAnchor>
    <xdr:from>
      <xdr:col>1</xdr:col>
      <xdr:colOff>11430</xdr:colOff>
      <xdr:row>82</xdr:row>
      <xdr:rowOff>132681</xdr:rowOff>
    </xdr:from>
    <xdr:to>
      <xdr:col>9</xdr:col>
      <xdr:colOff>518685</xdr:colOff>
      <xdr:row>83</xdr:row>
      <xdr:rowOff>158181</xdr:rowOff>
    </xdr:to>
    <xdr:sp macro="[1]!NOTE_18B" textlink="">
      <xdr:nvSpPr>
        <xdr:cNvPr id="37" name="Rectangle à coins arrondis 38">
          <a:extLst>
            <a:ext uri="{FF2B5EF4-FFF2-40B4-BE49-F238E27FC236}">
              <a16:creationId xmlns:a16="http://schemas.microsoft.com/office/drawing/2014/main" id="{F5E56F40-A770-4892-92C9-B409170FD033}"/>
            </a:ext>
          </a:extLst>
        </xdr:cNvPr>
        <xdr:cNvSpPr/>
      </xdr:nvSpPr>
      <xdr:spPr>
        <a:xfrm>
          <a:off x="259080" y="15753681"/>
          <a:ext cx="7155705" cy="216000"/>
        </a:xfrm>
        <a:prstGeom prst="round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000" b="0">
              <a:ln>
                <a:noFill/>
              </a:ln>
              <a:solidFill>
                <a:schemeClr val="bg1"/>
              </a:solidFill>
              <a:latin typeface="Cambria" panose="02040503050406030204" pitchFamily="18" charset="0"/>
              <a:ea typeface="Cambria" panose="02040503050406030204" pitchFamily="18" charset="0"/>
            </a:rPr>
            <a:t>Note</a:t>
          </a:r>
          <a:r>
            <a:rPr lang="en-US" sz="1000" b="0" baseline="0">
              <a:ln>
                <a:noFill/>
              </a:ln>
              <a:solidFill>
                <a:schemeClr val="bg1"/>
              </a:solidFill>
              <a:latin typeface="Cambria" panose="02040503050406030204" pitchFamily="18" charset="0"/>
              <a:ea typeface="Cambria" panose="02040503050406030204" pitchFamily="18" charset="0"/>
            </a:rPr>
            <a:t> 18B : Actifs et passifs éventuels</a:t>
          </a:r>
          <a:endParaRPr lang="en-US" sz="1000" b="0">
            <a:ln>
              <a:noFill/>
            </a:ln>
            <a:solidFill>
              <a:schemeClr val="bg1"/>
            </a:solidFill>
            <a:latin typeface="Cambria" panose="02040503050406030204" pitchFamily="18" charset="0"/>
            <a:ea typeface="Cambria" panose="02040503050406030204" pitchFamily="18" charset="0"/>
          </a:endParaRPr>
        </a:p>
      </xdr:txBody>
    </xdr:sp>
    <xdr:clientData/>
  </xdr:twoCellAnchor>
  <xdr:twoCellAnchor>
    <xdr:from>
      <xdr:col>1</xdr:col>
      <xdr:colOff>11430</xdr:colOff>
      <xdr:row>84</xdr:row>
      <xdr:rowOff>132188</xdr:rowOff>
    </xdr:from>
    <xdr:to>
      <xdr:col>9</xdr:col>
      <xdr:colOff>518685</xdr:colOff>
      <xdr:row>85</xdr:row>
      <xdr:rowOff>155783</xdr:rowOff>
    </xdr:to>
    <xdr:sp macro="[1]!NOTE_19" textlink="">
      <xdr:nvSpPr>
        <xdr:cNvPr id="38" name="Rectangle à coins arrondis 39">
          <a:extLst>
            <a:ext uri="{FF2B5EF4-FFF2-40B4-BE49-F238E27FC236}">
              <a16:creationId xmlns:a16="http://schemas.microsoft.com/office/drawing/2014/main" id="{625E2ABA-7EE4-4881-90ED-C5E814A0FAB9}"/>
            </a:ext>
          </a:extLst>
        </xdr:cNvPr>
        <xdr:cNvSpPr/>
      </xdr:nvSpPr>
      <xdr:spPr>
        <a:xfrm>
          <a:off x="259080" y="16134188"/>
          <a:ext cx="7155705" cy="214095"/>
        </a:xfrm>
        <a:prstGeom prst="round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000" b="0">
              <a:ln>
                <a:noFill/>
              </a:ln>
              <a:solidFill>
                <a:schemeClr val="bg1"/>
              </a:solidFill>
              <a:latin typeface="Cambria" panose="02040503050406030204" pitchFamily="18" charset="0"/>
              <a:ea typeface="Cambria" panose="02040503050406030204" pitchFamily="18" charset="0"/>
            </a:rPr>
            <a:t>Note</a:t>
          </a:r>
          <a:r>
            <a:rPr lang="en-US" sz="1000" b="0" baseline="0">
              <a:ln>
                <a:noFill/>
              </a:ln>
              <a:solidFill>
                <a:schemeClr val="bg1"/>
              </a:solidFill>
              <a:latin typeface="Cambria" panose="02040503050406030204" pitchFamily="18" charset="0"/>
              <a:ea typeface="Cambria" panose="02040503050406030204" pitchFamily="18" charset="0"/>
            </a:rPr>
            <a:t> 19 : Fournisseurs d'exploitation</a:t>
          </a:r>
          <a:endParaRPr lang="en-US" sz="1000" b="0">
            <a:ln>
              <a:noFill/>
            </a:ln>
            <a:solidFill>
              <a:schemeClr val="bg1"/>
            </a:solidFill>
            <a:latin typeface="Cambria" panose="02040503050406030204" pitchFamily="18" charset="0"/>
            <a:ea typeface="Cambria" panose="02040503050406030204" pitchFamily="18" charset="0"/>
          </a:endParaRPr>
        </a:p>
      </xdr:txBody>
    </xdr:sp>
    <xdr:clientData/>
  </xdr:twoCellAnchor>
  <xdr:twoCellAnchor>
    <xdr:from>
      <xdr:col>1</xdr:col>
      <xdr:colOff>11430</xdr:colOff>
      <xdr:row>86</xdr:row>
      <xdr:rowOff>131695</xdr:rowOff>
    </xdr:from>
    <xdr:to>
      <xdr:col>9</xdr:col>
      <xdr:colOff>518685</xdr:colOff>
      <xdr:row>87</xdr:row>
      <xdr:rowOff>155290</xdr:rowOff>
    </xdr:to>
    <xdr:sp macro="[1]!NOTE_20" textlink="">
      <xdr:nvSpPr>
        <xdr:cNvPr id="39" name="Rectangle à coins arrondis 40">
          <a:extLst>
            <a:ext uri="{FF2B5EF4-FFF2-40B4-BE49-F238E27FC236}">
              <a16:creationId xmlns:a16="http://schemas.microsoft.com/office/drawing/2014/main" id="{18F7B5AE-967F-4125-9E84-0ABABACE2347}"/>
            </a:ext>
          </a:extLst>
        </xdr:cNvPr>
        <xdr:cNvSpPr/>
      </xdr:nvSpPr>
      <xdr:spPr>
        <a:xfrm>
          <a:off x="259080" y="16514695"/>
          <a:ext cx="7155705" cy="214095"/>
        </a:xfrm>
        <a:prstGeom prst="round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000" b="0">
              <a:ln>
                <a:noFill/>
              </a:ln>
              <a:solidFill>
                <a:schemeClr val="bg1"/>
              </a:solidFill>
              <a:latin typeface="Cambria" panose="02040503050406030204" pitchFamily="18" charset="0"/>
              <a:ea typeface="Cambria" panose="02040503050406030204" pitchFamily="18" charset="0"/>
            </a:rPr>
            <a:t>Note</a:t>
          </a:r>
          <a:r>
            <a:rPr lang="en-US" sz="1000" b="0" baseline="0">
              <a:ln>
                <a:noFill/>
              </a:ln>
              <a:solidFill>
                <a:schemeClr val="bg1"/>
              </a:solidFill>
              <a:latin typeface="Cambria" panose="02040503050406030204" pitchFamily="18" charset="0"/>
              <a:ea typeface="Cambria" panose="02040503050406030204" pitchFamily="18" charset="0"/>
            </a:rPr>
            <a:t> 20 : Dettes fiscales et sociales</a:t>
          </a:r>
          <a:endParaRPr lang="en-US" sz="1000" b="0">
            <a:ln>
              <a:noFill/>
            </a:ln>
            <a:solidFill>
              <a:schemeClr val="bg1"/>
            </a:solidFill>
            <a:latin typeface="Cambria" panose="02040503050406030204" pitchFamily="18" charset="0"/>
            <a:ea typeface="Cambria" panose="02040503050406030204" pitchFamily="18" charset="0"/>
          </a:endParaRPr>
        </a:p>
      </xdr:txBody>
    </xdr:sp>
    <xdr:clientData/>
  </xdr:twoCellAnchor>
  <xdr:twoCellAnchor>
    <xdr:from>
      <xdr:col>1</xdr:col>
      <xdr:colOff>11430</xdr:colOff>
      <xdr:row>88</xdr:row>
      <xdr:rowOff>131202</xdr:rowOff>
    </xdr:from>
    <xdr:to>
      <xdr:col>9</xdr:col>
      <xdr:colOff>518685</xdr:colOff>
      <xdr:row>89</xdr:row>
      <xdr:rowOff>154797</xdr:rowOff>
    </xdr:to>
    <xdr:sp macro="[1]!NOTE_21" textlink="">
      <xdr:nvSpPr>
        <xdr:cNvPr id="40" name="Rectangle à coins arrondis 41">
          <a:extLst>
            <a:ext uri="{FF2B5EF4-FFF2-40B4-BE49-F238E27FC236}">
              <a16:creationId xmlns:a16="http://schemas.microsoft.com/office/drawing/2014/main" id="{2DC347E7-6F9C-4226-A55A-9B7E44AD5846}"/>
            </a:ext>
          </a:extLst>
        </xdr:cNvPr>
        <xdr:cNvSpPr/>
      </xdr:nvSpPr>
      <xdr:spPr>
        <a:xfrm>
          <a:off x="259080" y="16895202"/>
          <a:ext cx="7155705" cy="214095"/>
        </a:xfrm>
        <a:prstGeom prst="round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000" b="0">
              <a:ln>
                <a:noFill/>
              </a:ln>
              <a:solidFill>
                <a:schemeClr val="bg1"/>
              </a:solidFill>
              <a:latin typeface="Cambria" panose="02040503050406030204" pitchFamily="18" charset="0"/>
              <a:ea typeface="Cambria" panose="02040503050406030204" pitchFamily="18" charset="0"/>
            </a:rPr>
            <a:t>Note</a:t>
          </a:r>
          <a:r>
            <a:rPr lang="en-US" sz="1000" b="0" baseline="0">
              <a:ln>
                <a:noFill/>
              </a:ln>
              <a:solidFill>
                <a:schemeClr val="bg1"/>
              </a:solidFill>
              <a:latin typeface="Cambria" panose="02040503050406030204" pitchFamily="18" charset="0"/>
              <a:ea typeface="Cambria" panose="02040503050406030204" pitchFamily="18" charset="0"/>
            </a:rPr>
            <a:t> 21 : Autres dettes et provisions pour risques et charges à court terme</a:t>
          </a:r>
          <a:endParaRPr lang="en-US" sz="1000" b="0">
            <a:ln>
              <a:noFill/>
            </a:ln>
            <a:solidFill>
              <a:schemeClr val="bg1"/>
            </a:solidFill>
            <a:latin typeface="Cambria" panose="02040503050406030204" pitchFamily="18" charset="0"/>
            <a:ea typeface="Cambria" panose="02040503050406030204" pitchFamily="18" charset="0"/>
          </a:endParaRPr>
        </a:p>
      </xdr:txBody>
    </xdr:sp>
    <xdr:clientData/>
  </xdr:twoCellAnchor>
  <xdr:twoCellAnchor>
    <xdr:from>
      <xdr:col>1</xdr:col>
      <xdr:colOff>11430</xdr:colOff>
      <xdr:row>90</xdr:row>
      <xdr:rowOff>130709</xdr:rowOff>
    </xdr:from>
    <xdr:to>
      <xdr:col>9</xdr:col>
      <xdr:colOff>518685</xdr:colOff>
      <xdr:row>91</xdr:row>
      <xdr:rowOff>154304</xdr:rowOff>
    </xdr:to>
    <xdr:sp macro="[1]!NOTE_22" textlink="">
      <xdr:nvSpPr>
        <xdr:cNvPr id="41" name="Rectangle à coins arrondis 42">
          <a:extLst>
            <a:ext uri="{FF2B5EF4-FFF2-40B4-BE49-F238E27FC236}">
              <a16:creationId xmlns:a16="http://schemas.microsoft.com/office/drawing/2014/main" id="{89698DAA-1E11-4384-9349-9DFD25660A33}"/>
            </a:ext>
          </a:extLst>
        </xdr:cNvPr>
        <xdr:cNvSpPr/>
      </xdr:nvSpPr>
      <xdr:spPr>
        <a:xfrm>
          <a:off x="259080" y="17275709"/>
          <a:ext cx="7155705" cy="214095"/>
        </a:xfrm>
        <a:prstGeom prst="round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000" b="0">
              <a:ln>
                <a:noFill/>
              </a:ln>
              <a:solidFill>
                <a:schemeClr val="bg1"/>
              </a:solidFill>
              <a:latin typeface="Cambria" panose="02040503050406030204" pitchFamily="18" charset="0"/>
              <a:ea typeface="Cambria" panose="02040503050406030204" pitchFamily="18" charset="0"/>
            </a:rPr>
            <a:t>Note</a:t>
          </a:r>
          <a:r>
            <a:rPr lang="en-US" sz="1000" b="0" baseline="0">
              <a:ln>
                <a:noFill/>
              </a:ln>
              <a:solidFill>
                <a:schemeClr val="bg1"/>
              </a:solidFill>
              <a:latin typeface="Cambria" panose="02040503050406030204" pitchFamily="18" charset="0"/>
              <a:ea typeface="Cambria" panose="02040503050406030204" pitchFamily="18" charset="0"/>
            </a:rPr>
            <a:t> 22 : Banques, crédit d'escompte et de trésorerie</a:t>
          </a:r>
          <a:endParaRPr lang="en-US" sz="1000" b="0">
            <a:ln>
              <a:noFill/>
            </a:ln>
            <a:solidFill>
              <a:schemeClr val="bg1"/>
            </a:solidFill>
            <a:latin typeface="Cambria" panose="02040503050406030204" pitchFamily="18" charset="0"/>
            <a:ea typeface="Cambria" panose="02040503050406030204" pitchFamily="18" charset="0"/>
          </a:endParaRPr>
        </a:p>
      </xdr:txBody>
    </xdr:sp>
    <xdr:clientData/>
  </xdr:twoCellAnchor>
  <xdr:twoCellAnchor>
    <xdr:from>
      <xdr:col>1</xdr:col>
      <xdr:colOff>11430</xdr:colOff>
      <xdr:row>92</xdr:row>
      <xdr:rowOff>130216</xdr:rowOff>
    </xdr:from>
    <xdr:to>
      <xdr:col>9</xdr:col>
      <xdr:colOff>518685</xdr:colOff>
      <xdr:row>93</xdr:row>
      <xdr:rowOff>153811</xdr:rowOff>
    </xdr:to>
    <xdr:sp macro="[1]!NOTE_23" textlink="">
      <xdr:nvSpPr>
        <xdr:cNvPr id="42" name="Rectangle à coins arrondis 43">
          <a:extLst>
            <a:ext uri="{FF2B5EF4-FFF2-40B4-BE49-F238E27FC236}">
              <a16:creationId xmlns:a16="http://schemas.microsoft.com/office/drawing/2014/main" id="{7AD16E6E-F141-42CE-91F6-29A2FB113D2B}"/>
            </a:ext>
          </a:extLst>
        </xdr:cNvPr>
        <xdr:cNvSpPr/>
      </xdr:nvSpPr>
      <xdr:spPr>
        <a:xfrm>
          <a:off x="259080" y="17656216"/>
          <a:ext cx="7155705" cy="214095"/>
        </a:xfrm>
        <a:prstGeom prst="round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000" b="0">
              <a:ln>
                <a:noFill/>
              </a:ln>
              <a:solidFill>
                <a:schemeClr val="bg1"/>
              </a:solidFill>
              <a:latin typeface="Cambria" panose="02040503050406030204" pitchFamily="18" charset="0"/>
              <a:ea typeface="Cambria" panose="02040503050406030204" pitchFamily="18" charset="0"/>
            </a:rPr>
            <a:t>Note</a:t>
          </a:r>
          <a:r>
            <a:rPr lang="en-US" sz="1000" b="0" baseline="0">
              <a:ln>
                <a:noFill/>
              </a:ln>
              <a:solidFill>
                <a:schemeClr val="bg1"/>
              </a:solidFill>
              <a:latin typeface="Cambria" panose="02040503050406030204" pitchFamily="18" charset="0"/>
              <a:ea typeface="Cambria" panose="02040503050406030204" pitchFamily="18" charset="0"/>
            </a:rPr>
            <a:t> 23 : Revenus et autres produits</a:t>
          </a:r>
          <a:endParaRPr lang="en-US" sz="1000" b="0">
            <a:ln>
              <a:noFill/>
            </a:ln>
            <a:solidFill>
              <a:schemeClr val="bg1"/>
            </a:solidFill>
            <a:latin typeface="Cambria" panose="02040503050406030204" pitchFamily="18" charset="0"/>
            <a:ea typeface="Cambria" panose="02040503050406030204" pitchFamily="18" charset="0"/>
          </a:endParaRPr>
        </a:p>
      </xdr:txBody>
    </xdr:sp>
    <xdr:clientData/>
  </xdr:twoCellAnchor>
  <xdr:twoCellAnchor>
    <xdr:from>
      <xdr:col>1</xdr:col>
      <xdr:colOff>11430</xdr:colOff>
      <xdr:row>94</xdr:row>
      <xdr:rowOff>129723</xdr:rowOff>
    </xdr:from>
    <xdr:to>
      <xdr:col>9</xdr:col>
      <xdr:colOff>518685</xdr:colOff>
      <xdr:row>95</xdr:row>
      <xdr:rowOff>153318</xdr:rowOff>
    </xdr:to>
    <xdr:sp macro="[1]!NOTE_24" textlink="">
      <xdr:nvSpPr>
        <xdr:cNvPr id="43" name="Rectangle à coins arrondis 44">
          <a:extLst>
            <a:ext uri="{FF2B5EF4-FFF2-40B4-BE49-F238E27FC236}">
              <a16:creationId xmlns:a16="http://schemas.microsoft.com/office/drawing/2014/main" id="{7434AB62-7CD6-4DC8-B5D3-7C7F352F19F8}"/>
            </a:ext>
          </a:extLst>
        </xdr:cNvPr>
        <xdr:cNvSpPr/>
      </xdr:nvSpPr>
      <xdr:spPr>
        <a:xfrm>
          <a:off x="259080" y="18036723"/>
          <a:ext cx="7155705" cy="214095"/>
        </a:xfrm>
        <a:prstGeom prst="round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000" b="0">
              <a:ln>
                <a:noFill/>
              </a:ln>
              <a:solidFill>
                <a:schemeClr val="bg1"/>
              </a:solidFill>
              <a:latin typeface="Cambria" panose="02040503050406030204" pitchFamily="18" charset="0"/>
              <a:ea typeface="Cambria" panose="02040503050406030204" pitchFamily="18" charset="0"/>
            </a:rPr>
            <a:t>Note</a:t>
          </a:r>
          <a:r>
            <a:rPr lang="en-US" sz="1000" b="0" baseline="0">
              <a:ln>
                <a:noFill/>
              </a:ln>
              <a:solidFill>
                <a:schemeClr val="bg1"/>
              </a:solidFill>
              <a:latin typeface="Cambria" panose="02040503050406030204" pitchFamily="18" charset="0"/>
              <a:ea typeface="Cambria" panose="02040503050406030204" pitchFamily="18" charset="0"/>
            </a:rPr>
            <a:t> 24 : Achats</a:t>
          </a:r>
          <a:endParaRPr lang="en-US" sz="1000" b="0">
            <a:ln>
              <a:noFill/>
            </a:ln>
            <a:solidFill>
              <a:schemeClr val="bg1"/>
            </a:solidFill>
            <a:latin typeface="Cambria" panose="02040503050406030204" pitchFamily="18" charset="0"/>
            <a:ea typeface="Cambria" panose="02040503050406030204" pitchFamily="18" charset="0"/>
          </a:endParaRPr>
        </a:p>
      </xdr:txBody>
    </xdr:sp>
    <xdr:clientData/>
  </xdr:twoCellAnchor>
  <xdr:twoCellAnchor>
    <xdr:from>
      <xdr:col>1</xdr:col>
      <xdr:colOff>11430</xdr:colOff>
      <xdr:row>96</xdr:row>
      <xdr:rowOff>127325</xdr:rowOff>
    </xdr:from>
    <xdr:to>
      <xdr:col>9</xdr:col>
      <xdr:colOff>518685</xdr:colOff>
      <xdr:row>97</xdr:row>
      <xdr:rowOff>152825</xdr:rowOff>
    </xdr:to>
    <xdr:sp macro="[1]!NOTE_25" textlink="">
      <xdr:nvSpPr>
        <xdr:cNvPr id="44" name="Rectangle à coins arrondis 45">
          <a:extLst>
            <a:ext uri="{FF2B5EF4-FFF2-40B4-BE49-F238E27FC236}">
              <a16:creationId xmlns:a16="http://schemas.microsoft.com/office/drawing/2014/main" id="{02966DE9-9D95-4867-91BF-7567FB207DB0}"/>
            </a:ext>
          </a:extLst>
        </xdr:cNvPr>
        <xdr:cNvSpPr/>
      </xdr:nvSpPr>
      <xdr:spPr>
        <a:xfrm>
          <a:off x="259080" y="18415325"/>
          <a:ext cx="7155705" cy="216000"/>
        </a:xfrm>
        <a:prstGeom prst="round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000" b="0">
              <a:ln>
                <a:noFill/>
              </a:ln>
              <a:solidFill>
                <a:schemeClr val="bg1"/>
              </a:solidFill>
              <a:latin typeface="Cambria" panose="02040503050406030204" pitchFamily="18" charset="0"/>
              <a:ea typeface="Cambria" panose="02040503050406030204" pitchFamily="18" charset="0"/>
            </a:rPr>
            <a:t>Note</a:t>
          </a:r>
          <a:r>
            <a:rPr lang="en-US" sz="1000" b="0" baseline="0">
              <a:ln>
                <a:noFill/>
              </a:ln>
              <a:solidFill>
                <a:schemeClr val="bg1"/>
              </a:solidFill>
              <a:latin typeface="Cambria" panose="02040503050406030204" pitchFamily="18" charset="0"/>
              <a:ea typeface="Cambria" panose="02040503050406030204" pitchFamily="18" charset="0"/>
            </a:rPr>
            <a:t> 25 : Transports</a:t>
          </a:r>
          <a:endParaRPr lang="en-US" sz="1000" b="0">
            <a:ln>
              <a:noFill/>
            </a:ln>
            <a:solidFill>
              <a:schemeClr val="bg1"/>
            </a:solidFill>
            <a:latin typeface="Cambria" panose="02040503050406030204" pitchFamily="18" charset="0"/>
            <a:ea typeface="Cambria" panose="02040503050406030204" pitchFamily="18" charset="0"/>
          </a:endParaRPr>
        </a:p>
      </xdr:txBody>
    </xdr:sp>
    <xdr:clientData/>
  </xdr:twoCellAnchor>
  <xdr:twoCellAnchor>
    <xdr:from>
      <xdr:col>1</xdr:col>
      <xdr:colOff>11430</xdr:colOff>
      <xdr:row>98</xdr:row>
      <xdr:rowOff>126832</xdr:rowOff>
    </xdr:from>
    <xdr:to>
      <xdr:col>9</xdr:col>
      <xdr:colOff>518685</xdr:colOff>
      <xdr:row>99</xdr:row>
      <xdr:rowOff>152332</xdr:rowOff>
    </xdr:to>
    <xdr:sp macro="[1]!NOTE_26" textlink="">
      <xdr:nvSpPr>
        <xdr:cNvPr id="45" name="Rectangle à coins arrondis 46">
          <a:extLst>
            <a:ext uri="{FF2B5EF4-FFF2-40B4-BE49-F238E27FC236}">
              <a16:creationId xmlns:a16="http://schemas.microsoft.com/office/drawing/2014/main" id="{2DED4DE1-626C-4BDB-AB33-5F4ACA7412CC}"/>
            </a:ext>
          </a:extLst>
        </xdr:cNvPr>
        <xdr:cNvSpPr/>
      </xdr:nvSpPr>
      <xdr:spPr>
        <a:xfrm>
          <a:off x="259080" y="18795832"/>
          <a:ext cx="7155705" cy="216000"/>
        </a:xfrm>
        <a:prstGeom prst="round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000" b="0">
              <a:ln>
                <a:noFill/>
              </a:ln>
              <a:solidFill>
                <a:schemeClr val="bg1"/>
              </a:solidFill>
              <a:latin typeface="Cambria" panose="02040503050406030204" pitchFamily="18" charset="0"/>
              <a:ea typeface="Cambria" panose="02040503050406030204" pitchFamily="18" charset="0"/>
            </a:rPr>
            <a:t>Note</a:t>
          </a:r>
          <a:r>
            <a:rPr lang="en-US" sz="1000" b="0" baseline="0">
              <a:ln>
                <a:noFill/>
              </a:ln>
              <a:solidFill>
                <a:schemeClr val="bg1"/>
              </a:solidFill>
              <a:latin typeface="Cambria" panose="02040503050406030204" pitchFamily="18" charset="0"/>
              <a:ea typeface="Cambria" panose="02040503050406030204" pitchFamily="18" charset="0"/>
            </a:rPr>
            <a:t> 26 : Services extérieurs</a:t>
          </a:r>
          <a:endParaRPr lang="en-US" sz="1000" b="0">
            <a:ln>
              <a:noFill/>
            </a:ln>
            <a:solidFill>
              <a:schemeClr val="bg1"/>
            </a:solidFill>
            <a:latin typeface="Cambria" panose="02040503050406030204" pitchFamily="18" charset="0"/>
            <a:ea typeface="Cambria" panose="02040503050406030204" pitchFamily="18" charset="0"/>
          </a:endParaRPr>
        </a:p>
      </xdr:txBody>
    </xdr:sp>
    <xdr:clientData/>
  </xdr:twoCellAnchor>
  <xdr:twoCellAnchor>
    <xdr:from>
      <xdr:col>1</xdr:col>
      <xdr:colOff>11430</xdr:colOff>
      <xdr:row>100</xdr:row>
      <xdr:rowOff>126339</xdr:rowOff>
    </xdr:from>
    <xdr:to>
      <xdr:col>9</xdr:col>
      <xdr:colOff>518685</xdr:colOff>
      <xdr:row>101</xdr:row>
      <xdr:rowOff>151839</xdr:rowOff>
    </xdr:to>
    <xdr:sp macro="[1]!NOTE_27" textlink="">
      <xdr:nvSpPr>
        <xdr:cNvPr id="46" name="Rectangle à coins arrondis 47">
          <a:extLst>
            <a:ext uri="{FF2B5EF4-FFF2-40B4-BE49-F238E27FC236}">
              <a16:creationId xmlns:a16="http://schemas.microsoft.com/office/drawing/2014/main" id="{DF2364EA-7C3C-475B-9F65-A676E9F75625}"/>
            </a:ext>
          </a:extLst>
        </xdr:cNvPr>
        <xdr:cNvSpPr/>
      </xdr:nvSpPr>
      <xdr:spPr>
        <a:xfrm>
          <a:off x="259080" y="19176339"/>
          <a:ext cx="7155705" cy="216000"/>
        </a:xfrm>
        <a:prstGeom prst="round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000" b="0">
              <a:ln>
                <a:noFill/>
              </a:ln>
              <a:solidFill>
                <a:schemeClr val="bg1"/>
              </a:solidFill>
              <a:latin typeface="Cambria" panose="02040503050406030204" pitchFamily="18" charset="0"/>
              <a:ea typeface="Cambria" panose="02040503050406030204" pitchFamily="18" charset="0"/>
            </a:rPr>
            <a:t>Note</a:t>
          </a:r>
          <a:r>
            <a:rPr lang="en-US" sz="1000" b="0" baseline="0">
              <a:ln>
                <a:noFill/>
              </a:ln>
              <a:solidFill>
                <a:schemeClr val="bg1"/>
              </a:solidFill>
              <a:latin typeface="Cambria" panose="02040503050406030204" pitchFamily="18" charset="0"/>
              <a:ea typeface="Cambria" panose="02040503050406030204" pitchFamily="18" charset="0"/>
            </a:rPr>
            <a:t> 27 : Impots et taxes</a:t>
          </a:r>
          <a:endParaRPr lang="en-US" sz="1000" b="0">
            <a:ln>
              <a:noFill/>
            </a:ln>
            <a:solidFill>
              <a:schemeClr val="bg1"/>
            </a:solidFill>
            <a:latin typeface="Cambria" panose="02040503050406030204" pitchFamily="18" charset="0"/>
            <a:ea typeface="Cambria" panose="02040503050406030204" pitchFamily="18" charset="0"/>
          </a:endParaRPr>
        </a:p>
      </xdr:txBody>
    </xdr:sp>
    <xdr:clientData/>
  </xdr:twoCellAnchor>
  <xdr:twoCellAnchor>
    <xdr:from>
      <xdr:col>1</xdr:col>
      <xdr:colOff>11430</xdr:colOff>
      <xdr:row>102</xdr:row>
      <xdr:rowOff>125846</xdr:rowOff>
    </xdr:from>
    <xdr:to>
      <xdr:col>9</xdr:col>
      <xdr:colOff>518685</xdr:colOff>
      <xdr:row>103</xdr:row>
      <xdr:rowOff>151346</xdr:rowOff>
    </xdr:to>
    <xdr:sp macro="[1]!NOTE_28" textlink="">
      <xdr:nvSpPr>
        <xdr:cNvPr id="47" name="Rectangle à coins arrondis 48">
          <a:extLst>
            <a:ext uri="{FF2B5EF4-FFF2-40B4-BE49-F238E27FC236}">
              <a16:creationId xmlns:a16="http://schemas.microsoft.com/office/drawing/2014/main" id="{D2E12A8C-4F73-4517-BFDF-60F264D1503A}"/>
            </a:ext>
          </a:extLst>
        </xdr:cNvPr>
        <xdr:cNvSpPr/>
      </xdr:nvSpPr>
      <xdr:spPr>
        <a:xfrm>
          <a:off x="259080" y="19556846"/>
          <a:ext cx="7155705" cy="216000"/>
        </a:xfrm>
        <a:prstGeom prst="round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000" b="0">
              <a:ln>
                <a:noFill/>
              </a:ln>
              <a:solidFill>
                <a:schemeClr val="bg1"/>
              </a:solidFill>
              <a:latin typeface="Cambria" panose="02040503050406030204" pitchFamily="18" charset="0"/>
              <a:ea typeface="Cambria" panose="02040503050406030204" pitchFamily="18" charset="0"/>
            </a:rPr>
            <a:t>Note</a:t>
          </a:r>
          <a:r>
            <a:rPr lang="en-US" sz="1000" b="0" baseline="0">
              <a:ln>
                <a:noFill/>
              </a:ln>
              <a:solidFill>
                <a:schemeClr val="bg1"/>
              </a:solidFill>
              <a:latin typeface="Cambria" panose="02040503050406030204" pitchFamily="18" charset="0"/>
              <a:ea typeface="Cambria" panose="02040503050406030204" pitchFamily="18" charset="0"/>
            </a:rPr>
            <a:t> 28 : Autres charges</a:t>
          </a:r>
          <a:endParaRPr lang="en-US" sz="1000" b="0">
            <a:ln>
              <a:noFill/>
            </a:ln>
            <a:solidFill>
              <a:schemeClr val="bg1"/>
            </a:solidFill>
            <a:latin typeface="Cambria" panose="02040503050406030204" pitchFamily="18" charset="0"/>
            <a:ea typeface="Cambria" panose="02040503050406030204" pitchFamily="18" charset="0"/>
          </a:endParaRPr>
        </a:p>
      </xdr:txBody>
    </xdr:sp>
    <xdr:clientData/>
  </xdr:twoCellAnchor>
  <xdr:twoCellAnchor>
    <xdr:from>
      <xdr:col>1</xdr:col>
      <xdr:colOff>11430</xdr:colOff>
      <xdr:row>104</xdr:row>
      <xdr:rowOff>125353</xdr:rowOff>
    </xdr:from>
    <xdr:to>
      <xdr:col>9</xdr:col>
      <xdr:colOff>518685</xdr:colOff>
      <xdr:row>105</xdr:row>
      <xdr:rowOff>150853</xdr:rowOff>
    </xdr:to>
    <xdr:sp macro="[1]!NOTE_29A" textlink="">
      <xdr:nvSpPr>
        <xdr:cNvPr id="48" name="Rectangle à coins arrondis 49">
          <a:extLst>
            <a:ext uri="{FF2B5EF4-FFF2-40B4-BE49-F238E27FC236}">
              <a16:creationId xmlns:a16="http://schemas.microsoft.com/office/drawing/2014/main" id="{2BBC07B1-B76F-44C2-8EDE-8CE6408F33E5}"/>
            </a:ext>
          </a:extLst>
        </xdr:cNvPr>
        <xdr:cNvSpPr/>
      </xdr:nvSpPr>
      <xdr:spPr>
        <a:xfrm>
          <a:off x="259080" y="19937353"/>
          <a:ext cx="7155705" cy="216000"/>
        </a:xfrm>
        <a:prstGeom prst="round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000" b="0">
              <a:ln>
                <a:noFill/>
              </a:ln>
              <a:solidFill>
                <a:schemeClr val="bg1"/>
              </a:solidFill>
              <a:latin typeface="Cambria" panose="02040503050406030204" pitchFamily="18" charset="0"/>
              <a:ea typeface="Cambria" panose="02040503050406030204" pitchFamily="18" charset="0"/>
            </a:rPr>
            <a:t>Note</a:t>
          </a:r>
          <a:r>
            <a:rPr lang="en-US" sz="1000" b="0" baseline="0">
              <a:ln>
                <a:noFill/>
              </a:ln>
              <a:solidFill>
                <a:schemeClr val="bg1"/>
              </a:solidFill>
              <a:latin typeface="Cambria" panose="02040503050406030204" pitchFamily="18" charset="0"/>
              <a:ea typeface="Cambria" panose="02040503050406030204" pitchFamily="18" charset="0"/>
            </a:rPr>
            <a:t> 29A : Charges de personnel</a:t>
          </a:r>
          <a:endParaRPr lang="en-US" sz="1000" b="0">
            <a:ln>
              <a:noFill/>
            </a:ln>
            <a:solidFill>
              <a:schemeClr val="bg1"/>
            </a:solidFill>
            <a:latin typeface="Cambria" panose="02040503050406030204" pitchFamily="18" charset="0"/>
            <a:ea typeface="Cambria" panose="02040503050406030204" pitchFamily="18" charset="0"/>
          </a:endParaRPr>
        </a:p>
      </xdr:txBody>
    </xdr:sp>
    <xdr:clientData/>
  </xdr:twoCellAnchor>
  <xdr:twoCellAnchor>
    <xdr:from>
      <xdr:col>1</xdr:col>
      <xdr:colOff>11430</xdr:colOff>
      <xdr:row>106</xdr:row>
      <xdr:rowOff>124860</xdr:rowOff>
    </xdr:from>
    <xdr:to>
      <xdr:col>9</xdr:col>
      <xdr:colOff>518685</xdr:colOff>
      <xdr:row>107</xdr:row>
      <xdr:rowOff>150360</xdr:rowOff>
    </xdr:to>
    <xdr:sp macro="[1]!NOTE_29B" textlink="">
      <xdr:nvSpPr>
        <xdr:cNvPr id="49" name="Rectangle à coins arrondis 50">
          <a:extLst>
            <a:ext uri="{FF2B5EF4-FFF2-40B4-BE49-F238E27FC236}">
              <a16:creationId xmlns:a16="http://schemas.microsoft.com/office/drawing/2014/main" id="{46A3F982-9042-4164-94FB-F1911217FA36}"/>
            </a:ext>
          </a:extLst>
        </xdr:cNvPr>
        <xdr:cNvSpPr/>
      </xdr:nvSpPr>
      <xdr:spPr>
        <a:xfrm>
          <a:off x="259080" y="20317860"/>
          <a:ext cx="7155705" cy="216000"/>
        </a:xfrm>
        <a:prstGeom prst="round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000" b="0">
              <a:ln>
                <a:noFill/>
              </a:ln>
              <a:solidFill>
                <a:schemeClr val="bg1"/>
              </a:solidFill>
              <a:latin typeface="Cambria" panose="02040503050406030204" pitchFamily="18" charset="0"/>
              <a:ea typeface="Cambria" panose="02040503050406030204" pitchFamily="18" charset="0"/>
            </a:rPr>
            <a:t>Note</a:t>
          </a:r>
          <a:r>
            <a:rPr lang="en-US" sz="1000" b="0" baseline="0">
              <a:ln>
                <a:noFill/>
              </a:ln>
              <a:solidFill>
                <a:schemeClr val="bg1"/>
              </a:solidFill>
              <a:latin typeface="Cambria" panose="02040503050406030204" pitchFamily="18" charset="0"/>
              <a:ea typeface="Cambria" panose="02040503050406030204" pitchFamily="18" charset="0"/>
            </a:rPr>
            <a:t> 29B : Effectifs, masse salariale et personnel extérieur</a:t>
          </a:r>
          <a:endParaRPr lang="en-US" sz="1000" b="0">
            <a:ln>
              <a:noFill/>
            </a:ln>
            <a:solidFill>
              <a:schemeClr val="bg1"/>
            </a:solidFill>
            <a:latin typeface="Cambria" panose="02040503050406030204" pitchFamily="18" charset="0"/>
            <a:ea typeface="Cambria" panose="02040503050406030204" pitchFamily="18" charset="0"/>
          </a:endParaRPr>
        </a:p>
      </xdr:txBody>
    </xdr:sp>
    <xdr:clientData/>
  </xdr:twoCellAnchor>
  <xdr:twoCellAnchor>
    <xdr:from>
      <xdr:col>1</xdr:col>
      <xdr:colOff>11430</xdr:colOff>
      <xdr:row>108</xdr:row>
      <xdr:rowOff>124367</xdr:rowOff>
    </xdr:from>
    <xdr:to>
      <xdr:col>9</xdr:col>
      <xdr:colOff>518685</xdr:colOff>
      <xdr:row>109</xdr:row>
      <xdr:rowOff>149867</xdr:rowOff>
    </xdr:to>
    <xdr:sp macro="[1]!NOTE_30" textlink="">
      <xdr:nvSpPr>
        <xdr:cNvPr id="50" name="Rectangle à coins arrondis 51">
          <a:extLst>
            <a:ext uri="{FF2B5EF4-FFF2-40B4-BE49-F238E27FC236}">
              <a16:creationId xmlns:a16="http://schemas.microsoft.com/office/drawing/2014/main" id="{D64FAEE7-3B3D-47FE-8B15-4721B78DDFAE}"/>
            </a:ext>
          </a:extLst>
        </xdr:cNvPr>
        <xdr:cNvSpPr/>
      </xdr:nvSpPr>
      <xdr:spPr>
        <a:xfrm>
          <a:off x="259080" y="20698367"/>
          <a:ext cx="7155705" cy="216000"/>
        </a:xfrm>
        <a:prstGeom prst="round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000" b="0">
              <a:ln>
                <a:noFill/>
              </a:ln>
              <a:solidFill>
                <a:schemeClr val="bg1"/>
              </a:solidFill>
              <a:latin typeface="Cambria" panose="02040503050406030204" pitchFamily="18" charset="0"/>
              <a:ea typeface="Cambria" panose="02040503050406030204" pitchFamily="18" charset="0"/>
            </a:rPr>
            <a:t>Note</a:t>
          </a:r>
          <a:r>
            <a:rPr lang="en-US" sz="1000" b="0" baseline="0">
              <a:ln>
                <a:noFill/>
              </a:ln>
              <a:solidFill>
                <a:schemeClr val="bg1"/>
              </a:solidFill>
              <a:latin typeface="Cambria" panose="02040503050406030204" pitchFamily="18" charset="0"/>
              <a:ea typeface="Cambria" panose="02040503050406030204" pitchFamily="18" charset="0"/>
            </a:rPr>
            <a:t> 30 : Dotations et charges pour provisions et dépréciations</a:t>
          </a:r>
          <a:endParaRPr lang="en-US" sz="1000" b="0">
            <a:ln>
              <a:noFill/>
            </a:ln>
            <a:solidFill>
              <a:schemeClr val="bg1"/>
            </a:solidFill>
            <a:latin typeface="Cambria" panose="02040503050406030204" pitchFamily="18" charset="0"/>
            <a:ea typeface="Cambria" panose="02040503050406030204" pitchFamily="18" charset="0"/>
          </a:endParaRPr>
        </a:p>
      </xdr:txBody>
    </xdr:sp>
    <xdr:clientData/>
  </xdr:twoCellAnchor>
  <xdr:twoCellAnchor>
    <xdr:from>
      <xdr:col>1</xdr:col>
      <xdr:colOff>11430</xdr:colOff>
      <xdr:row>110</xdr:row>
      <xdr:rowOff>123874</xdr:rowOff>
    </xdr:from>
    <xdr:to>
      <xdr:col>9</xdr:col>
      <xdr:colOff>518685</xdr:colOff>
      <xdr:row>112</xdr:row>
      <xdr:rowOff>10309</xdr:rowOff>
    </xdr:to>
    <xdr:sp macro="[1]!NOTE_31" textlink="">
      <xdr:nvSpPr>
        <xdr:cNvPr id="51" name="Rectangle à coins arrondis 52">
          <a:extLst>
            <a:ext uri="{FF2B5EF4-FFF2-40B4-BE49-F238E27FC236}">
              <a16:creationId xmlns:a16="http://schemas.microsoft.com/office/drawing/2014/main" id="{68932C52-2711-448A-BC5F-3AEA8631C5EA}"/>
            </a:ext>
          </a:extLst>
        </xdr:cNvPr>
        <xdr:cNvSpPr/>
      </xdr:nvSpPr>
      <xdr:spPr>
        <a:xfrm>
          <a:off x="259080" y="21078874"/>
          <a:ext cx="7155705" cy="210285"/>
        </a:xfrm>
        <a:prstGeom prst="round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000" b="0">
              <a:ln>
                <a:noFill/>
              </a:ln>
              <a:solidFill>
                <a:schemeClr val="bg1"/>
              </a:solidFill>
              <a:latin typeface="Cambria" panose="02040503050406030204" pitchFamily="18" charset="0"/>
              <a:ea typeface="Cambria" panose="02040503050406030204" pitchFamily="18" charset="0"/>
            </a:rPr>
            <a:t>Note</a:t>
          </a:r>
          <a:r>
            <a:rPr lang="en-US" sz="1000" b="0" baseline="0">
              <a:ln>
                <a:noFill/>
              </a:ln>
              <a:solidFill>
                <a:schemeClr val="bg1"/>
              </a:solidFill>
              <a:latin typeface="Cambria" panose="02040503050406030204" pitchFamily="18" charset="0"/>
              <a:ea typeface="Cambria" panose="02040503050406030204" pitchFamily="18" charset="0"/>
            </a:rPr>
            <a:t> 31 : Charges et revenus financiers</a:t>
          </a:r>
          <a:endParaRPr lang="en-US" sz="1000" b="0">
            <a:ln>
              <a:noFill/>
            </a:ln>
            <a:solidFill>
              <a:schemeClr val="bg1"/>
            </a:solidFill>
            <a:latin typeface="Cambria" panose="02040503050406030204" pitchFamily="18" charset="0"/>
            <a:ea typeface="Cambria" panose="02040503050406030204" pitchFamily="18" charset="0"/>
          </a:endParaRPr>
        </a:p>
      </xdr:txBody>
    </xdr:sp>
    <xdr:clientData/>
  </xdr:twoCellAnchor>
  <xdr:twoCellAnchor>
    <xdr:from>
      <xdr:col>1</xdr:col>
      <xdr:colOff>11430</xdr:colOff>
      <xdr:row>113</xdr:row>
      <xdr:rowOff>1461</xdr:rowOff>
    </xdr:from>
    <xdr:to>
      <xdr:col>9</xdr:col>
      <xdr:colOff>518685</xdr:colOff>
      <xdr:row>114</xdr:row>
      <xdr:rowOff>57441</xdr:rowOff>
    </xdr:to>
    <xdr:sp macro="[1]!NOTE_32" textlink="">
      <xdr:nvSpPr>
        <xdr:cNvPr id="52" name="Rectangle à coins arrondis 53">
          <a:extLst>
            <a:ext uri="{FF2B5EF4-FFF2-40B4-BE49-F238E27FC236}">
              <a16:creationId xmlns:a16="http://schemas.microsoft.com/office/drawing/2014/main" id="{02E9E7D2-5245-4FFA-9B03-60D80D95E8BA}"/>
            </a:ext>
          </a:extLst>
        </xdr:cNvPr>
        <xdr:cNvSpPr/>
      </xdr:nvSpPr>
      <xdr:spPr>
        <a:xfrm>
          <a:off x="259080" y="21442236"/>
          <a:ext cx="7155705" cy="217905"/>
        </a:xfrm>
        <a:prstGeom prst="round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000" b="0">
              <a:ln>
                <a:noFill/>
              </a:ln>
              <a:solidFill>
                <a:schemeClr val="bg1"/>
              </a:solidFill>
              <a:latin typeface="Cambria" panose="02040503050406030204" pitchFamily="18" charset="0"/>
              <a:ea typeface="Cambria" panose="02040503050406030204" pitchFamily="18" charset="0"/>
            </a:rPr>
            <a:t>Note</a:t>
          </a:r>
          <a:r>
            <a:rPr lang="en-US" sz="1000" b="0" baseline="0">
              <a:ln>
                <a:noFill/>
              </a:ln>
              <a:solidFill>
                <a:schemeClr val="bg1"/>
              </a:solidFill>
              <a:latin typeface="Cambria" panose="02040503050406030204" pitchFamily="18" charset="0"/>
              <a:ea typeface="Cambria" panose="02040503050406030204" pitchFamily="18" charset="0"/>
            </a:rPr>
            <a:t> 32 : Autres charges et produits HAO</a:t>
          </a:r>
          <a:endParaRPr lang="en-US" sz="1000" b="0">
            <a:ln>
              <a:noFill/>
            </a:ln>
            <a:solidFill>
              <a:schemeClr val="bg1"/>
            </a:solidFill>
            <a:latin typeface="Cambria" panose="02040503050406030204" pitchFamily="18" charset="0"/>
            <a:ea typeface="Cambria" panose="02040503050406030204" pitchFamily="18" charset="0"/>
          </a:endParaRPr>
        </a:p>
      </xdr:txBody>
    </xdr:sp>
    <xdr:clientData/>
  </xdr:twoCellAnchor>
  <xdr:twoCellAnchor>
    <xdr:from>
      <xdr:col>1</xdr:col>
      <xdr:colOff>11430</xdr:colOff>
      <xdr:row>115</xdr:row>
      <xdr:rowOff>46688</xdr:rowOff>
    </xdr:from>
    <xdr:to>
      <xdr:col>9</xdr:col>
      <xdr:colOff>518685</xdr:colOff>
      <xdr:row>116</xdr:row>
      <xdr:rowOff>93143</xdr:rowOff>
    </xdr:to>
    <xdr:sp macro="[1]!NOTE_33" textlink="">
      <xdr:nvSpPr>
        <xdr:cNvPr id="53" name="Rectangle à coins arrondis 54">
          <a:extLst>
            <a:ext uri="{FF2B5EF4-FFF2-40B4-BE49-F238E27FC236}">
              <a16:creationId xmlns:a16="http://schemas.microsoft.com/office/drawing/2014/main" id="{898B2F6E-4BC6-482F-8F39-5AF58C7C8D7A}"/>
            </a:ext>
          </a:extLst>
        </xdr:cNvPr>
        <xdr:cNvSpPr/>
      </xdr:nvSpPr>
      <xdr:spPr>
        <a:xfrm>
          <a:off x="259080" y="21811313"/>
          <a:ext cx="7155705" cy="208380"/>
        </a:xfrm>
        <a:prstGeom prst="round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000" b="0">
              <a:ln>
                <a:noFill/>
              </a:ln>
              <a:solidFill>
                <a:schemeClr val="bg1"/>
              </a:solidFill>
              <a:latin typeface="Cambria" panose="02040503050406030204" pitchFamily="18" charset="0"/>
              <a:ea typeface="Cambria" panose="02040503050406030204" pitchFamily="18" charset="0"/>
            </a:rPr>
            <a:t>Note</a:t>
          </a:r>
          <a:r>
            <a:rPr lang="en-US" sz="1000" b="0" baseline="0">
              <a:ln>
                <a:noFill/>
              </a:ln>
              <a:solidFill>
                <a:schemeClr val="bg1"/>
              </a:solidFill>
              <a:latin typeface="Cambria" panose="02040503050406030204" pitchFamily="18" charset="0"/>
              <a:ea typeface="Cambria" panose="02040503050406030204" pitchFamily="18" charset="0"/>
            </a:rPr>
            <a:t> 33 : Fiche de synthèse des principaux indicateurs financiers</a:t>
          </a:r>
          <a:endParaRPr lang="en-US" sz="1000" b="0">
            <a:ln>
              <a:noFill/>
            </a:ln>
            <a:solidFill>
              <a:schemeClr val="bg1"/>
            </a:solidFill>
            <a:latin typeface="Cambria" panose="02040503050406030204" pitchFamily="18" charset="0"/>
            <a:ea typeface="Cambria" panose="02040503050406030204" pitchFamily="18" charset="0"/>
          </a:endParaRPr>
        </a:p>
      </xdr:txBody>
    </xdr:sp>
    <xdr:clientData/>
  </xdr:twoCellAnchor>
  <xdr:twoCellAnchor>
    <xdr:from>
      <xdr:col>1</xdr:col>
      <xdr:colOff>11430</xdr:colOff>
      <xdr:row>117</xdr:row>
      <xdr:rowOff>91915</xdr:rowOff>
    </xdr:from>
    <xdr:to>
      <xdr:col>9</xdr:col>
      <xdr:colOff>518685</xdr:colOff>
      <xdr:row>118</xdr:row>
      <xdr:rowOff>142180</xdr:rowOff>
    </xdr:to>
    <xdr:sp macro="[1]!NOTE_34" textlink="">
      <xdr:nvSpPr>
        <xdr:cNvPr id="54" name="Rectangle à coins arrondis 55">
          <a:extLst>
            <a:ext uri="{FF2B5EF4-FFF2-40B4-BE49-F238E27FC236}">
              <a16:creationId xmlns:a16="http://schemas.microsoft.com/office/drawing/2014/main" id="{B5E6FE10-1C30-4C5C-806C-1704CA8646DF}"/>
            </a:ext>
          </a:extLst>
        </xdr:cNvPr>
        <xdr:cNvSpPr/>
      </xdr:nvSpPr>
      <xdr:spPr>
        <a:xfrm>
          <a:off x="259080" y="22180390"/>
          <a:ext cx="7155705" cy="212190"/>
        </a:xfrm>
        <a:prstGeom prst="round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000" b="0">
              <a:ln>
                <a:noFill/>
              </a:ln>
              <a:solidFill>
                <a:schemeClr val="bg1"/>
              </a:solidFill>
              <a:latin typeface="Cambria" panose="02040503050406030204" pitchFamily="18" charset="0"/>
              <a:ea typeface="Cambria" panose="02040503050406030204" pitchFamily="18" charset="0"/>
            </a:rPr>
            <a:t>Note</a:t>
          </a:r>
          <a:r>
            <a:rPr lang="en-US" sz="1000" b="0" baseline="0">
              <a:ln>
                <a:noFill/>
              </a:ln>
              <a:solidFill>
                <a:schemeClr val="bg1"/>
              </a:solidFill>
              <a:latin typeface="Cambria" panose="02040503050406030204" pitchFamily="18" charset="0"/>
              <a:ea typeface="Cambria" panose="02040503050406030204" pitchFamily="18" charset="0"/>
            </a:rPr>
            <a:t> 34 : Liste des informations sociales, environnementales et sociétales</a:t>
          </a:r>
          <a:endParaRPr lang="en-US" sz="1000" b="0">
            <a:ln>
              <a:noFill/>
            </a:ln>
            <a:solidFill>
              <a:schemeClr val="bg1"/>
            </a:solidFill>
            <a:latin typeface="Cambria" panose="02040503050406030204" pitchFamily="18" charset="0"/>
            <a:ea typeface="Cambria" panose="02040503050406030204" pitchFamily="18" charset="0"/>
          </a:endParaRPr>
        </a:p>
      </xdr:txBody>
    </xdr:sp>
    <xdr:clientData/>
  </xdr:twoCellAnchor>
  <xdr:twoCellAnchor>
    <xdr:from>
      <xdr:col>1</xdr:col>
      <xdr:colOff>13335</xdr:colOff>
      <xdr:row>119</xdr:row>
      <xdr:rowOff>135255</xdr:rowOff>
    </xdr:from>
    <xdr:to>
      <xdr:col>9</xdr:col>
      <xdr:colOff>516780</xdr:colOff>
      <xdr:row>121</xdr:row>
      <xdr:rowOff>27405</xdr:rowOff>
    </xdr:to>
    <xdr:sp macro="[1]!NOTE_35" textlink="">
      <xdr:nvSpPr>
        <xdr:cNvPr id="55" name="Rectangle à coins arrondis 56">
          <a:extLst>
            <a:ext uri="{FF2B5EF4-FFF2-40B4-BE49-F238E27FC236}">
              <a16:creationId xmlns:a16="http://schemas.microsoft.com/office/drawing/2014/main" id="{DFCFF208-0AA6-44BA-BFF0-31720595D318}"/>
            </a:ext>
          </a:extLst>
        </xdr:cNvPr>
        <xdr:cNvSpPr/>
      </xdr:nvSpPr>
      <xdr:spPr>
        <a:xfrm>
          <a:off x="260985" y="22547580"/>
          <a:ext cx="7151895" cy="216000"/>
        </a:xfrm>
        <a:prstGeom prst="round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000" b="0">
              <a:ln>
                <a:noFill/>
              </a:ln>
              <a:solidFill>
                <a:schemeClr val="bg1"/>
              </a:solidFill>
              <a:latin typeface="Cambria" panose="02040503050406030204" pitchFamily="18" charset="0"/>
              <a:ea typeface="Cambria" panose="02040503050406030204" pitchFamily="18" charset="0"/>
            </a:rPr>
            <a:t>Note</a:t>
          </a:r>
          <a:r>
            <a:rPr lang="en-US" sz="1000" b="0" baseline="0">
              <a:ln>
                <a:noFill/>
              </a:ln>
              <a:solidFill>
                <a:schemeClr val="bg1"/>
              </a:solidFill>
              <a:latin typeface="Cambria" panose="02040503050406030204" pitchFamily="18" charset="0"/>
              <a:ea typeface="Cambria" panose="02040503050406030204" pitchFamily="18" charset="0"/>
            </a:rPr>
            <a:t> 35 : Tableau d'exécution budgétaire</a:t>
          </a:r>
          <a:endParaRPr lang="en-US" sz="1000" b="0">
            <a:ln>
              <a:noFill/>
            </a:ln>
            <a:solidFill>
              <a:schemeClr val="bg1"/>
            </a:solidFill>
            <a:latin typeface="Cambria" panose="02040503050406030204" pitchFamily="18" charset="0"/>
            <a:ea typeface="Cambria" panose="02040503050406030204" pitchFamily="18" charset="0"/>
          </a:endParaRPr>
        </a:p>
      </xdr:txBody>
    </xdr:sp>
    <xdr:clientData/>
  </xdr:twoCellAnchor>
  <xdr:twoCellAnchor>
    <xdr:from>
      <xdr:col>13</xdr:col>
      <xdr:colOff>39051</xdr:colOff>
      <xdr:row>1</xdr:row>
      <xdr:rowOff>121920</xdr:rowOff>
    </xdr:from>
    <xdr:to>
      <xdr:col>18</xdr:col>
      <xdr:colOff>686556</xdr:colOff>
      <xdr:row>2</xdr:row>
      <xdr:rowOff>164565</xdr:rowOff>
    </xdr:to>
    <xdr:sp macro="[1]!PageGardeDGI" textlink="">
      <xdr:nvSpPr>
        <xdr:cNvPr id="56" name="Rectangle à coins arrondis 2">
          <a:extLst>
            <a:ext uri="{FF2B5EF4-FFF2-40B4-BE49-F238E27FC236}">
              <a16:creationId xmlns:a16="http://schemas.microsoft.com/office/drawing/2014/main" id="{CD1F2735-17A6-40C9-B5A3-968D13DC2341}"/>
            </a:ext>
          </a:extLst>
        </xdr:cNvPr>
        <xdr:cNvSpPr/>
      </xdr:nvSpPr>
      <xdr:spPr>
        <a:xfrm>
          <a:off x="8392476" y="312420"/>
          <a:ext cx="4505130" cy="233145"/>
        </a:xfrm>
        <a:prstGeom prst="roundRect">
          <a:avLst/>
        </a:prstGeom>
      </xdr:spPr>
      <xdr:style>
        <a:lnRef idx="0">
          <a:schemeClr val="accent2"/>
        </a:lnRef>
        <a:fillRef idx="3">
          <a:schemeClr val="accent2"/>
        </a:fillRef>
        <a:effectRef idx="3">
          <a:schemeClr val="accent2"/>
        </a:effectRef>
        <a:fontRef idx="minor">
          <a:schemeClr val="lt1"/>
        </a:fontRef>
      </xdr:style>
      <xdr:txBody>
        <a:bodyPr vertOverflow="clip" horzOverflow="clip" rtlCol="0" anchor="ctr"/>
        <a:lstStyle/>
        <a:p>
          <a:pPr algn="ctr"/>
          <a:r>
            <a:rPr lang="en-US" sz="1000" b="1">
              <a:ln>
                <a:noFill/>
              </a:ln>
              <a:solidFill>
                <a:schemeClr val="bg1"/>
              </a:solidFill>
              <a:latin typeface="Cambria" panose="02040503050406030204" pitchFamily="18" charset="0"/>
              <a:ea typeface="Cambria" panose="02040503050406030204" pitchFamily="18" charset="0"/>
            </a:rPr>
            <a:t>Page De</a:t>
          </a:r>
          <a:r>
            <a:rPr lang="en-US" sz="1000" b="1" baseline="0">
              <a:ln>
                <a:noFill/>
              </a:ln>
              <a:solidFill>
                <a:schemeClr val="bg1"/>
              </a:solidFill>
              <a:latin typeface="Cambria" panose="02040503050406030204" pitchFamily="18" charset="0"/>
              <a:ea typeface="Cambria" panose="02040503050406030204" pitchFamily="18" charset="0"/>
            </a:rPr>
            <a:t> Garde DGI</a:t>
          </a:r>
          <a:endParaRPr lang="en-US" sz="1000" b="1">
            <a:ln>
              <a:noFill/>
            </a:ln>
            <a:solidFill>
              <a:schemeClr val="bg1"/>
            </a:solidFill>
            <a:latin typeface="Cambria" panose="02040503050406030204" pitchFamily="18" charset="0"/>
            <a:ea typeface="Cambria" panose="02040503050406030204" pitchFamily="18" charset="0"/>
          </a:endParaRPr>
        </a:p>
      </xdr:txBody>
    </xdr:sp>
    <xdr:clientData/>
  </xdr:twoCellAnchor>
  <xdr:twoCellAnchor>
    <xdr:from>
      <xdr:col>13</xdr:col>
      <xdr:colOff>40003</xdr:colOff>
      <xdr:row>4</xdr:row>
      <xdr:rowOff>26007</xdr:rowOff>
    </xdr:from>
    <xdr:to>
      <xdr:col>18</xdr:col>
      <xdr:colOff>685603</xdr:colOff>
      <xdr:row>5</xdr:row>
      <xdr:rowOff>74366</xdr:rowOff>
    </xdr:to>
    <xdr:sp macro="[1]!LISTE_DGI" textlink="">
      <xdr:nvSpPr>
        <xdr:cNvPr id="57" name="Rectangle à coins arrondis 2">
          <a:extLst>
            <a:ext uri="{FF2B5EF4-FFF2-40B4-BE49-F238E27FC236}">
              <a16:creationId xmlns:a16="http://schemas.microsoft.com/office/drawing/2014/main" id="{764603F7-C7CC-49EA-BBBE-91CA2D8A4B2B}"/>
            </a:ext>
          </a:extLst>
        </xdr:cNvPr>
        <xdr:cNvSpPr/>
      </xdr:nvSpPr>
      <xdr:spPr>
        <a:xfrm>
          <a:off x="8393428" y="788007"/>
          <a:ext cx="4503225" cy="238859"/>
        </a:xfrm>
        <a:prstGeom prst="roundRect">
          <a:avLst/>
        </a:prstGeom>
      </xdr:spPr>
      <xdr:style>
        <a:lnRef idx="0">
          <a:schemeClr val="accent2"/>
        </a:lnRef>
        <a:fillRef idx="3">
          <a:schemeClr val="accent2"/>
        </a:fillRef>
        <a:effectRef idx="3">
          <a:schemeClr val="accent2"/>
        </a:effectRef>
        <a:fontRef idx="minor">
          <a:schemeClr val="lt1"/>
        </a:fontRef>
      </xdr:style>
      <xdr:txBody>
        <a:bodyPr vertOverflow="clip" horzOverflow="clip" rtlCol="0" anchor="ctr"/>
        <a:lstStyle/>
        <a:p>
          <a:pPr algn="ctr"/>
          <a:r>
            <a:rPr lang="en-US" sz="1000" b="1">
              <a:ln>
                <a:noFill/>
              </a:ln>
              <a:solidFill>
                <a:schemeClr val="bg1"/>
              </a:solidFill>
              <a:latin typeface="Cambria" panose="02040503050406030204" pitchFamily="18" charset="0"/>
              <a:ea typeface="Cambria" panose="02040503050406030204" pitchFamily="18" charset="0"/>
            </a:rPr>
            <a:t>LISTE_DGI</a:t>
          </a:r>
        </a:p>
      </xdr:txBody>
    </xdr:sp>
    <xdr:clientData/>
  </xdr:twoCellAnchor>
  <xdr:twoCellAnchor>
    <xdr:from>
      <xdr:col>13</xdr:col>
      <xdr:colOff>40003</xdr:colOff>
      <xdr:row>6</xdr:row>
      <xdr:rowOff>122181</xdr:rowOff>
    </xdr:from>
    <xdr:to>
      <xdr:col>18</xdr:col>
      <xdr:colOff>685603</xdr:colOff>
      <xdr:row>7</xdr:row>
      <xdr:rowOff>174350</xdr:rowOff>
    </xdr:to>
    <xdr:sp macro="[1]!CHARGES_1" textlink="">
      <xdr:nvSpPr>
        <xdr:cNvPr id="58" name="Rectangle à coins arrondis 2">
          <a:extLst>
            <a:ext uri="{FF2B5EF4-FFF2-40B4-BE49-F238E27FC236}">
              <a16:creationId xmlns:a16="http://schemas.microsoft.com/office/drawing/2014/main" id="{B68932A6-663D-4B43-84D9-AE63193EAFFF}"/>
            </a:ext>
          </a:extLst>
        </xdr:cNvPr>
        <xdr:cNvSpPr/>
      </xdr:nvSpPr>
      <xdr:spPr>
        <a:xfrm>
          <a:off x="8393428" y="1265181"/>
          <a:ext cx="4503225" cy="242669"/>
        </a:xfrm>
        <a:prstGeom prst="roundRect">
          <a:avLst/>
        </a:prstGeom>
      </xdr:spPr>
      <xdr:style>
        <a:lnRef idx="0">
          <a:schemeClr val="accent2"/>
        </a:lnRef>
        <a:fillRef idx="3">
          <a:schemeClr val="accent2"/>
        </a:fillRef>
        <a:effectRef idx="3">
          <a:schemeClr val="accent2"/>
        </a:effectRef>
        <a:fontRef idx="minor">
          <a:schemeClr val="lt1"/>
        </a:fontRef>
      </xdr:style>
      <xdr:txBody>
        <a:bodyPr vertOverflow="clip" horzOverflow="clip" rtlCol="0" anchor="ctr"/>
        <a:lstStyle/>
        <a:p>
          <a:pPr algn="ctr"/>
          <a:r>
            <a:rPr lang="en-US" sz="1000" b="1">
              <a:ln>
                <a:noFill/>
              </a:ln>
              <a:solidFill>
                <a:schemeClr val="bg1"/>
              </a:solidFill>
              <a:latin typeface="Cambria" panose="02040503050406030204" pitchFamily="18" charset="0"/>
              <a:ea typeface="Cambria" panose="02040503050406030204" pitchFamily="18" charset="0"/>
            </a:rPr>
            <a:t>DETAIL DES CHARGES 1</a:t>
          </a:r>
        </a:p>
      </xdr:txBody>
    </xdr:sp>
    <xdr:clientData/>
  </xdr:twoCellAnchor>
  <xdr:twoCellAnchor>
    <xdr:from>
      <xdr:col>13</xdr:col>
      <xdr:colOff>40003</xdr:colOff>
      <xdr:row>9</xdr:row>
      <xdr:rowOff>31982</xdr:rowOff>
    </xdr:from>
    <xdr:to>
      <xdr:col>18</xdr:col>
      <xdr:colOff>685603</xdr:colOff>
      <xdr:row>10</xdr:row>
      <xdr:rowOff>86057</xdr:rowOff>
    </xdr:to>
    <xdr:sp macro="[1]!CHARGES_2" textlink="">
      <xdr:nvSpPr>
        <xdr:cNvPr id="59" name="Rectangle à coins arrondis 2">
          <a:extLst>
            <a:ext uri="{FF2B5EF4-FFF2-40B4-BE49-F238E27FC236}">
              <a16:creationId xmlns:a16="http://schemas.microsoft.com/office/drawing/2014/main" id="{580C387E-7791-489D-99C3-E694A336AEB1}"/>
            </a:ext>
          </a:extLst>
        </xdr:cNvPr>
        <xdr:cNvSpPr/>
      </xdr:nvSpPr>
      <xdr:spPr>
        <a:xfrm>
          <a:off x="8393428" y="1746482"/>
          <a:ext cx="4503225" cy="244575"/>
        </a:xfrm>
        <a:prstGeom prst="roundRect">
          <a:avLst/>
        </a:prstGeom>
      </xdr:spPr>
      <xdr:style>
        <a:lnRef idx="0">
          <a:schemeClr val="accent2"/>
        </a:lnRef>
        <a:fillRef idx="3">
          <a:schemeClr val="accent2"/>
        </a:fillRef>
        <a:effectRef idx="3">
          <a:schemeClr val="accent2"/>
        </a:effectRef>
        <a:fontRef idx="minor">
          <a:schemeClr val="lt1"/>
        </a:fontRef>
      </xdr:style>
      <xdr:txBody>
        <a:bodyPr vertOverflow="clip" horzOverflow="clip" rtlCol="0" anchor="ctr"/>
        <a:lstStyle/>
        <a:p>
          <a:pPr algn="ctr"/>
          <a:r>
            <a:rPr lang="en-US" sz="1000" b="1">
              <a:ln>
                <a:noFill/>
              </a:ln>
              <a:solidFill>
                <a:schemeClr val="bg1"/>
              </a:solidFill>
              <a:latin typeface="Cambria" panose="02040503050406030204" pitchFamily="18" charset="0"/>
              <a:ea typeface="Cambria" panose="02040503050406030204" pitchFamily="18" charset="0"/>
            </a:rPr>
            <a:t>DETAIL DES CHARGES 2</a:t>
          </a:r>
        </a:p>
      </xdr:txBody>
    </xdr:sp>
    <xdr:clientData/>
  </xdr:twoCellAnchor>
  <xdr:twoCellAnchor>
    <xdr:from>
      <xdr:col>13</xdr:col>
      <xdr:colOff>40003</xdr:colOff>
      <xdr:row>11</xdr:row>
      <xdr:rowOff>133871</xdr:rowOff>
    </xdr:from>
    <xdr:to>
      <xdr:col>18</xdr:col>
      <xdr:colOff>685603</xdr:colOff>
      <xdr:row>12</xdr:row>
      <xdr:rowOff>178421</xdr:rowOff>
    </xdr:to>
    <xdr:sp macro="[1]!CHARGES_3" textlink="">
      <xdr:nvSpPr>
        <xdr:cNvPr id="60" name="Rectangle à coins arrondis 2">
          <a:extLst>
            <a:ext uri="{FF2B5EF4-FFF2-40B4-BE49-F238E27FC236}">
              <a16:creationId xmlns:a16="http://schemas.microsoft.com/office/drawing/2014/main" id="{B541EDDF-3A12-4A0E-ABAD-D2A500A020AD}"/>
            </a:ext>
          </a:extLst>
        </xdr:cNvPr>
        <xdr:cNvSpPr/>
      </xdr:nvSpPr>
      <xdr:spPr>
        <a:xfrm>
          <a:off x="8393428" y="2229371"/>
          <a:ext cx="4503225" cy="235050"/>
        </a:xfrm>
        <a:prstGeom prst="roundRect">
          <a:avLst/>
        </a:prstGeom>
      </xdr:spPr>
      <xdr:style>
        <a:lnRef idx="0">
          <a:schemeClr val="accent2"/>
        </a:lnRef>
        <a:fillRef idx="3">
          <a:schemeClr val="accent2"/>
        </a:fillRef>
        <a:effectRef idx="3">
          <a:schemeClr val="accent2"/>
        </a:effectRef>
        <a:fontRef idx="minor">
          <a:schemeClr val="lt1"/>
        </a:fontRef>
      </xdr:style>
      <xdr:txBody>
        <a:bodyPr vertOverflow="clip" horzOverflow="clip" rtlCol="0" anchor="ctr"/>
        <a:lstStyle/>
        <a:p>
          <a:pPr algn="ctr"/>
          <a:r>
            <a:rPr lang="en-US" sz="1000" b="1">
              <a:ln>
                <a:noFill/>
              </a:ln>
              <a:solidFill>
                <a:schemeClr val="bg1"/>
              </a:solidFill>
              <a:latin typeface="Cambria" panose="02040503050406030204" pitchFamily="18" charset="0"/>
              <a:ea typeface="Cambria" panose="02040503050406030204" pitchFamily="18" charset="0"/>
            </a:rPr>
            <a:t>DETAIL DES CHARGES 3</a:t>
          </a:r>
        </a:p>
      </xdr:txBody>
    </xdr:sp>
    <xdr:clientData/>
  </xdr:twoCellAnchor>
  <xdr:twoCellAnchor>
    <xdr:from>
      <xdr:col>13</xdr:col>
      <xdr:colOff>39051</xdr:colOff>
      <xdr:row>14</xdr:row>
      <xdr:rowOff>45578</xdr:rowOff>
    </xdr:from>
    <xdr:to>
      <xdr:col>18</xdr:col>
      <xdr:colOff>686556</xdr:colOff>
      <xdr:row>15</xdr:row>
      <xdr:rowOff>93938</xdr:rowOff>
    </xdr:to>
    <xdr:sp macro="[1]!CHARGES_4" textlink="">
      <xdr:nvSpPr>
        <xdr:cNvPr id="61" name="Rectangle à coins arrondis 2">
          <a:extLst>
            <a:ext uri="{FF2B5EF4-FFF2-40B4-BE49-F238E27FC236}">
              <a16:creationId xmlns:a16="http://schemas.microsoft.com/office/drawing/2014/main" id="{903E4689-B3E8-4F7B-8FC6-9E7980B6090A}"/>
            </a:ext>
          </a:extLst>
        </xdr:cNvPr>
        <xdr:cNvSpPr/>
      </xdr:nvSpPr>
      <xdr:spPr>
        <a:xfrm>
          <a:off x="8392476" y="2712578"/>
          <a:ext cx="4505130" cy="238860"/>
        </a:xfrm>
        <a:prstGeom prst="roundRect">
          <a:avLst/>
        </a:prstGeom>
      </xdr:spPr>
      <xdr:style>
        <a:lnRef idx="0">
          <a:schemeClr val="accent2"/>
        </a:lnRef>
        <a:fillRef idx="3">
          <a:schemeClr val="accent2"/>
        </a:fillRef>
        <a:effectRef idx="3">
          <a:schemeClr val="accent2"/>
        </a:effectRef>
        <a:fontRef idx="minor">
          <a:schemeClr val="lt1"/>
        </a:fontRef>
      </xdr:style>
      <xdr:txBody>
        <a:bodyPr vertOverflow="clip" horzOverflow="clip" rtlCol="0" anchor="ctr"/>
        <a:lstStyle/>
        <a:p>
          <a:pPr algn="ctr"/>
          <a:r>
            <a:rPr lang="en-US" sz="1000" b="1">
              <a:ln>
                <a:noFill/>
              </a:ln>
              <a:solidFill>
                <a:schemeClr val="bg1"/>
              </a:solidFill>
              <a:latin typeface="Cambria" panose="02040503050406030204" pitchFamily="18" charset="0"/>
              <a:ea typeface="Cambria" panose="02040503050406030204" pitchFamily="18" charset="0"/>
            </a:rPr>
            <a:t>DETAIL DES CHARGES 4</a:t>
          </a:r>
        </a:p>
      </xdr:txBody>
    </xdr:sp>
    <xdr:clientData/>
  </xdr:twoCellAnchor>
  <xdr:twoCellAnchor>
    <xdr:from>
      <xdr:col>13</xdr:col>
      <xdr:colOff>39051</xdr:colOff>
      <xdr:row>16</xdr:row>
      <xdr:rowOff>141753</xdr:rowOff>
    </xdr:from>
    <xdr:to>
      <xdr:col>18</xdr:col>
      <xdr:colOff>686556</xdr:colOff>
      <xdr:row>18</xdr:row>
      <xdr:rowOff>18980</xdr:rowOff>
    </xdr:to>
    <xdr:sp macro="[1]!PRODUITS_1" textlink="">
      <xdr:nvSpPr>
        <xdr:cNvPr id="62" name="Rectangle à coins arrondis 2">
          <a:extLst>
            <a:ext uri="{FF2B5EF4-FFF2-40B4-BE49-F238E27FC236}">
              <a16:creationId xmlns:a16="http://schemas.microsoft.com/office/drawing/2014/main" id="{B5E5A741-EF1F-4B6A-94EF-54BB32C5464A}"/>
            </a:ext>
          </a:extLst>
        </xdr:cNvPr>
        <xdr:cNvSpPr/>
      </xdr:nvSpPr>
      <xdr:spPr>
        <a:xfrm>
          <a:off x="8392476" y="3189753"/>
          <a:ext cx="4505130" cy="258227"/>
        </a:xfrm>
        <a:prstGeom prst="roundRect">
          <a:avLst/>
        </a:prstGeom>
      </xdr:spPr>
      <xdr:style>
        <a:lnRef idx="0">
          <a:schemeClr val="accent2"/>
        </a:lnRef>
        <a:fillRef idx="3">
          <a:schemeClr val="accent2"/>
        </a:fillRef>
        <a:effectRef idx="3">
          <a:schemeClr val="accent2"/>
        </a:effectRef>
        <a:fontRef idx="minor">
          <a:schemeClr val="lt1"/>
        </a:fontRef>
      </xdr:style>
      <xdr:txBody>
        <a:bodyPr vertOverflow="clip" horzOverflow="clip" rtlCol="0" anchor="ctr"/>
        <a:lstStyle/>
        <a:p>
          <a:pPr algn="ctr"/>
          <a:r>
            <a:rPr lang="en-US" sz="1000" b="1">
              <a:ln>
                <a:noFill/>
              </a:ln>
              <a:solidFill>
                <a:schemeClr val="bg1"/>
              </a:solidFill>
              <a:latin typeface="Cambria" panose="02040503050406030204" pitchFamily="18" charset="0"/>
              <a:ea typeface="Cambria" panose="02040503050406030204" pitchFamily="18" charset="0"/>
            </a:rPr>
            <a:t>DETAIL DES PRODUITS 1</a:t>
          </a:r>
        </a:p>
      </xdr:txBody>
    </xdr:sp>
    <xdr:clientData/>
  </xdr:twoCellAnchor>
  <xdr:twoCellAnchor>
    <xdr:from>
      <xdr:col>13</xdr:col>
      <xdr:colOff>39051</xdr:colOff>
      <xdr:row>19</xdr:row>
      <xdr:rowOff>57269</xdr:rowOff>
    </xdr:from>
    <xdr:to>
      <xdr:col>18</xdr:col>
      <xdr:colOff>686556</xdr:colOff>
      <xdr:row>20</xdr:row>
      <xdr:rowOff>115155</xdr:rowOff>
    </xdr:to>
    <xdr:sp macro="[1]!PRODUITS_2" textlink="">
      <xdr:nvSpPr>
        <xdr:cNvPr id="63" name="Rectangle à coins arrondis 2">
          <a:extLst>
            <a:ext uri="{FF2B5EF4-FFF2-40B4-BE49-F238E27FC236}">
              <a16:creationId xmlns:a16="http://schemas.microsoft.com/office/drawing/2014/main" id="{1B587680-D1A6-4338-9C8C-4F665D87104B}"/>
            </a:ext>
          </a:extLst>
        </xdr:cNvPr>
        <xdr:cNvSpPr/>
      </xdr:nvSpPr>
      <xdr:spPr>
        <a:xfrm>
          <a:off x="8392476" y="3676769"/>
          <a:ext cx="4505130" cy="248386"/>
        </a:xfrm>
        <a:prstGeom prst="roundRect">
          <a:avLst/>
        </a:prstGeom>
      </xdr:spPr>
      <xdr:style>
        <a:lnRef idx="0">
          <a:schemeClr val="accent2"/>
        </a:lnRef>
        <a:fillRef idx="3">
          <a:schemeClr val="accent2"/>
        </a:fillRef>
        <a:effectRef idx="3">
          <a:schemeClr val="accent2"/>
        </a:effectRef>
        <a:fontRef idx="minor">
          <a:schemeClr val="lt1"/>
        </a:fontRef>
      </xdr:style>
      <xdr:txBody>
        <a:bodyPr vertOverflow="clip" horzOverflow="clip" rtlCol="0" anchor="ctr"/>
        <a:lstStyle/>
        <a:p>
          <a:pPr algn="ctr"/>
          <a:r>
            <a:rPr lang="en-US" sz="1000" b="1">
              <a:ln>
                <a:noFill/>
              </a:ln>
              <a:solidFill>
                <a:schemeClr val="bg1"/>
              </a:solidFill>
              <a:latin typeface="Cambria" panose="02040503050406030204" pitchFamily="18" charset="0"/>
              <a:ea typeface="Cambria" panose="02040503050406030204" pitchFamily="18" charset="0"/>
            </a:rPr>
            <a:t>DETAIL DES PRODUITS 2</a:t>
          </a:r>
        </a:p>
      </xdr:txBody>
    </xdr:sp>
    <xdr:clientData/>
  </xdr:twoCellAnchor>
  <xdr:twoCellAnchor>
    <xdr:from>
      <xdr:col>13</xdr:col>
      <xdr:colOff>39051</xdr:colOff>
      <xdr:row>21</xdr:row>
      <xdr:rowOff>162969</xdr:rowOff>
    </xdr:from>
    <xdr:to>
      <xdr:col>18</xdr:col>
      <xdr:colOff>686556</xdr:colOff>
      <xdr:row>23</xdr:row>
      <xdr:rowOff>30671</xdr:rowOff>
    </xdr:to>
    <xdr:sp macro="[1]!SUPPL3_TVA" textlink="">
      <xdr:nvSpPr>
        <xdr:cNvPr id="64" name="Rectangle à coins arrondis 2">
          <a:extLst>
            <a:ext uri="{FF2B5EF4-FFF2-40B4-BE49-F238E27FC236}">
              <a16:creationId xmlns:a16="http://schemas.microsoft.com/office/drawing/2014/main" id="{FE6DE813-719B-4C22-9D89-3634974E0D62}"/>
            </a:ext>
          </a:extLst>
        </xdr:cNvPr>
        <xdr:cNvSpPr/>
      </xdr:nvSpPr>
      <xdr:spPr>
        <a:xfrm>
          <a:off x="8392476" y="4163469"/>
          <a:ext cx="4505130" cy="248702"/>
        </a:xfrm>
        <a:prstGeom prst="roundRect">
          <a:avLst/>
        </a:prstGeom>
      </xdr:spPr>
      <xdr:style>
        <a:lnRef idx="0">
          <a:schemeClr val="accent2"/>
        </a:lnRef>
        <a:fillRef idx="3">
          <a:schemeClr val="accent2"/>
        </a:fillRef>
        <a:effectRef idx="3">
          <a:schemeClr val="accent2"/>
        </a:effectRef>
        <a:fontRef idx="minor">
          <a:schemeClr val="lt1"/>
        </a:fontRef>
      </xdr:style>
      <xdr:txBody>
        <a:bodyPr vertOverflow="clip" horzOverflow="clip" rtlCol="0" anchor="ctr"/>
        <a:lstStyle/>
        <a:p>
          <a:pPr algn="ctr"/>
          <a:r>
            <a:rPr lang="en-US" sz="1000" b="1">
              <a:ln>
                <a:noFill/>
              </a:ln>
              <a:solidFill>
                <a:schemeClr val="bg1"/>
              </a:solidFill>
              <a:latin typeface="Cambria" panose="02040503050406030204" pitchFamily="18" charset="0"/>
              <a:ea typeface="Cambria" panose="02040503050406030204" pitchFamily="18" charset="0"/>
            </a:rPr>
            <a:t>TVA</a:t>
          </a:r>
        </a:p>
      </xdr:txBody>
    </xdr:sp>
    <xdr:clientData/>
  </xdr:twoCellAnchor>
  <xdr:twoCellAnchor>
    <xdr:from>
      <xdr:col>13</xdr:col>
      <xdr:colOff>39051</xdr:colOff>
      <xdr:row>24</xdr:row>
      <xdr:rowOff>78486</xdr:rowOff>
    </xdr:from>
    <xdr:to>
      <xdr:col>18</xdr:col>
      <xdr:colOff>686556</xdr:colOff>
      <xdr:row>25</xdr:row>
      <xdr:rowOff>136370</xdr:rowOff>
    </xdr:to>
    <xdr:sp macro="[1]!SUPPL4_STAT_UEMOA" textlink="">
      <xdr:nvSpPr>
        <xdr:cNvPr id="65" name="Rectangle à coins arrondis 2">
          <a:extLst>
            <a:ext uri="{FF2B5EF4-FFF2-40B4-BE49-F238E27FC236}">
              <a16:creationId xmlns:a16="http://schemas.microsoft.com/office/drawing/2014/main" id="{32CA6901-099D-43B9-996D-8F5302559FB4}"/>
            </a:ext>
          </a:extLst>
        </xdr:cNvPr>
        <xdr:cNvSpPr/>
      </xdr:nvSpPr>
      <xdr:spPr>
        <a:xfrm>
          <a:off x="8392476" y="4650486"/>
          <a:ext cx="4505130" cy="248384"/>
        </a:xfrm>
        <a:prstGeom prst="roundRect">
          <a:avLst/>
        </a:prstGeom>
      </xdr:spPr>
      <xdr:style>
        <a:lnRef idx="0">
          <a:schemeClr val="accent2"/>
        </a:lnRef>
        <a:fillRef idx="3">
          <a:schemeClr val="accent2"/>
        </a:fillRef>
        <a:effectRef idx="3">
          <a:schemeClr val="accent2"/>
        </a:effectRef>
        <a:fontRef idx="minor">
          <a:schemeClr val="lt1"/>
        </a:fontRef>
      </xdr:style>
      <xdr:txBody>
        <a:bodyPr vertOverflow="clip" horzOverflow="clip" rtlCol="0" anchor="ctr"/>
        <a:lstStyle/>
        <a:p>
          <a:pPr algn="ctr"/>
          <a:r>
            <a:rPr lang="en-US" sz="1000" b="1">
              <a:ln>
                <a:noFill/>
              </a:ln>
              <a:solidFill>
                <a:schemeClr val="bg1"/>
              </a:solidFill>
              <a:latin typeface="Cambria" panose="02040503050406030204" pitchFamily="18" charset="0"/>
              <a:ea typeface="Cambria" panose="02040503050406030204" pitchFamily="18" charset="0"/>
            </a:rPr>
            <a:t>ELEMENTS STATISTIQUES UEMOA</a:t>
          </a:r>
        </a:p>
      </xdr:txBody>
    </xdr:sp>
    <xdr:clientData/>
  </xdr:twoCellAnchor>
  <xdr:twoCellAnchor>
    <xdr:from>
      <xdr:col>13</xdr:col>
      <xdr:colOff>39051</xdr:colOff>
      <xdr:row>26</xdr:row>
      <xdr:rowOff>174660</xdr:rowOff>
    </xdr:from>
    <xdr:to>
      <xdr:col>18</xdr:col>
      <xdr:colOff>686556</xdr:colOff>
      <xdr:row>28</xdr:row>
      <xdr:rowOff>53793</xdr:rowOff>
    </xdr:to>
    <xdr:sp macro="[1]!SUPPL5_IMMO_AMORT" textlink="">
      <xdr:nvSpPr>
        <xdr:cNvPr id="66" name="Rectangle à coins arrondis 2">
          <a:extLst>
            <a:ext uri="{FF2B5EF4-FFF2-40B4-BE49-F238E27FC236}">
              <a16:creationId xmlns:a16="http://schemas.microsoft.com/office/drawing/2014/main" id="{D4C73ADA-9456-4EF3-817E-0C5EF8B15573}"/>
            </a:ext>
          </a:extLst>
        </xdr:cNvPr>
        <xdr:cNvSpPr/>
      </xdr:nvSpPr>
      <xdr:spPr>
        <a:xfrm>
          <a:off x="8392476" y="5127660"/>
          <a:ext cx="4505130" cy="260133"/>
        </a:xfrm>
        <a:prstGeom prst="roundRect">
          <a:avLst/>
        </a:prstGeom>
      </xdr:spPr>
      <xdr:style>
        <a:lnRef idx="0">
          <a:schemeClr val="accent2"/>
        </a:lnRef>
        <a:fillRef idx="3">
          <a:schemeClr val="accent2"/>
        </a:fillRef>
        <a:effectRef idx="3">
          <a:schemeClr val="accent2"/>
        </a:effectRef>
        <a:fontRef idx="minor">
          <a:schemeClr val="lt1"/>
        </a:fontRef>
      </xdr:style>
      <xdr:txBody>
        <a:bodyPr vertOverflow="clip" horzOverflow="clip" rtlCol="0" anchor="ctr"/>
        <a:lstStyle/>
        <a:p>
          <a:pPr algn="ctr"/>
          <a:r>
            <a:rPr lang="en-US" sz="1000" b="1">
              <a:ln>
                <a:noFill/>
              </a:ln>
              <a:solidFill>
                <a:schemeClr val="bg1"/>
              </a:solidFill>
              <a:latin typeface="Cambria" panose="02040503050406030204" pitchFamily="18" charset="0"/>
              <a:ea typeface="Cambria" panose="02040503050406030204" pitchFamily="18" charset="0"/>
            </a:rPr>
            <a:t>TABLEAU DES IMMOBILISATIONS ET DES AMORTISSEMENTS </a:t>
          </a:r>
        </a:p>
      </xdr:txBody>
    </xdr:sp>
    <xdr:clientData/>
  </xdr:twoCellAnchor>
  <xdr:twoCellAnchor>
    <xdr:from>
      <xdr:col>13</xdr:col>
      <xdr:colOff>39051</xdr:colOff>
      <xdr:row>29</xdr:row>
      <xdr:rowOff>92082</xdr:rowOff>
    </xdr:from>
    <xdr:to>
      <xdr:col>18</xdr:col>
      <xdr:colOff>686556</xdr:colOff>
      <xdr:row>30</xdr:row>
      <xdr:rowOff>149967</xdr:rowOff>
    </xdr:to>
    <xdr:sp macro="[1]!SUPPL6_FRAIS_ACCES_ACHATS" textlink="">
      <xdr:nvSpPr>
        <xdr:cNvPr id="67" name="Rectangle à coins arrondis 2">
          <a:extLst>
            <a:ext uri="{FF2B5EF4-FFF2-40B4-BE49-F238E27FC236}">
              <a16:creationId xmlns:a16="http://schemas.microsoft.com/office/drawing/2014/main" id="{B5FC9536-A896-4A44-8493-08F5272D0327}"/>
            </a:ext>
          </a:extLst>
        </xdr:cNvPr>
        <xdr:cNvSpPr/>
      </xdr:nvSpPr>
      <xdr:spPr>
        <a:xfrm>
          <a:off x="8392476" y="5616582"/>
          <a:ext cx="4505130" cy="248385"/>
        </a:xfrm>
        <a:prstGeom prst="roundRect">
          <a:avLst/>
        </a:prstGeom>
      </xdr:spPr>
      <xdr:style>
        <a:lnRef idx="0">
          <a:schemeClr val="accent2"/>
        </a:lnRef>
        <a:fillRef idx="3">
          <a:schemeClr val="accent2"/>
        </a:fillRef>
        <a:effectRef idx="3">
          <a:schemeClr val="accent2"/>
        </a:effectRef>
        <a:fontRef idx="minor">
          <a:schemeClr val="lt1"/>
        </a:fontRef>
      </xdr:style>
      <xdr:txBody>
        <a:bodyPr vertOverflow="clip" horzOverflow="clip" rtlCol="0" anchor="ctr"/>
        <a:lstStyle/>
        <a:p>
          <a:pPr algn="ctr"/>
          <a:r>
            <a:rPr lang="en-US" sz="1000" b="1">
              <a:ln>
                <a:noFill/>
              </a:ln>
              <a:solidFill>
                <a:schemeClr val="bg1"/>
              </a:solidFill>
              <a:latin typeface="Cambria" panose="02040503050406030204" pitchFamily="18" charset="0"/>
              <a:ea typeface="Cambria" panose="02040503050406030204" pitchFamily="18" charset="0"/>
            </a:rPr>
            <a:t>DETAIL DES FRAIS ACCESSOIRES SUR ACHATS</a:t>
          </a:r>
        </a:p>
      </xdr:txBody>
    </xdr:sp>
    <xdr:clientData/>
  </xdr:twoCellAnchor>
  <xdr:twoCellAnchor>
    <xdr:from>
      <xdr:col>13</xdr:col>
      <xdr:colOff>39051</xdr:colOff>
      <xdr:row>32</xdr:row>
      <xdr:rowOff>17124</xdr:rowOff>
    </xdr:from>
    <xdr:to>
      <xdr:col>18</xdr:col>
      <xdr:colOff>686556</xdr:colOff>
      <xdr:row>33</xdr:row>
      <xdr:rowOff>65484</xdr:rowOff>
    </xdr:to>
    <xdr:sp macro="[1]!SUPPL7_AVANTA_NATURE" textlink="">
      <xdr:nvSpPr>
        <xdr:cNvPr id="68" name="Rectangle à coins arrondis 2">
          <a:extLst>
            <a:ext uri="{FF2B5EF4-FFF2-40B4-BE49-F238E27FC236}">
              <a16:creationId xmlns:a16="http://schemas.microsoft.com/office/drawing/2014/main" id="{E48257B7-82D5-4F46-8E8D-478A17FD0AB8}"/>
            </a:ext>
          </a:extLst>
        </xdr:cNvPr>
        <xdr:cNvSpPr/>
      </xdr:nvSpPr>
      <xdr:spPr>
        <a:xfrm>
          <a:off x="8392476" y="6113124"/>
          <a:ext cx="4505130" cy="238860"/>
        </a:xfrm>
        <a:prstGeom prst="roundRect">
          <a:avLst/>
        </a:prstGeom>
      </xdr:spPr>
      <xdr:style>
        <a:lnRef idx="0">
          <a:schemeClr val="accent2"/>
        </a:lnRef>
        <a:fillRef idx="3">
          <a:schemeClr val="accent2"/>
        </a:fillRef>
        <a:effectRef idx="3">
          <a:schemeClr val="accent2"/>
        </a:effectRef>
        <a:fontRef idx="minor">
          <a:schemeClr val="lt1"/>
        </a:fontRef>
      </xdr:style>
      <xdr:txBody>
        <a:bodyPr vertOverflow="clip" horzOverflow="clip" rtlCol="0" anchor="ctr"/>
        <a:lstStyle/>
        <a:p>
          <a:pPr algn="ctr"/>
          <a:r>
            <a:rPr lang="en-US" sz="1000" b="1">
              <a:ln>
                <a:noFill/>
              </a:ln>
              <a:solidFill>
                <a:schemeClr val="bg1"/>
              </a:solidFill>
              <a:latin typeface="Cambria" panose="02040503050406030204" pitchFamily="18" charset="0"/>
              <a:ea typeface="Cambria" panose="02040503050406030204" pitchFamily="18" charset="0"/>
            </a:rPr>
            <a:t>DETAIL DES AVANTAGES EN NATURE  ALLOUES  AU PERSONNEL</a:t>
          </a:r>
        </a:p>
      </xdr:txBody>
    </xdr:sp>
    <xdr:clientData/>
  </xdr:twoCellAnchor>
  <xdr:twoCellAnchor>
    <xdr:from>
      <xdr:col>13</xdr:col>
      <xdr:colOff>39051</xdr:colOff>
      <xdr:row>34</xdr:row>
      <xdr:rowOff>113299</xdr:rowOff>
    </xdr:from>
    <xdr:to>
      <xdr:col>18</xdr:col>
      <xdr:colOff>686556</xdr:colOff>
      <xdr:row>35</xdr:row>
      <xdr:rowOff>171183</xdr:rowOff>
    </xdr:to>
    <xdr:sp macro="[1]!SUPPL8_CREANCES" textlink="">
      <xdr:nvSpPr>
        <xdr:cNvPr id="69" name="Rectangle à coins arrondis 2">
          <a:extLst>
            <a:ext uri="{FF2B5EF4-FFF2-40B4-BE49-F238E27FC236}">
              <a16:creationId xmlns:a16="http://schemas.microsoft.com/office/drawing/2014/main" id="{0FADEBBF-6F90-4272-BC4C-3037F7FEF88A}"/>
            </a:ext>
          </a:extLst>
        </xdr:cNvPr>
        <xdr:cNvSpPr/>
      </xdr:nvSpPr>
      <xdr:spPr>
        <a:xfrm>
          <a:off x="8392476" y="6590299"/>
          <a:ext cx="4505130" cy="248384"/>
        </a:xfrm>
        <a:prstGeom prst="roundRect">
          <a:avLst/>
        </a:prstGeom>
      </xdr:spPr>
      <xdr:style>
        <a:lnRef idx="0">
          <a:schemeClr val="accent2"/>
        </a:lnRef>
        <a:fillRef idx="3">
          <a:schemeClr val="accent2"/>
        </a:fillRef>
        <a:effectRef idx="3">
          <a:schemeClr val="accent2"/>
        </a:effectRef>
        <a:fontRef idx="minor">
          <a:schemeClr val="lt1"/>
        </a:fontRef>
      </xdr:style>
      <xdr:txBody>
        <a:bodyPr vertOverflow="clip" horzOverflow="clip" rtlCol="0" anchor="ctr"/>
        <a:lstStyle/>
        <a:p>
          <a:pPr algn="ctr"/>
          <a:r>
            <a:rPr lang="en-US" sz="1000" b="1">
              <a:ln>
                <a:noFill/>
              </a:ln>
              <a:solidFill>
                <a:schemeClr val="bg1"/>
              </a:solidFill>
              <a:latin typeface="Cambria" panose="02040503050406030204" pitchFamily="18" charset="0"/>
              <a:ea typeface="Cambria" panose="02040503050406030204" pitchFamily="18" charset="0"/>
            </a:rPr>
            <a:t>CREANCES DE L'EXERCICE</a:t>
          </a:r>
        </a:p>
      </xdr:txBody>
    </xdr:sp>
    <xdr:clientData/>
  </xdr:twoCellAnchor>
  <xdr:twoCellAnchor>
    <xdr:from>
      <xdr:col>13</xdr:col>
      <xdr:colOff>39051</xdr:colOff>
      <xdr:row>37</xdr:row>
      <xdr:rowOff>28815</xdr:rowOff>
    </xdr:from>
    <xdr:to>
      <xdr:col>18</xdr:col>
      <xdr:colOff>686556</xdr:colOff>
      <xdr:row>40</xdr:row>
      <xdr:rowOff>1512</xdr:rowOff>
    </xdr:to>
    <xdr:sp macro="[1]!SUPPL9_DEB_MOB_MAT_LOG" textlink="">
      <xdr:nvSpPr>
        <xdr:cNvPr id="70" name="Rectangle à coins arrondis 2">
          <a:extLst>
            <a:ext uri="{FF2B5EF4-FFF2-40B4-BE49-F238E27FC236}">
              <a16:creationId xmlns:a16="http://schemas.microsoft.com/office/drawing/2014/main" id="{FF3D013C-D57B-41CB-BECE-65C3608773B8}"/>
            </a:ext>
          </a:extLst>
        </xdr:cNvPr>
        <xdr:cNvSpPr/>
      </xdr:nvSpPr>
      <xdr:spPr>
        <a:xfrm>
          <a:off x="8392476" y="7077315"/>
          <a:ext cx="4505130" cy="544197"/>
        </a:xfrm>
        <a:prstGeom prst="roundRect">
          <a:avLst/>
        </a:prstGeom>
      </xdr:spPr>
      <xdr:style>
        <a:lnRef idx="0">
          <a:schemeClr val="accent2"/>
        </a:lnRef>
        <a:fillRef idx="3">
          <a:schemeClr val="accent2"/>
        </a:fillRef>
        <a:effectRef idx="3">
          <a:schemeClr val="accent2"/>
        </a:effectRef>
        <a:fontRef idx="minor">
          <a:schemeClr val="lt1"/>
        </a:fontRef>
      </xdr:style>
      <xdr:txBody>
        <a:bodyPr vertOverflow="clip" horzOverflow="clip" rtlCol="0" anchor="ctr"/>
        <a:lstStyle/>
        <a:p>
          <a:pPr algn="ctr"/>
          <a:r>
            <a:rPr lang="en-US" sz="1000" b="1">
              <a:ln>
                <a:noFill/>
              </a:ln>
              <a:solidFill>
                <a:schemeClr val="bg1"/>
              </a:solidFill>
              <a:latin typeface="Cambria" panose="02040503050406030204" pitchFamily="18" charset="0"/>
              <a:ea typeface="Cambria" panose="02040503050406030204" pitchFamily="18" charset="0"/>
            </a:rPr>
            <a:t>DEBITEURS DIVERS-MOBILIERS ET MATERIELS DE LOGEMENT-VEHICULES AFFECTES AU PERSONNEL</a:t>
          </a:r>
        </a:p>
      </xdr:txBody>
    </xdr:sp>
    <xdr:clientData/>
  </xdr:twoCellAnchor>
  <xdr:twoCellAnchor>
    <xdr:from>
      <xdr:col>13</xdr:col>
      <xdr:colOff>39051</xdr:colOff>
      <xdr:row>41</xdr:row>
      <xdr:rowOff>49326</xdr:rowOff>
    </xdr:from>
    <xdr:to>
      <xdr:col>18</xdr:col>
      <xdr:colOff>686556</xdr:colOff>
      <xdr:row>42</xdr:row>
      <xdr:rowOff>97687</xdr:rowOff>
    </xdr:to>
    <xdr:sp macro="[1]!SUPPL10_DETTES" textlink="">
      <xdr:nvSpPr>
        <xdr:cNvPr id="71" name="Rectangle à coins arrondis 2">
          <a:extLst>
            <a:ext uri="{FF2B5EF4-FFF2-40B4-BE49-F238E27FC236}">
              <a16:creationId xmlns:a16="http://schemas.microsoft.com/office/drawing/2014/main" id="{289429AE-3A1E-4705-AED0-FE63D8DB51CF}"/>
            </a:ext>
          </a:extLst>
        </xdr:cNvPr>
        <xdr:cNvSpPr/>
      </xdr:nvSpPr>
      <xdr:spPr>
        <a:xfrm>
          <a:off x="8392476" y="7859826"/>
          <a:ext cx="4505130" cy="238861"/>
        </a:xfrm>
        <a:prstGeom prst="roundRect">
          <a:avLst/>
        </a:prstGeom>
      </xdr:spPr>
      <xdr:style>
        <a:lnRef idx="0">
          <a:schemeClr val="accent2"/>
        </a:lnRef>
        <a:fillRef idx="3">
          <a:schemeClr val="accent2"/>
        </a:fillRef>
        <a:effectRef idx="3">
          <a:schemeClr val="accent2"/>
        </a:effectRef>
        <a:fontRef idx="minor">
          <a:schemeClr val="lt1"/>
        </a:fontRef>
      </xdr:style>
      <xdr:txBody>
        <a:bodyPr vertOverflow="clip" horzOverflow="clip" rtlCol="0" anchor="ctr"/>
        <a:lstStyle/>
        <a:p>
          <a:pPr algn="ctr"/>
          <a:r>
            <a:rPr lang="en-US" sz="1000" b="1">
              <a:ln>
                <a:noFill/>
              </a:ln>
              <a:solidFill>
                <a:schemeClr val="bg1"/>
              </a:solidFill>
              <a:latin typeface="Cambria" panose="02040503050406030204" pitchFamily="18" charset="0"/>
              <a:ea typeface="Cambria" panose="02040503050406030204" pitchFamily="18" charset="0"/>
            </a:rPr>
            <a:t>DETTES  DE L'EXERCICE</a:t>
          </a:r>
        </a:p>
      </xdr:txBody>
    </xdr:sp>
    <xdr:clientData/>
  </xdr:twoCellAnchor>
  <xdr:twoCellAnchor>
    <xdr:from>
      <xdr:col>13</xdr:col>
      <xdr:colOff>39051</xdr:colOff>
      <xdr:row>43</xdr:row>
      <xdr:rowOff>145501</xdr:rowOff>
    </xdr:from>
    <xdr:to>
      <xdr:col>18</xdr:col>
      <xdr:colOff>686556</xdr:colOff>
      <xdr:row>45</xdr:row>
      <xdr:rowOff>22728</xdr:rowOff>
    </xdr:to>
    <xdr:sp macro="[1]!SUPPL11_CRED_DIV_IMPOT" textlink="">
      <xdr:nvSpPr>
        <xdr:cNvPr id="72" name="Rectangle à coins arrondis 2">
          <a:extLst>
            <a:ext uri="{FF2B5EF4-FFF2-40B4-BE49-F238E27FC236}">
              <a16:creationId xmlns:a16="http://schemas.microsoft.com/office/drawing/2014/main" id="{45D5ACD2-4770-453F-A470-3EFF83B34C45}"/>
            </a:ext>
          </a:extLst>
        </xdr:cNvPr>
        <xdr:cNvSpPr/>
      </xdr:nvSpPr>
      <xdr:spPr>
        <a:xfrm>
          <a:off x="8392476" y="8337001"/>
          <a:ext cx="4505130" cy="258227"/>
        </a:xfrm>
        <a:prstGeom prst="roundRect">
          <a:avLst/>
        </a:prstGeom>
      </xdr:spPr>
      <xdr:style>
        <a:lnRef idx="0">
          <a:schemeClr val="accent2"/>
        </a:lnRef>
        <a:fillRef idx="3">
          <a:schemeClr val="accent2"/>
        </a:fillRef>
        <a:effectRef idx="3">
          <a:schemeClr val="accent2"/>
        </a:effectRef>
        <a:fontRef idx="minor">
          <a:schemeClr val="lt1"/>
        </a:fontRef>
      </xdr:style>
      <xdr:txBody>
        <a:bodyPr vertOverflow="clip" horzOverflow="clip" rtlCol="0" anchor="ctr"/>
        <a:lstStyle/>
        <a:p>
          <a:pPr algn="ctr"/>
          <a:r>
            <a:rPr lang="en-US" sz="1000" b="1">
              <a:ln>
                <a:noFill/>
              </a:ln>
              <a:solidFill>
                <a:schemeClr val="bg1"/>
              </a:solidFill>
              <a:latin typeface="Cambria" panose="02040503050406030204" pitchFamily="18" charset="0"/>
              <a:ea typeface="Cambria" panose="02040503050406030204" pitchFamily="18" charset="0"/>
            </a:rPr>
            <a:t>CREDITEURS DIVERS- CHARGES D'IMPOTS ET TAXES</a:t>
          </a:r>
        </a:p>
      </xdr:txBody>
    </xdr:sp>
    <xdr:clientData/>
  </xdr:twoCellAnchor>
  <xdr:twoCellAnchor>
    <xdr:from>
      <xdr:col>13</xdr:col>
      <xdr:colOff>37146</xdr:colOff>
      <xdr:row>46</xdr:row>
      <xdr:rowOff>62923</xdr:rowOff>
    </xdr:from>
    <xdr:to>
      <xdr:col>18</xdr:col>
      <xdr:colOff>688461</xdr:colOff>
      <xdr:row>47</xdr:row>
      <xdr:rowOff>132237</xdr:rowOff>
    </xdr:to>
    <xdr:sp macro="[1]!SUPPL12_ETAT_ANNUEL_SALAIRES" textlink="">
      <xdr:nvSpPr>
        <xdr:cNvPr id="73" name="Rectangle à coins arrondis 2">
          <a:extLst>
            <a:ext uri="{FF2B5EF4-FFF2-40B4-BE49-F238E27FC236}">
              <a16:creationId xmlns:a16="http://schemas.microsoft.com/office/drawing/2014/main" id="{6444C3C2-B2BB-478E-92A0-FFCF96631B31}"/>
            </a:ext>
          </a:extLst>
        </xdr:cNvPr>
        <xdr:cNvSpPr/>
      </xdr:nvSpPr>
      <xdr:spPr>
        <a:xfrm>
          <a:off x="8390571" y="8825923"/>
          <a:ext cx="4508940" cy="259814"/>
        </a:xfrm>
        <a:prstGeom prst="roundRect">
          <a:avLst/>
        </a:prstGeom>
      </xdr:spPr>
      <xdr:style>
        <a:lnRef idx="0">
          <a:schemeClr val="accent2"/>
        </a:lnRef>
        <a:fillRef idx="3">
          <a:schemeClr val="accent2"/>
        </a:fillRef>
        <a:effectRef idx="3">
          <a:schemeClr val="accent2"/>
        </a:effectRef>
        <a:fontRef idx="minor">
          <a:schemeClr val="lt1"/>
        </a:fontRef>
      </xdr:style>
      <xdr:txBody>
        <a:bodyPr vertOverflow="clip" horzOverflow="clip" rtlCol="0" anchor="ctr"/>
        <a:lstStyle/>
        <a:p>
          <a:pPr algn="ctr"/>
          <a:r>
            <a:rPr lang="en-US" sz="1000" b="1">
              <a:ln>
                <a:noFill/>
              </a:ln>
              <a:solidFill>
                <a:schemeClr val="bg1"/>
              </a:solidFill>
              <a:latin typeface="Cambria" panose="02040503050406030204" pitchFamily="18" charset="0"/>
              <a:ea typeface="Cambria" panose="02040503050406030204" pitchFamily="18" charset="0"/>
            </a:rPr>
            <a:t>ETAT ANNUEL DES SALAIRES</a:t>
          </a:r>
        </a:p>
      </xdr:txBody>
    </xdr:sp>
    <xdr:clientData/>
  </xdr:twoCellAnchor>
  <xdr:twoCellAnchor>
    <xdr:from>
      <xdr:col>13</xdr:col>
      <xdr:colOff>36193</xdr:colOff>
      <xdr:row>62</xdr:row>
      <xdr:rowOff>55917</xdr:rowOff>
    </xdr:from>
    <xdr:to>
      <xdr:col>18</xdr:col>
      <xdr:colOff>689413</xdr:colOff>
      <xdr:row>63</xdr:row>
      <xdr:rowOff>132851</xdr:rowOff>
    </xdr:to>
    <xdr:sp macro="[1]!SUPPL17_PRINC_DONATEURS" textlink="">
      <xdr:nvSpPr>
        <xdr:cNvPr id="74" name="Rectangle à coins arrondis 2">
          <a:extLst>
            <a:ext uri="{FF2B5EF4-FFF2-40B4-BE49-F238E27FC236}">
              <a16:creationId xmlns:a16="http://schemas.microsoft.com/office/drawing/2014/main" id="{FE275601-50B0-4984-A542-DFAB35305A2B}"/>
            </a:ext>
          </a:extLst>
        </xdr:cNvPr>
        <xdr:cNvSpPr/>
      </xdr:nvSpPr>
      <xdr:spPr>
        <a:xfrm>
          <a:off x="8389618" y="11866917"/>
          <a:ext cx="4510845" cy="267434"/>
        </a:xfrm>
        <a:prstGeom prst="roundRect">
          <a:avLst/>
        </a:prstGeom>
      </xdr:spPr>
      <xdr:style>
        <a:lnRef idx="0">
          <a:schemeClr val="accent2"/>
        </a:lnRef>
        <a:fillRef idx="3">
          <a:schemeClr val="accent2"/>
        </a:fillRef>
        <a:effectRef idx="3">
          <a:schemeClr val="accent2"/>
        </a:effectRef>
        <a:fontRef idx="minor">
          <a:schemeClr val="lt1"/>
        </a:fontRef>
      </xdr:style>
      <xdr:txBody>
        <a:bodyPr vertOverflow="clip" horzOverflow="clip" rtlCol="0" anchor="ctr"/>
        <a:lstStyle/>
        <a:p>
          <a:pPr algn="ctr"/>
          <a:r>
            <a:rPr lang="en-US" sz="1000" b="1">
              <a:ln>
                <a:noFill/>
              </a:ln>
              <a:solidFill>
                <a:schemeClr val="bg1"/>
              </a:solidFill>
              <a:latin typeface="Cambria" panose="02040503050406030204" pitchFamily="18" charset="0"/>
              <a:ea typeface="Cambria" panose="02040503050406030204" pitchFamily="18" charset="0"/>
            </a:rPr>
            <a:t>LISTE DES PRINCIPAUX DONATEURS ET/OU BAILLEURS DE FONDS</a:t>
          </a:r>
        </a:p>
      </xdr:txBody>
    </xdr:sp>
    <xdr:clientData/>
  </xdr:twoCellAnchor>
  <xdr:twoCellAnchor>
    <xdr:from>
      <xdr:col>13</xdr:col>
      <xdr:colOff>37146</xdr:colOff>
      <xdr:row>57</xdr:row>
      <xdr:rowOff>28986</xdr:rowOff>
    </xdr:from>
    <xdr:to>
      <xdr:col>18</xdr:col>
      <xdr:colOff>688461</xdr:colOff>
      <xdr:row>58</xdr:row>
      <xdr:rowOff>94491</xdr:rowOff>
    </xdr:to>
    <xdr:sp macro="[1]!SUPPL15_PRINC_CLIENTS" textlink="">
      <xdr:nvSpPr>
        <xdr:cNvPr id="75" name="Rectangle à coins arrondis 2">
          <a:extLst>
            <a:ext uri="{FF2B5EF4-FFF2-40B4-BE49-F238E27FC236}">
              <a16:creationId xmlns:a16="http://schemas.microsoft.com/office/drawing/2014/main" id="{00F341E0-C7A1-4998-8A37-540B73CC172E}"/>
            </a:ext>
          </a:extLst>
        </xdr:cNvPr>
        <xdr:cNvSpPr/>
      </xdr:nvSpPr>
      <xdr:spPr>
        <a:xfrm>
          <a:off x="8390571" y="10887486"/>
          <a:ext cx="4508940" cy="256005"/>
        </a:xfrm>
        <a:prstGeom prst="roundRect">
          <a:avLst/>
        </a:prstGeom>
      </xdr:spPr>
      <xdr:style>
        <a:lnRef idx="0">
          <a:schemeClr val="accent2"/>
        </a:lnRef>
        <a:fillRef idx="3">
          <a:schemeClr val="accent2"/>
        </a:fillRef>
        <a:effectRef idx="3">
          <a:schemeClr val="accent2"/>
        </a:effectRef>
        <a:fontRef idx="minor">
          <a:schemeClr val="lt1"/>
        </a:fontRef>
      </xdr:style>
      <xdr:txBody>
        <a:bodyPr vertOverflow="clip" horzOverflow="clip" rtlCol="0" anchor="ctr"/>
        <a:lstStyle/>
        <a:p>
          <a:pPr algn="ctr"/>
          <a:r>
            <a:rPr lang="en-US" sz="1000" b="1">
              <a:ln>
                <a:noFill/>
              </a:ln>
              <a:solidFill>
                <a:schemeClr val="bg1"/>
              </a:solidFill>
              <a:latin typeface="Cambria" panose="02040503050406030204" pitchFamily="18" charset="0"/>
              <a:ea typeface="Cambria" panose="02040503050406030204" pitchFamily="18" charset="0"/>
            </a:rPr>
            <a:t>Liste des principaux clients</a:t>
          </a:r>
        </a:p>
      </xdr:txBody>
    </xdr:sp>
    <xdr:clientData/>
  </xdr:twoCellAnchor>
  <xdr:twoCellAnchor>
    <xdr:from>
      <xdr:col>13</xdr:col>
      <xdr:colOff>37146</xdr:colOff>
      <xdr:row>59</xdr:row>
      <xdr:rowOff>132780</xdr:rowOff>
    </xdr:from>
    <xdr:to>
      <xdr:col>18</xdr:col>
      <xdr:colOff>688461</xdr:colOff>
      <xdr:row>61</xdr:row>
      <xdr:rowOff>17627</xdr:rowOff>
    </xdr:to>
    <xdr:sp macro="[1]!SUPPL16_PRINC_FOURNISSEURS" textlink="">
      <xdr:nvSpPr>
        <xdr:cNvPr id="76" name="Rectangle à coins arrondis 2">
          <a:extLst>
            <a:ext uri="{FF2B5EF4-FFF2-40B4-BE49-F238E27FC236}">
              <a16:creationId xmlns:a16="http://schemas.microsoft.com/office/drawing/2014/main" id="{AD8A8D2E-3967-4A79-A97E-C705F44176F9}"/>
            </a:ext>
          </a:extLst>
        </xdr:cNvPr>
        <xdr:cNvSpPr/>
      </xdr:nvSpPr>
      <xdr:spPr>
        <a:xfrm>
          <a:off x="8390571" y="11372280"/>
          <a:ext cx="4508940" cy="265847"/>
        </a:xfrm>
        <a:prstGeom prst="roundRect">
          <a:avLst/>
        </a:prstGeom>
      </xdr:spPr>
      <xdr:style>
        <a:lnRef idx="0">
          <a:schemeClr val="accent2"/>
        </a:lnRef>
        <a:fillRef idx="3">
          <a:schemeClr val="accent2"/>
        </a:fillRef>
        <a:effectRef idx="3">
          <a:schemeClr val="accent2"/>
        </a:effectRef>
        <a:fontRef idx="minor">
          <a:schemeClr val="lt1"/>
        </a:fontRef>
      </xdr:style>
      <xdr:txBody>
        <a:bodyPr vertOverflow="clip" horzOverflow="clip" rtlCol="0" anchor="ctr"/>
        <a:lstStyle/>
        <a:p>
          <a:pPr algn="ctr"/>
          <a:r>
            <a:rPr lang="en-US" sz="1000" b="1">
              <a:ln>
                <a:noFill/>
              </a:ln>
              <a:solidFill>
                <a:schemeClr val="bg1"/>
              </a:solidFill>
              <a:latin typeface="Cambria" panose="02040503050406030204" pitchFamily="18" charset="0"/>
              <a:ea typeface="Cambria" panose="02040503050406030204" pitchFamily="18" charset="0"/>
            </a:rPr>
            <a:t>Liste des principaux fournisseurs</a:t>
          </a:r>
        </a:p>
      </xdr:txBody>
    </xdr:sp>
    <xdr:clientData/>
  </xdr:twoCellAnchor>
  <xdr:twoCellAnchor>
    <xdr:from>
      <xdr:col>13</xdr:col>
      <xdr:colOff>39051</xdr:colOff>
      <xdr:row>48</xdr:row>
      <xdr:rowOff>170527</xdr:rowOff>
    </xdr:from>
    <xdr:to>
      <xdr:col>18</xdr:col>
      <xdr:colOff>686556</xdr:colOff>
      <xdr:row>51</xdr:row>
      <xdr:rowOff>148938</xdr:rowOff>
    </xdr:to>
    <xdr:sp macro="[1]!SUPPL13_COMM_VACATIONS" textlink="">
      <xdr:nvSpPr>
        <xdr:cNvPr id="77" name="Rectangle à coins arrondis 2">
          <a:extLst>
            <a:ext uri="{FF2B5EF4-FFF2-40B4-BE49-F238E27FC236}">
              <a16:creationId xmlns:a16="http://schemas.microsoft.com/office/drawing/2014/main" id="{860661D5-4DDC-46D3-B833-4B8B1DFBEE42}"/>
            </a:ext>
          </a:extLst>
        </xdr:cNvPr>
        <xdr:cNvSpPr/>
      </xdr:nvSpPr>
      <xdr:spPr>
        <a:xfrm>
          <a:off x="8392476" y="9314527"/>
          <a:ext cx="4505130" cy="549911"/>
        </a:xfrm>
        <a:prstGeom prst="roundRect">
          <a:avLst/>
        </a:prstGeom>
      </xdr:spPr>
      <xdr:style>
        <a:lnRef idx="0">
          <a:schemeClr val="accent2"/>
        </a:lnRef>
        <a:fillRef idx="3">
          <a:schemeClr val="accent2"/>
        </a:fillRef>
        <a:effectRef idx="3">
          <a:schemeClr val="accent2"/>
        </a:effectRef>
        <a:fontRef idx="minor">
          <a:schemeClr val="lt1"/>
        </a:fontRef>
      </xdr:style>
      <xdr:txBody>
        <a:bodyPr vertOverflow="clip" horzOverflow="clip" rtlCol="0" anchor="ctr"/>
        <a:lstStyle/>
        <a:p>
          <a:pPr algn="ctr"/>
          <a:r>
            <a:rPr lang="en-US" sz="1000" b="1">
              <a:ln>
                <a:noFill/>
              </a:ln>
              <a:solidFill>
                <a:schemeClr val="bg1"/>
              </a:solidFill>
              <a:latin typeface="Cambria" panose="02040503050406030204" pitchFamily="18" charset="0"/>
              <a:ea typeface="Cambria" panose="02040503050406030204" pitchFamily="18" charset="0"/>
            </a:rPr>
            <a:t>ETAT ANNUEL des commissions, courtages, ristournes, honoraires, droits d'auteurs et autres rémunérations versées à des tiers</a:t>
          </a:r>
        </a:p>
      </xdr:txBody>
    </xdr:sp>
    <xdr:clientData/>
  </xdr:twoCellAnchor>
  <xdr:twoCellAnchor>
    <xdr:from>
      <xdr:col>13</xdr:col>
      <xdr:colOff>39051</xdr:colOff>
      <xdr:row>53</xdr:row>
      <xdr:rowOff>16095</xdr:rowOff>
    </xdr:from>
    <xdr:to>
      <xdr:col>18</xdr:col>
      <xdr:colOff>686556</xdr:colOff>
      <xdr:row>55</xdr:row>
      <xdr:rowOff>171354</xdr:rowOff>
    </xdr:to>
    <xdr:sp macro="[1]!SUPPL14_LOYERS" textlink="">
      <xdr:nvSpPr>
        <xdr:cNvPr id="78" name="Rectangle à coins arrondis 2">
          <a:extLst>
            <a:ext uri="{FF2B5EF4-FFF2-40B4-BE49-F238E27FC236}">
              <a16:creationId xmlns:a16="http://schemas.microsoft.com/office/drawing/2014/main" id="{A956F0D0-F246-4962-9F3B-E6107BBCF3F4}"/>
            </a:ext>
          </a:extLst>
        </xdr:cNvPr>
        <xdr:cNvSpPr/>
      </xdr:nvSpPr>
      <xdr:spPr>
        <a:xfrm>
          <a:off x="8392476" y="10112595"/>
          <a:ext cx="4505130" cy="536259"/>
        </a:xfrm>
        <a:prstGeom prst="roundRect">
          <a:avLst/>
        </a:prstGeom>
      </xdr:spPr>
      <xdr:style>
        <a:lnRef idx="0">
          <a:schemeClr val="accent2"/>
        </a:lnRef>
        <a:fillRef idx="3">
          <a:schemeClr val="accent2"/>
        </a:fillRef>
        <a:effectRef idx="3">
          <a:schemeClr val="accent2"/>
        </a:effectRef>
        <a:fontRef idx="minor">
          <a:schemeClr val="lt1"/>
        </a:fontRef>
      </xdr:style>
      <xdr:txBody>
        <a:bodyPr vertOverflow="clip" horzOverflow="clip" rtlCol="0" anchor="ctr"/>
        <a:lstStyle/>
        <a:p>
          <a:pPr algn="ctr"/>
          <a:r>
            <a:rPr lang="en-US" sz="1000" b="1">
              <a:ln>
                <a:noFill/>
              </a:ln>
              <a:solidFill>
                <a:schemeClr val="bg1"/>
              </a:solidFill>
              <a:latin typeface="Cambria" panose="02040503050406030204" pitchFamily="18" charset="0"/>
              <a:ea typeface="Cambria" panose="02040503050406030204" pitchFamily="18" charset="0"/>
            </a:rPr>
            <a:t>Relevé détaillé des loyers d'immeubles passés en charges avec indication de l'identité et de l'adresse des bailleurs</a:t>
          </a:r>
        </a:p>
      </xdr:txBody>
    </xdr:sp>
    <xdr:clientData/>
  </xdr:twoCellAnchor>
  <xdr:twoCellAnchor>
    <xdr:from>
      <xdr:col>13</xdr:col>
      <xdr:colOff>39051</xdr:colOff>
      <xdr:row>65</xdr:row>
      <xdr:rowOff>0</xdr:rowOff>
    </xdr:from>
    <xdr:to>
      <xdr:col>18</xdr:col>
      <xdr:colOff>686556</xdr:colOff>
      <xdr:row>67</xdr:row>
      <xdr:rowOff>155259</xdr:rowOff>
    </xdr:to>
    <xdr:sp macro="[1]!SUPPL18_SOM_VERSES_CA" textlink="">
      <xdr:nvSpPr>
        <xdr:cNvPr id="79" name="Rectangle à coins arrondis 2">
          <a:extLst>
            <a:ext uri="{FF2B5EF4-FFF2-40B4-BE49-F238E27FC236}">
              <a16:creationId xmlns:a16="http://schemas.microsoft.com/office/drawing/2014/main" id="{7F6FB076-4C5E-4F80-B6B7-10DEC102399B}"/>
            </a:ext>
          </a:extLst>
        </xdr:cNvPr>
        <xdr:cNvSpPr/>
      </xdr:nvSpPr>
      <xdr:spPr>
        <a:xfrm>
          <a:off x="8392476" y="12382500"/>
          <a:ext cx="4505130" cy="536259"/>
        </a:xfrm>
        <a:prstGeom prst="roundRect">
          <a:avLst/>
        </a:prstGeom>
      </xdr:spPr>
      <xdr:style>
        <a:lnRef idx="0">
          <a:schemeClr val="accent2"/>
        </a:lnRef>
        <a:fillRef idx="3">
          <a:schemeClr val="accent2"/>
        </a:fillRef>
        <a:effectRef idx="3">
          <a:schemeClr val="accent2"/>
        </a:effectRef>
        <a:fontRef idx="minor">
          <a:schemeClr val="lt1"/>
        </a:fontRef>
      </xdr:style>
      <xdr:txBody>
        <a:bodyPr vertOverflow="clip" horzOverflow="clip" rtlCol="0" anchor="ctr"/>
        <a:lstStyle/>
        <a:p>
          <a:pPr algn="ctr"/>
          <a:r>
            <a:rPr lang="en-US" sz="1000" b="1">
              <a:ln>
                <a:noFill/>
              </a:ln>
              <a:solidFill>
                <a:schemeClr val="bg1"/>
              </a:solidFill>
              <a:latin typeface="Cambria" panose="02040503050406030204" pitchFamily="18" charset="0"/>
              <a:ea typeface="Cambria" panose="02040503050406030204" pitchFamily="18" charset="0"/>
            </a:rPr>
            <a:t>ETAT ANNUEL DES REMUNERATIONS VERSEES AUX MEMBRES DU CONSEIL D'ADMINISTRATION OU ASSIMILES</a:t>
          </a:r>
        </a:p>
      </xdr:txBody>
    </xdr:sp>
    <xdr:clientData/>
  </xdr:twoCellAnchor>
  <xdr:twoCellAnchor>
    <xdr:from>
      <xdr:col>1</xdr:col>
      <xdr:colOff>13335</xdr:colOff>
      <xdr:row>4</xdr:row>
      <xdr:rowOff>29988</xdr:rowOff>
    </xdr:from>
    <xdr:to>
      <xdr:col>9</xdr:col>
      <xdr:colOff>516780</xdr:colOff>
      <xdr:row>5</xdr:row>
      <xdr:rowOff>55488</xdr:rowOff>
    </xdr:to>
    <xdr:sp macro="[1]!Fiche_Conditions" textlink="">
      <xdr:nvSpPr>
        <xdr:cNvPr id="80" name="Rectangle à coins arrondis 2">
          <a:extLst>
            <a:ext uri="{FF2B5EF4-FFF2-40B4-BE49-F238E27FC236}">
              <a16:creationId xmlns:a16="http://schemas.microsoft.com/office/drawing/2014/main" id="{CF1A4118-E340-4AC1-AD8E-045D72F431AF}"/>
            </a:ext>
          </a:extLst>
        </xdr:cNvPr>
        <xdr:cNvSpPr/>
      </xdr:nvSpPr>
      <xdr:spPr>
        <a:xfrm>
          <a:off x="260985" y="791988"/>
          <a:ext cx="7151895" cy="216000"/>
        </a:xfrm>
        <a:prstGeom prst="roundRect">
          <a:avLst/>
        </a:prstGeom>
      </xdr:spPr>
      <xdr:style>
        <a:lnRef idx="2">
          <a:schemeClr val="dk1">
            <a:shade val="50000"/>
          </a:schemeClr>
        </a:lnRef>
        <a:fillRef idx="1">
          <a:schemeClr val="dk1"/>
        </a:fillRef>
        <a:effectRef idx="0">
          <a:schemeClr val="dk1"/>
        </a:effectRef>
        <a:fontRef idx="minor">
          <a:schemeClr val="lt1"/>
        </a:fontRef>
      </xdr:style>
      <xdr:txBody>
        <a:bodyPr vertOverflow="clip" horzOverflow="clip" rtlCol="0" anchor="ctr"/>
        <a:lstStyle/>
        <a:p>
          <a:pPr algn="ctr"/>
          <a:r>
            <a:rPr lang="en-US" sz="1000" b="0">
              <a:ln>
                <a:noFill/>
              </a:ln>
              <a:solidFill>
                <a:schemeClr val="bg1"/>
              </a:solidFill>
              <a:latin typeface="Cambria" panose="02040503050406030204" pitchFamily="18" charset="0"/>
              <a:ea typeface="Cambria" panose="02040503050406030204" pitchFamily="18" charset="0"/>
            </a:rPr>
            <a:t>Fiche_Conditions</a:t>
          </a:r>
        </a:p>
      </xdr:txBody>
    </xdr:sp>
    <xdr:clientData/>
  </xdr:twoCellAnchor>
  <xdr:twoCellAnchor>
    <xdr:from>
      <xdr:col>1</xdr:col>
      <xdr:colOff>11430</xdr:colOff>
      <xdr:row>6</xdr:row>
      <xdr:rowOff>29495</xdr:rowOff>
    </xdr:from>
    <xdr:to>
      <xdr:col>9</xdr:col>
      <xdr:colOff>518685</xdr:colOff>
      <xdr:row>7</xdr:row>
      <xdr:rowOff>56900</xdr:rowOff>
    </xdr:to>
    <xdr:sp macro="[1]!Table_Codes" textlink="">
      <xdr:nvSpPr>
        <xdr:cNvPr id="81" name="Rectangle à coins arrondis 2">
          <a:extLst>
            <a:ext uri="{FF2B5EF4-FFF2-40B4-BE49-F238E27FC236}">
              <a16:creationId xmlns:a16="http://schemas.microsoft.com/office/drawing/2014/main" id="{5FC8FFCE-01A4-4717-8B87-4C39F18F4F87}"/>
            </a:ext>
          </a:extLst>
        </xdr:cNvPr>
        <xdr:cNvSpPr/>
      </xdr:nvSpPr>
      <xdr:spPr>
        <a:xfrm>
          <a:off x="259080" y="1172495"/>
          <a:ext cx="7155705" cy="217905"/>
        </a:xfrm>
        <a:prstGeom prst="roundRect">
          <a:avLst/>
        </a:prstGeom>
      </xdr:spPr>
      <xdr:style>
        <a:lnRef idx="2">
          <a:schemeClr val="dk1">
            <a:shade val="50000"/>
          </a:schemeClr>
        </a:lnRef>
        <a:fillRef idx="1">
          <a:schemeClr val="dk1"/>
        </a:fillRef>
        <a:effectRef idx="0">
          <a:schemeClr val="dk1"/>
        </a:effectRef>
        <a:fontRef idx="minor">
          <a:schemeClr val="lt1"/>
        </a:fontRef>
      </xdr:style>
      <xdr:txBody>
        <a:bodyPr vertOverflow="clip" horzOverflow="clip" rtlCol="0" anchor="ctr"/>
        <a:lstStyle/>
        <a:p>
          <a:pPr algn="ctr"/>
          <a:r>
            <a:rPr lang="en-US" sz="1000" b="0">
              <a:ln>
                <a:noFill/>
              </a:ln>
              <a:solidFill>
                <a:schemeClr val="bg1"/>
              </a:solidFill>
              <a:latin typeface="Cambria" panose="02040503050406030204" pitchFamily="18" charset="0"/>
              <a:ea typeface="Cambria" panose="02040503050406030204" pitchFamily="18" charset="0"/>
            </a:rPr>
            <a:t>Table_Codes</a:t>
          </a:r>
        </a:p>
      </xdr:txBody>
    </xdr:sp>
    <xdr:clientData/>
  </xdr:twoCellAnchor>
  <xdr:twoCellAnchor>
    <xdr:from>
      <xdr:col>1</xdr:col>
      <xdr:colOff>11430</xdr:colOff>
      <xdr:row>8</xdr:row>
      <xdr:rowOff>30907</xdr:rowOff>
    </xdr:from>
    <xdr:to>
      <xdr:col>9</xdr:col>
      <xdr:colOff>518685</xdr:colOff>
      <xdr:row>9</xdr:row>
      <xdr:rowOff>58312</xdr:rowOff>
    </xdr:to>
    <xdr:sp macro="[1]!Fiche_R1" textlink="">
      <xdr:nvSpPr>
        <xdr:cNvPr id="82" name="Rectangle à coins arrondis 2">
          <a:extLst>
            <a:ext uri="{FF2B5EF4-FFF2-40B4-BE49-F238E27FC236}">
              <a16:creationId xmlns:a16="http://schemas.microsoft.com/office/drawing/2014/main" id="{42E95B70-02DD-4C1D-990D-528978AB388A}"/>
            </a:ext>
          </a:extLst>
        </xdr:cNvPr>
        <xdr:cNvSpPr/>
      </xdr:nvSpPr>
      <xdr:spPr>
        <a:xfrm>
          <a:off x="259080" y="1554907"/>
          <a:ext cx="7155705" cy="217905"/>
        </a:xfrm>
        <a:prstGeom prst="roundRect">
          <a:avLst/>
        </a:prstGeom>
      </xdr:spPr>
      <xdr:style>
        <a:lnRef idx="2">
          <a:schemeClr val="dk1">
            <a:shade val="50000"/>
          </a:schemeClr>
        </a:lnRef>
        <a:fillRef idx="1">
          <a:schemeClr val="dk1"/>
        </a:fillRef>
        <a:effectRef idx="0">
          <a:schemeClr val="dk1"/>
        </a:effectRef>
        <a:fontRef idx="minor">
          <a:schemeClr val="lt1"/>
        </a:fontRef>
      </xdr:style>
      <xdr:txBody>
        <a:bodyPr vertOverflow="clip" horzOverflow="clip" rtlCol="0" anchor="ctr"/>
        <a:lstStyle/>
        <a:p>
          <a:pPr algn="ctr"/>
          <a:r>
            <a:rPr lang="en-US" sz="1000" b="0">
              <a:ln>
                <a:noFill/>
              </a:ln>
              <a:solidFill>
                <a:schemeClr val="bg1"/>
              </a:solidFill>
              <a:latin typeface="Cambria" panose="02040503050406030204" pitchFamily="18" charset="0"/>
              <a:ea typeface="Cambria" panose="02040503050406030204" pitchFamily="18" charset="0"/>
            </a:rPr>
            <a:t>Fiche_R1</a:t>
          </a:r>
        </a:p>
      </xdr:txBody>
    </xdr:sp>
    <xdr:clientData/>
  </xdr:twoCellAnchor>
  <xdr:twoCellAnchor>
    <xdr:from>
      <xdr:col>1</xdr:col>
      <xdr:colOff>11430</xdr:colOff>
      <xdr:row>10</xdr:row>
      <xdr:rowOff>32319</xdr:rowOff>
    </xdr:from>
    <xdr:to>
      <xdr:col>9</xdr:col>
      <xdr:colOff>518685</xdr:colOff>
      <xdr:row>11</xdr:row>
      <xdr:rowOff>59724</xdr:rowOff>
    </xdr:to>
    <xdr:sp macro="[1]!Fiche_R2" textlink="">
      <xdr:nvSpPr>
        <xdr:cNvPr id="83" name="Rectangle à coins arrondis 2">
          <a:extLst>
            <a:ext uri="{FF2B5EF4-FFF2-40B4-BE49-F238E27FC236}">
              <a16:creationId xmlns:a16="http://schemas.microsoft.com/office/drawing/2014/main" id="{8D21746E-3D0B-4C66-8885-09A2311CFEDB}"/>
            </a:ext>
          </a:extLst>
        </xdr:cNvPr>
        <xdr:cNvSpPr/>
      </xdr:nvSpPr>
      <xdr:spPr>
        <a:xfrm>
          <a:off x="259080" y="1937319"/>
          <a:ext cx="7155705" cy="217905"/>
        </a:xfrm>
        <a:prstGeom prst="roundRect">
          <a:avLst/>
        </a:prstGeom>
      </xdr:spPr>
      <xdr:style>
        <a:lnRef idx="2">
          <a:schemeClr val="dk1">
            <a:shade val="50000"/>
          </a:schemeClr>
        </a:lnRef>
        <a:fillRef idx="1">
          <a:schemeClr val="dk1"/>
        </a:fillRef>
        <a:effectRef idx="0">
          <a:schemeClr val="dk1"/>
        </a:effectRef>
        <a:fontRef idx="minor">
          <a:schemeClr val="lt1"/>
        </a:fontRef>
      </xdr:style>
      <xdr:txBody>
        <a:bodyPr vertOverflow="clip" horzOverflow="clip" rtlCol="0" anchor="ctr"/>
        <a:lstStyle/>
        <a:p>
          <a:pPr algn="ctr"/>
          <a:r>
            <a:rPr lang="en-US" sz="1000" b="0">
              <a:ln>
                <a:noFill/>
              </a:ln>
              <a:solidFill>
                <a:schemeClr val="bg1"/>
              </a:solidFill>
              <a:latin typeface="Cambria" panose="02040503050406030204" pitchFamily="18" charset="0"/>
              <a:ea typeface="Cambria" panose="02040503050406030204" pitchFamily="18" charset="0"/>
            </a:rPr>
            <a:t>Fiche_R2</a:t>
          </a:r>
        </a:p>
      </xdr:txBody>
    </xdr:sp>
    <xdr:clientData/>
  </xdr:twoCellAnchor>
  <xdr:twoCellAnchor>
    <xdr:from>
      <xdr:col>1</xdr:col>
      <xdr:colOff>11430</xdr:colOff>
      <xdr:row>12</xdr:row>
      <xdr:rowOff>35636</xdr:rowOff>
    </xdr:from>
    <xdr:to>
      <xdr:col>9</xdr:col>
      <xdr:colOff>518685</xdr:colOff>
      <xdr:row>13</xdr:row>
      <xdr:rowOff>63041</xdr:rowOff>
    </xdr:to>
    <xdr:sp macro="[1]!Fiche_3" textlink="">
      <xdr:nvSpPr>
        <xdr:cNvPr id="84" name="Rectangle à coins arrondis 2">
          <a:extLst>
            <a:ext uri="{FF2B5EF4-FFF2-40B4-BE49-F238E27FC236}">
              <a16:creationId xmlns:a16="http://schemas.microsoft.com/office/drawing/2014/main" id="{93E81A07-7239-44F3-A607-ACA222438982}"/>
            </a:ext>
          </a:extLst>
        </xdr:cNvPr>
        <xdr:cNvSpPr/>
      </xdr:nvSpPr>
      <xdr:spPr>
        <a:xfrm>
          <a:off x="259080" y="2321636"/>
          <a:ext cx="7155705" cy="217905"/>
        </a:xfrm>
        <a:prstGeom prst="roundRect">
          <a:avLst/>
        </a:prstGeom>
      </xdr:spPr>
      <xdr:style>
        <a:lnRef idx="2">
          <a:schemeClr val="dk1">
            <a:shade val="50000"/>
          </a:schemeClr>
        </a:lnRef>
        <a:fillRef idx="1">
          <a:schemeClr val="dk1"/>
        </a:fillRef>
        <a:effectRef idx="0">
          <a:schemeClr val="dk1"/>
        </a:effectRef>
        <a:fontRef idx="minor">
          <a:schemeClr val="lt1"/>
        </a:fontRef>
      </xdr:style>
      <xdr:txBody>
        <a:bodyPr vertOverflow="clip" horzOverflow="clip" rtlCol="0" anchor="ctr"/>
        <a:lstStyle/>
        <a:p>
          <a:pPr algn="ctr"/>
          <a:r>
            <a:rPr lang="en-US" sz="1000" b="0">
              <a:ln>
                <a:noFill/>
              </a:ln>
              <a:solidFill>
                <a:schemeClr val="bg1"/>
              </a:solidFill>
              <a:latin typeface="Cambria" panose="02040503050406030204" pitchFamily="18" charset="0"/>
              <a:ea typeface="Cambria" panose="02040503050406030204" pitchFamily="18" charset="0"/>
            </a:rPr>
            <a:t>Fiche_3</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9</xdr:col>
      <xdr:colOff>116416</xdr:colOff>
      <xdr:row>0</xdr:row>
      <xdr:rowOff>169333</xdr:rowOff>
    </xdr:from>
    <xdr:to>
      <xdr:col>11</xdr:col>
      <xdr:colOff>222250</xdr:colOff>
      <xdr:row>2</xdr:row>
      <xdr:rowOff>158750</xdr:rowOff>
    </xdr:to>
    <xdr:sp macro="[1]!LancerN" textlink="">
      <xdr:nvSpPr>
        <xdr:cNvPr id="2" name="Rectangle 1">
          <a:extLst>
            <a:ext uri="{FF2B5EF4-FFF2-40B4-BE49-F238E27FC236}">
              <a16:creationId xmlns:a16="http://schemas.microsoft.com/office/drawing/2014/main" id="{70385D7D-ACD6-4BC1-A61A-E4A4CC41F343}"/>
            </a:ext>
          </a:extLst>
        </xdr:cNvPr>
        <xdr:cNvSpPr/>
      </xdr:nvSpPr>
      <xdr:spPr>
        <a:xfrm>
          <a:off x="12356041" y="169333"/>
          <a:ext cx="1629834" cy="360892"/>
        </a:xfrm>
        <a:prstGeom prst="rect">
          <a:avLst/>
        </a:prstGeom>
        <a:solidFill>
          <a:srgbClr val="00B0F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fr-BE" sz="1100" b="1">
              <a:solidFill>
                <a:schemeClr val="bg1"/>
              </a:solidFill>
            </a:rPr>
            <a:t>Actualiser</a:t>
          </a:r>
          <a:r>
            <a:rPr lang="fr-BE" sz="1100" b="1" baseline="0">
              <a:solidFill>
                <a:schemeClr val="bg1"/>
              </a:solidFill>
            </a:rPr>
            <a:t> N</a:t>
          </a:r>
          <a:endParaRPr lang="fr-BE" sz="1100" b="1">
            <a:solidFill>
              <a:schemeClr val="bg1"/>
            </a:solidFill>
          </a:endParaRP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9</xdr:col>
      <xdr:colOff>0</xdr:colOff>
      <xdr:row>1</xdr:row>
      <xdr:rowOff>0</xdr:rowOff>
    </xdr:from>
    <xdr:to>
      <xdr:col>11</xdr:col>
      <xdr:colOff>110279</xdr:colOff>
      <xdr:row>2</xdr:row>
      <xdr:rowOff>166370</xdr:rowOff>
    </xdr:to>
    <xdr:sp macro="[1]!LancerN_1" textlink="">
      <xdr:nvSpPr>
        <xdr:cNvPr id="2" name="Rectangle 1">
          <a:extLst>
            <a:ext uri="{FF2B5EF4-FFF2-40B4-BE49-F238E27FC236}">
              <a16:creationId xmlns:a16="http://schemas.microsoft.com/office/drawing/2014/main" id="{DC2B1E48-6E76-4B44-B1F0-8AB4B7678C90}"/>
            </a:ext>
          </a:extLst>
        </xdr:cNvPr>
        <xdr:cNvSpPr/>
      </xdr:nvSpPr>
      <xdr:spPr>
        <a:xfrm>
          <a:off x="12001500" y="190500"/>
          <a:ext cx="1634279" cy="356870"/>
        </a:xfrm>
        <a:prstGeom prst="rect">
          <a:avLst/>
        </a:prstGeom>
        <a:solidFill>
          <a:srgbClr val="00B0F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fr-BE" sz="1100" b="1">
              <a:solidFill>
                <a:schemeClr val="bg1"/>
              </a:solidFill>
            </a:rPr>
            <a:t>Actualiser</a:t>
          </a:r>
          <a:r>
            <a:rPr lang="fr-BE" sz="1100" b="1" baseline="0">
              <a:solidFill>
                <a:schemeClr val="bg1"/>
              </a:solidFill>
            </a:rPr>
            <a:t> N-1</a:t>
          </a:r>
          <a:endParaRPr lang="fr-BE" sz="1100" b="1">
            <a:solidFill>
              <a:schemeClr val="bg1"/>
            </a:solidFill>
          </a:endParaRPr>
        </a:p>
      </xdr:txBody>
    </xdr:sp>
    <xdr:clientData/>
  </xdr:twoCellAnchor>
</xdr:wsDr>
</file>

<file path=xl/drawings/drawing4.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7</xdr:col>
          <xdr:colOff>123825</xdr:colOff>
          <xdr:row>33</xdr:row>
          <xdr:rowOff>276225</xdr:rowOff>
        </xdr:from>
        <xdr:to>
          <xdr:col>7</xdr:col>
          <xdr:colOff>476250</xdr:colOff>
          <xdr:row>36</xdr:row>
          <xdr:rowOff>0</xdr:rowOff>
        </xdr:to>
        <xdr:sp macro="" textlink="">
          <xdr:nvSpPr>
            <xdr:cNvPr id="45057" name="Check Box 4" hidden="1">
              <a:extLst>
                <a:ext uri="{63B3BB69-23CF-44E3-9099-C40C66FF867C}">
                  <a14:compatExt spid="_x0000_s45057"/>
                </a:ext>
                <a:ext uri="{FF2B5EF4-FFF2-40B4-BE49-F238E27FC236}">
                  <a16:creationId xmlns:a16="http://schemas.microsoft.com/office/drawing/2014/main" id="{00000000-0008-0000-0400-000001B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123825</xdr:colOff>
          <xdr:row>35</xdr:row>
          <xdr:rowOff>38100</xdr:rowOff>
        </xdr:from>
        <xdr:to>
          <xdr:col>7</xdr:col>
          <xdr:colOff>485775</xdr:colOff>
          <xdr:row>36</xdr:row>
          <xdr:rowOff>123825</xdr:rowOff>
        </xdr:to>
        <xdr:sp macro="" textlink="">
          <xdr:nvSpPr>
            <xdr:cNvPr id="45058" name="Check Box 5" hidden="1">
              <a:extLst>
                <a:ext uri="{63B3BB69-23CF-44E3-9099-C40C66FF867C}">
                  <a14:compatExt spid="_x0000_s45058"/>
                </a:ext>
                <a:ext uri="{FF2B5EF4-FFF2-40B4-BE49-F238E27FC236}">
                  <a16:creationId xmlns:a16="http://schemas.microsoft.com/office/drawing/2014/main" id="{00000000-0008-0000-0400-000002B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123825</xdr:colOff>
          <xdr:row>37</xdr:row>
          <xdr:rowOff>19050</xdr:rowOff>
        </xdr:from>
        <xdr:to>
          <xdr:col>7</xdr:col>
          <xdr:colOff>485775</xdr:colOff>
          <xdr:row>38</xdr:row>
          <xdr:rowOff>104775</xdr:rowOff>
        </xdr:to>
        <xdr:sp macro="" textlink="">
          <xdr:nvSpPr>
            <xdr:cNvPr id="45059" name="Check Box 6" hidden="1">
              <a:extLst>
                <a:ext uri="{63B3BB69-23CF-44E3-9099-C40C66FF867C}">
                  <a14:compatExt spid="_x0000_s45059"/>
                </a:ext>
                <a:ext uri="{FF2B5EF4-FFF2-40B4-BE49-F238E27FC236}">
                  <a16:creationId xmlns:a16="http://schemas.microsoft.com/office/drawing/2014/main" id="{00000000-0008-0000-0400-000003B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123825</xdr:colOff>
          <xdr:row>39</xdr:row>
          <xdr:rowOff>19050</xdr:rowOff>
        </xdr:from>
        <xdr:to>
          <xdr:col>7</xdr:col>
          <xdr:colOff>476250</xdr:colOff>
          <xdr:row>40</xdr:row>
          <xdr:rowOff>104775</xdr:rowOff>
        </xdr:to>
        <xdr:sp macro="" textlink="">
          <xdr:nvSpPr>
            <xdr:cNvPr id="45060" name="Check Box 7" hidden="1">
              <a:extLst>
                <a:ext uri="{63B3BB69-23CF-44E3-9099-C40C66FF867C}">
                  <a14:compatExt spid="_x0000_s45060"/>
                </a:ext>
                <a:ext uri="{FF2B5EF4-FFF2-40B4-BE49-F238E27FC236}">
                  <a16:creationId xmlns:a16="http://schemas.microsoft.com/office/drawing/2014/main" id="{00000000-0008-0000-0400-000004B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twoCellAnchor>
    <xdr:from>
      <xdr:col>17</xdr:col>
      <xdr:colOff>569575</xdr:colOff>
      <xdr:row>1</xdr:row>
      <xdr:rowOff>23091</xdr:rowOff>
    </xdr:from>
    <xdr:to>
      <xdr:col>20</xdr:col>
      <xdr:colOff>254000</xdr:colOff>
      <xdr:row>2</xdr:row>
      <xdr:rowOff>254000</xdr:rowOff>
    </xdr:to>
    <xdr:sp macro="[1]!Navigation" textlink="">
      <xdr:nvSpPr>
        <xdr:cNvPr id="2" name="Rectangle à coins arrondis 6">
          <a:extLst>
            <a:ext uri="{FF2B5EF4-FFF2-40B4-BE49-F238E27FC236}">
              <a16:creationId xmlns:a16="http://schemas.microsoft.com/office/drawing/2014/main" id="{2B7B2B48-A72D-4ADE-A459-6A068DCCCC0E}"/>
            </a:ext>
          </a:extLst>
        </xdr:cNvPr>
        <xdr:cNvSpPr/>
      </xdr:nvSpPr>
      <xdr:spPr>
        <a:xfrm>
          <a:off x="9294475" y="127866"/>
          <a:ext cx="1970425" cy="335684"/>
        </a:xfrm>
        <a:prstGeom prst="roundRect">
          <a:avLst/>
        </a:prstGeom>
        <a:solidFill>
          <a:schemeClr val="bg1">
            <a:lumMod val="85000"/>
          </a:schemeClr>
        </a:solidFill>
        <a:ln>
          <a:noFill/>
        </a:ln>
      </xdr:spPr>
      <xdr:style>
        <a:lnRef idx="2">
          <a:schemeClr val="dk1">
            <a:shade val="50000"/>
          </a:schemeClr>
        </a:lnRef>
        <a:fillRef idx="1">
          <a:schemeClr val="dk1"/>
        </a:fillRef>
        <a:effectRef idx="0">
          <a:schemeClr val="dk1"/>
        </a:effectRef>
        <a:fontRef idx="minor">
          <a:schemeClr val="lt1"/>
        </a:fontRef>
      </xdr:style>
      <xdr:txBody>
        <a:bodyPr vertOverflow="clip" horzOverflow="clip" rtlCol="0" anchor="ctr"/>
        <a:lstStyle/>
        <a:p>
          <a:pPr algn="ctr"/>
          <a:r>
            <a:rPr lang="en-US" sz="1100" b="0">
              <a:ln>
                <a:noFill/>
              </a:ln>
              <a:solidFill>
                <a:schemeClr val="tx1"/>
              </a:solidFill>
              <a:latin typeface="Cambria" panose="02040503050406030204" pitchFamily="18" charset="0"/>
              <a:ea typeface="Cambria" panose="02040503050406030204" pitchFamily="18" charset="0"/>
            </a:rPr>
            <a:t>Retour Page De</a:t>
          </a:r>
          <a:r>
            <a:rPr lang="en-US" sz="1100" b="0" baseline="0">
              <a:ln>
                <a:noFill/>
              </a:ln>
              <a:solidFill>
                <a:schemeClr val="tx1"/>
              </a:solidFill>
              <a:latin typeface="Cambria" panose="02040503050406030204" pitchFamily="18" charset="0"/>
              <a:ea typeface="Cambria" panose="02040503050406030204" pitchFamily="18" charset="0"/>
            </a:rPr>
            <a:t> Navigation</a:t>
          </a:r>
          <a:endParaRPr lang="en-US" sz="1100" b="0">
            <a:ln>
              <a:noFill/>
            </a:ln>
            <a:solidFill>
              <a:schemeClr val="tx1"/>
            </a:solidFill>
            <a:latin typeface="Cambria" panose="02040503050406030204" pitchFamily="18" charset="0"/>
            <a:ea typeface="Cambria" panose="02040503050406030204" pitchFamily="18" charset="0"/>
          </a:endParaRP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0</xdr:col>
      <xdr:colOff>66675</xdr:colOff>
      <xdr:row>8</xdr:row>
      <xdr:rowOff>66675</xdr:rowOff>
    </xdr:from>
    <xdr:to>
      <xdr:col>0</xdr:col>
      <xdr:colOff>133350</xdr:colOff>
      <xdr:row>8</xdr:row>
      <xdr:rowOff>142875</xdr:rowOff>
    </xdr:to>
    <xdr:sp macro="" textlink="">
      <xdr:nvSpPr>
        <xdr:cNvPr id="2" name="AutoShape 1">
          <a:extLst>
            <a:ext uri="{FF2B5EF4-FFF2-40B4-BE49-F238E27FC236}">
              <a16:creationId xmlns:a16="http://schemas.microsoft.com/office/drawing/2014/main" id="{E11FAD24-5F4A-4388-B5ED-82378F0B3C79}"/>
            </a:ext>
          </a:extLst>
        </xdr:cNvPr>
        <xdr:cNvSpPr>
          <a:spLocks noChangeArrowheads="1"/>
        </xdr:cNvSpPr>
      </xdr:nvSpPr>
      <xdr:spPr bwMode="auto">
        <a:xfrm>
          <a:off x="66675" y="1647825"/>
          <a:ext cx="66675" cy="76200"/>
        </a:xfrm>
        <a:prstGeom prst="flowChartConnector">
          <a:avLst/>
        </a:prstGeom>
        <a:solidFill>
          <a:srgbClr val="424242"/>
        </a:solidFill>
        <a:ln w="9525">
          <a:solidFill>
            <a:srgbClr val="000000"/>
          </a:solidFill>
          <a:round/>
          <a:headEnd/>
          <a:tailEnd/>
        </a:ln>
      </xdr:spPr>
    </xdr:sp>
    <xdr:clientData/>
  </xdr:twoCellAnchor>
  <xdr:twoCellAnchor>
    <xdr:from>
      <xdr:col>0</xdr:col>
      <xdr:colOff>66675</xdr:colOff>
      <xdr:row>10</xdr:row>
      <xdr:rowOff>66675</xdr:rowOff>
    </xdr:from>
    <xdr:to>
      <xdr:col>0</xdr:col>
      <xdr:colOff>133350</xdr:colOff>
      <xdr:row>10</xdr:row>
      <xdr:rowOff>142875</xdr:rowOff>
    </xdr:to>
    <xdr:sp macro="" textlink="">
      <xdr:nvSpPr>
        <xdr:cNvPr id="3" name="AutoShape 2">
          <a:extLst>
            <a:ext uri="{FF2B5EF4-FFF2-40B4-BE49-F238E27FC236}">
              <a16:creationId xmlns:a16="http://schemas.microsoft.com/office/drawing/2014/main" id="{34F13F0E-D559-4963-A41D-ED997C9FBB2F}"/>
            </a:ext>
          </a:extLst>
        </xdr:cNvPr>
        <xdr:cNvSpPr>
          <a:spLocks noChangeArrowheads="1"/>
        </xdr:cNvSpPr>
      </xdr:nvSpPr>
      <xdr:spPr bwMode="auto">
        <a:xfrm>
          <a:off x="66675" y="2047875"/>
          <a:ext cx="66675" cy="76200"/>
        </a:xfrm>
        <a:prstGeom prst="flowChartConnector">
          <a:avLst/>
        </a:prstGeom>
        <a:solidFill>
          <a:srgbClr val="FFFFFF"/>
        </a:solidFill>
        <a:ln w="9525">
          <a:solidFill>
            <a:srgbClr val="000000"/>
          </a:solidFill>
          <a:round/>
          <a:headEnd/>
          <a:tailEnd/>
        </a:ln>
      </xdr:spPr>
    </xdr:sp>
    <xdr:clientData/>
  </xdr:twoCellAnchor>
  <xdr:twoCellAnchor>
    <xdr:from>
      <xdr:col>0</xdr:col>
      <xdr:colOff>66675</xdr:colOff>
      <xdr:row>10</xdr:row>
      <xdr:rowOff>66675</xdr:rowOff>
    </xdr:from>
    <xdr:to>
      <xdr:col>0</xdr:col>
      <xdr:colOff>133350</xdr:colOff>
      <xdr:row>10</xdr:row>
      <xdr:rowOff>142875</xdr:rowOff>
    </xdr:to>
    <xdr:sp macro="" textlink="">
      <xdr:nvSpPr>
        <xdr:cNvPr id="4" name="AutoShape 5">
          <a:extLst>
            <a:ext uri="{FF2B5EF4-FFF2-40B4-BE49-F238E27FC236}">
              <a16:creationId xmlns:a16="http://schemas.microsoft.com/office/drawing/2014/main" id="{75F2733D-B2E5-42B5-B331-F85998E68E93}"/>
            </a:ext>
          </a:extLst>
        </xdr:cNvPr>
        <xdr:cNvSpPr>
          <a:spLocks noChangeArrowheads="1"/>
        </xdr:cNvSpPr>
      </xdr:nvSpPr>
      <xdr:spPr bwMode="auto">
        <a:xfrm>
          <a:off x="66675" y="2047875"/>
          <a:ext cx="66675" cy="76200"/>
        </a:xfrm>
        <a:prstGeom prst="flowChartConnector">
          <a:avLst/>
        </a:prstGeom>
        <a:solidFill>
          <a:srgbClr val="424242"/>
        </a:solidFill>
        <a:ln w="9525">
          <a:solidFill>
            <a:srgbClr val="000000"/>
          </a:solidFill>
          <a:round/>
          <a:headEnd/>
          <a:tailEnd/>
        </a:ln>
      </xdr:spPr>
    </xdr:sp>
    <xdr:clientData/>
  </xdr:twoCellAnchor>
  <xdr:twoCellAnchor>
    <xdr:from>
      <xdr:col>0</xdr:col>
      <xdr:colOff>66675</xdr:colOff>
      <xdr:row>24</xdr:row>
      <xdr:rowOff>66675</xdr:rowOff>
    </xdr:from>
    <xdr:to>
      <xdr:col>0</xdr:col>
      <xdr:colOff>133350</xdr:colOff>
      <xdr:row>24</xdr:row>
      <xdr:rowOff>142875</xdr:rowOff>
    </xdr:to>
    <xdr:sp macro="" textlink="">
      <xdr:nvSpPr>
        <xdr:cNvPr id="5" name="AutoShape 10">
          <a:extLst>
            <a:ext uri="{FF2B5EF4-FFF2-40B4-BE49-F238E27FC236}">
              <a16:creationId xmlns:a16="http://schemas.microsoft.com/office/drawing/2014/main" id="{D8164802-6D17-4818-8777-E1EC38A366F3}"/>
            </a:ext>
          </a:extLst>
        </xdr:cNvPr>
        <xdr:cNvSpPr>
          <a:spLocks noChangeArrowheads="1"/>
        </xdr:cNvSpPr>
      </xdr:nvSpPr>
      <xdr:spPr bwMode="auto">
        <a:xfrm>
          <a:off x="66675" y="4848225"/>
          <a:ext cx="66675" cy="76200"/>
        </a:xfrm>
        <a:prstGeom prst="flowChartConnector">
          <a:avLst/>
        </a:prstGeom>
        <a:solidFill>
          <a:srgbClr val="424242"/>
        </a:solidFill>
        <a:ln w="9525">
          <a:solidFill>
            <a:srgbClr val="000000"/>
          </a:solidFill>
          <a:round/>
          <a:headEnd/>
          <a:tailEnd/>
        </a:ln>
      </xdr:spPr>
    </xdr:sp>
    <xdr:clientData/>
  </xdr:twoCellAnchor>
  <xdr:twoCellAnchor>
    <xdr:from>
      <xdr:col>0</xdr:col>
      <xdr:colOff>66675</xdr:colOff>
      <xdr:row>26</xdr:row>
      <xdr:rowOff>66675</xdr:rowOff>
    </xdr:from>
    <xdr:to>
      <xdr:col>0</xdr:col>
      <xdr:colOff>133350</xdr:colOff>
      <xdr:row>26</xdr:row>
      <xdr:rowOff>142875</xdr:rowOff>
    </xdr:to>
    <xdr:sp macro="" textlink="">
      <xdr:nvSpPr>
        <xdr:cNvPr id="6" name="AutoShape 11">
          <a:extLst>
            <a:ext uri="{FF2B5EF4-FFF2-40B4-BE49-F238E27FC236}">
              <a16:creationId xmlns:a16="http://schemas.microsoft.com/office/drawing/2014/main" id="{21D1A4C7-D6D1-4A8C-A49A-E4EE00BEB572}"/>
            </a:ext>
          </a:extLst>
        </xdr:cNvPr>
        <xdr:cNvSpPr>
          <a:spLocks noChangeArrowheads="1"/>
        </xdr:cNvSpPr>
      </xdr:nvSpPr>
      <xdr:spPr bwMode="auto">
        <a:xfrm>
          <a:off x="66675" y="5248275"/>
          <a:ext cx="66675" cy="76200"/>
        </a:xfrm>
        <a:prstGeom prst="flowChartConnector">
          <a:avLst/>
        </a:prstGeom>
        <a:solidFill>
          <a:srgbClr val="424242"/>
        </a:solidFill>
        <a:ln w="9525">
          <a:solidFill>
            <a:srgbClr val="000000"/>
          </a:solidFill>
          <a:round/>
          <a:headEnd/>
          <a:tailEnd/>
        </a:ln>
      </xdr:spPr>
    </xdr:sp>
    <xdr:clientData/>
  </xdr:twoCellAnchor>
  <xdr:twoCellAnchor>
    <xdr:from>
      <xdr:col>0</xdr:col>
      <xdr:colOff>66675</xdr:colOff>
      <xdr:row>29</xdr:row>
      <xdr:rowOff>66675</xdr:rowOff>
    </xdr:from>
    <xdr:to>
      <xdr:col>0</xdr:col>
      <xdr:colOff>133350</xdr:colOff>
      <xdr:row>29</xdr:row>
      <xdr:rowOff>142875</xdr:rowOff>
    </xdr:to>
    <xdr:sp macro="" textlink="">
      <xdr:nvSpPr>
        <xdr:cNvPr id="7" name="AutoShape 13">
          <a:extLst>
            <a:ext uri="{FF2B5EF4-FFF2-40B4-BE49-F238E27FC236}">
              <a16:creationId xmlns:a16="http://schemas.microsoft.com/office/drawing/2014/main" id="{C77B5E9D-48CA-4EF7-82DB-FCA1DD133DE2}"/>
            </a:ext>
          </a:extLst>
        </xdr:cNvPr>
        <xdr:cNvSpPr>
          <a:spLocks noChangeArrowheads="1"/>
        </xdr:cNvSpPr>
      </xdr:nvSpPr>
      <xdr:spPr bwMode="auto">
        <a:xfrm>
          <a:off x="66675" y="5848350"/>
          <a:ext cx="66675" cy="76200"/>
        </a:xfrm>
        <a:prstGeom prst="flowChartConnector">
          <a:avLst/>
        </a:prstGeom>
        <a:solidFill>
          <a:srgbClr val="424242"/>
        </a:solidFill>
        <a:ln w="9525">
          <a:solidFill>
            <a:srgbClr val="000000"/>
          </a:solidFill>
          <a:round/>
          <a:headEnd/>
          <a:tailEnd/>
        </a:ln>
      </xdr:spPr>
    </xdr:sp>
    <xdr:clientData/>
  </xdr:twoCellAnchor>
  <xdr:twoCellAnchor>
    <xdr:from>
      <xdr:col>0</xdr:col>
      <xdr:colOff>66675</xdr:colOff>
      <xdr:row>33</xdr:row>
      <xdr:rowOff>66675</xdr:rowOff>
    </xdr:from>
    <xdr:to>
      <xdr:col>0</xdr:col>
      <xdr:colOff>133350</xdr:colOff>
      <xdr:row>33</xdr:row>
      <xdr:rowOff>142875</xdr:rowOff>
    </xdr:to>
    <xdr:sp macro="" textlink="">
      <xdr:nvSpPr>
        <xdr:cNvPr id="8" name="AutoShape 17">
          <a:extLst>
            <a:ext uri="{FF2B5EF4-FFF2-40B4-BE49-F238E27FC236}">
              <a16:creationId xmlns:a16="http://schemas.microsoft.com/office/drawing/2014/main" id="{210BD950-0002-4D11-9D0B-7C21F16268F9}"/>
            </a:ext>
          </a:extLst>
        </xdr:cNvPr>
        <xdr:cNvSpPr>
          <a:spLocks noChangeArrowheads="1"/>
        </xdr:cNvSpPr>
      </xdr:nvSpPr>
      <xdr:spPr bwMode="auto">
        <a:xfrm>
          <a:off x="66675" y="6648450"/>
          <a:ext cx="66675" cy="76200"/>
        </a:xfrm>
        <a:prstGeom prst="flowChartConnector">
          <a:avLst/>
        </a:prstGeom>
        <a:solidFill>
          <a:srgbClr val="424242"/>
        </a:solidFill>
        <a:ln w="9525">
          <a:solidFill>
            <a:srgbClr val="000000"/>
          </a:solidFill>
          <a:round/>
          <a:headEnd/>
          <a:tailEnd/>
        </a:ln>
      </xdr:spPr>
    </xdr:sp>
    <xdr:clientData/>
  </xdr:twoCellAnchor>
  <xdr:twoCellAnchor>
    <xdr:from>
      <xdr:col>0</xdr:col>
      <xdr:colOff>66675</xdr:colOff>
      <xdr:row>12</xdr:row>
      <xdr:rowOff>66675</xdr:rowOff>
    </xdr:from>
    <xdr:to>
      <xdr:col>0</xdr:col>
      <xdr:colOff>133350</xdr:colOff>
      <xdr:row>12</xdr:row>
      <xdr:rowOff>142875</xdr:rowOff>
    </xdr:to>
    <xdr:sp macro="" textlink="">
      <xdr:nvSpPr>
        <xdr:cNvPr id="9" name="AutoShape 19">
          <a:extLst>
            <a:ext uri="{FF2B5EF4-FFF2-40B4-BE49-F238E27FC236}">
              <a16:creationId xmlns:a16="http://schemas.microsoft.com/office/drawing/2014/main" id="{54426814-2651-4B7E-BD91-D412A924C776}"/>
            </a:ext>
          </a:extLst>
        </xdr:cNvPr>
        <xdr:cNvSpPr>
          <a:spLocks noChangeArrowheads="1"/>
        </xdr:cNvSpPr>
      </xdr:nvSpPr>
      <xdr:spPr bwMode="auto">
        <a:xfrm>
          <a:off x="66675" y="2447925"/>
          <a:ext cx="66675" cy="76200"/>
        </a:xfrm>
        <a:prstGeom prst="flowChartConnector">
          <a:avLst/>
        </a:prstGeom>
        <a:solidFill>
          <a:srgbClr val="424242"/>
        </a:solidFill>
        <a:ln w="9525">
          <a:solidFill>
            <a:srgbClr val="000000"/>
          </a:solidFill>
          <a:round/>
          <a:headEnd/>
          <a:tailEnd/>
        </a:ln>
      </xdr:spPr>
    </xdr:sp>
    <xdr:clientData/>
  </xdr:twoCellAnchor>
  <xdr:twoCellAnchor>
    <xdr:from>
      <xdr:col>0</xdr:col>
      <xdr:colOff>66675</xdr:colOff>
      <xdr:row>14</xdr:row>
      <xdr:rowOff>66675</xdr:rowOff>
    </xdr:from>
    <xdr:to>
      <xdr:col>0</xdr:col>
      <xdr:colOff>133350</xdr:colOff>
      <xdr:row>14</xdr:row>
      <xdr:rowOff>142875</xdr:rowOff>
    </xdr:to>
    <xdr:sp macro="" textlink="">
      <xdr:nvSpPr>
        <xdr:cNvPr id="10" name="AutoShape 21">
          <a:extLst>
            <a:ext uri="{FF2B5EF4-FFF2-40B4-BE49-F238E27FC236}">
              <a16:creationId xmlns:a16="http://schemas.microsoft.com/office/drawing/2014/main" id="{37802DFD-3AB4-4E5C-ACB4-E6C9625569E9}"/>
            </a:ext>
          </a:extLst>
        </xdr:cNvPr>
        <xdr:cNvSpPr>
          <a:spLocks noChangeArrowheads="1"/>
        </xdr:cNvSpPr>
      </xdr:nvSpPr>
      <xdr:spPr bwMode="auto">
        <a:xfrm>
          <a:off x="66675" y="2847975"/>
          <a:ext cx="66675" cy="76200"/>
        </a:xfrm>
        <a:prstGeom prst="flowChartConnector">
          <a:avLst/>
        </a:prstGeom>
        <a:solidFill>
          <a:srgbClr val="424242"/>
        </a:solidFill>
        <a:ln w="9525">
          <a:solidFill>
            <a:srgbClr val="000000"/>
          </a:solidFill>
          <a:round/>
          <a:headEnd/>
          <a:tailEnd/>
        </a:ln>
      </xdr:spPr>
    </xdr:sp>
    <xdr:clientData/>
  </xdr:twoCellAnchor>
  <xdr:twoCellAnchor>
    <xdr:from>
      <xdr:col>0</xdr:col>
      <xdr:colOff>66675</xdr:colOff>
      <xdr:row>16</xdr:row>
      <xdr:rowOff>66675</xdr:rowOff>
    </xdr:from>
    <xdr:to>
      <xdr:col>0</xdr:col>
      <xdr:colOff>133350</xdr:colOff>
      <xdr:row>16</xdr:row>
      <xdr:rowOff>142875</xdr:rowOff>
    </xdr:to>
    <xdr:sp macro="" textlink="">
      <xdr:nvSpPr>
        <xdr:cNvPr id="11" name="AutoShape 22">
          <a:extLst>
            <a:ext uri="{FF2B5EF4-FFF2-40B4-BE49-F238E27FC236}">
              <a16:creationId xmlns:a16="http://schemas.microsoft.com/office/drawing/2014/main" id="{0B3F5E99-6F67-42FC-A97A-EE4112F55E76}"/>
            </a:ext>
          </a:extLst>
        </xdr:cNvPr>
        <xdr:cNvSpPr>
          <a:spLocks noChangeArrowheads="1"/>
        </xdr:cNvSpPr>
      </xdr:nvSpPr>
      <xdr:spPr bwMode="auto">
        <a:xfrm>
          <a:off x="66675" y="3248025"/>
          <a:ext cx="66675" cy="76200"/>
        </a:xfrm>
        <a:prstGeom prst="flowChartConnector">
          <a:avLst/>
        </a:prstGeom>
        <a:solidFill>
          <a:srgbClr val="424242"/>
        </a:solidFill>
        <a:ln w="9525">
          <a:solidFill>
            <a:srgbClr val="000000"/>
          </a:solidFill>
          <a:round/>
          <a:headEnd/>
          <a:tailEnd/>
        </a:ln>
      </xdr:spPr>
    </xdr:sp>
    <xdr:clientData/>
  </xdr:twoCellAnchor>
  <xdr:twoCellAnchor>
    <xdr:from>
      <xdr:col>0</xdr:col>
      <xdr:colOff>66675</xdr:colOff>
      <xdr:row>18</xdr:row>
      <xdr:rowOff>66675</xdr:rowOff>
    </xdr:from>
    <xdr:to>
      <xdr:col>0</xdr:col>
      <xdr:colOff>133350</xdr:colOff>
      <xdr:row>18</xdr:row>
      <xdr:rowOff>142875</xdr:rowOff>
    </xdr:to>
    <xdr:sp macro="" textlink="">
      <xdr:nvSpPr>
        <xdr:cNvPr id="12" name="AutoShape 23">
          <a:extLst>
            <a:ext uri="{FF2B5EF4-FFF2-40B4-BE49-F238E27FC236}">
              <a16:creationId xmlns:a16="http://schemas.microsoft.com/office/drawing/2014/main" id="{4EE40BB8-C22B-46FE-A835-F23A83F6121B}"/>
            </a:ext>
          </a:extLst>
        </xdr:cNvPr>
        <xdr:cNvSpPr>
          <a:spLocks noChangeArrowheads="1"/>
        </xdr:cNvSpPr>
      </xdr:nvSpPr>
      <xdr:spPr bwMode="auto">
        <a:xfrm>
          <a:off x="66675" y="3648075"/>
          <a:ext cx="66675" cy="76200"/>
        </a:xfrm>
        <a:prstGeom prst="flowChartConnector">
          <a:avLst/>
        </a:prstGeom>
        <a:solidFill>
          <a:srgbClr val="424242"/>
        </a:solidFill>
        <a:ln w="9525">
          <a:solidFill>
            <a:srgbClr val="000000"/>
          </a:solidFill>
          <a:round/>
          <a:headEnd/>
          <a:tailEnd/>
        </a:ln>
      </xdr:spPr>
    </xdr:sp>
    <xdr:clientData/>
  </xdr:twoCellAnchor>
  <xdr:twoCellAnchor>
    <xdr:from>
      <xdr:col>0</xdr:col>
      <xdr:colOff>66675</xdr:colOff>
      <xdr:row>31</xdr:row>
      <xdr:rowOff>66675</xdr:rowOff>
    </xdr:from>
    <xdr:to>
      <xdr:col>0</xdr:col>
      <xdr:colOff>133350</xdr:colOff>
      <xdr:row>31</xdr:row>
      <xdr:rowOff>142875</xdr:rowOff>
    </xdr:to>
    <xdr:sp macro="" textlink="">
      <xdr:nvSpPr>
        <xdr:cNvPr id="13" name="AutoShape 25">
          <a:extLst>
            <a:ext uri="{FF2B5EF4-FFF2-40B4-BE49-F238E27FC236}">
              <a16:creationId xmlns:a16="http://schemas.microsoft.com/office/drawing/2014/main" id="{0E275C92-37AD-42E1-80D2-68D7C5CCA679}"/>
            </a:ext>
          </a:extLst>
        </xdr:cNvPr>
        <xdr:cNvSpPr>
          <a:spLocks noChangeArrowheads="1"/>
        </xdr:cNvSpPr>
      </xdr:nvSpPr>
      <xdr:spPr bwMode="auto">
        <a:xfrm>
          <a:off x="66675" y="6248400"/>
          <a:ext cx="66675" cy="76200"/>
        </a:xfrm>
        <a:prstGeom prst="flowChartConnector">
          <a:avLst/>
        </a:prstGeom>
        <a:solidFill>
          <a:srgbClr val="424242"/>
        </a:solidFill>
        <a:ln w="9525">
          <a:solidFill>
            <a:srgbClr val="000000"/>
          </a:solidFill>
          <a:round/>
          <a:headEnd/>
          <a:tailEnd/>
        </a:ln>
      </xdr:spPr>
    </xdr:sp>
    <xdr:clientData/>
  </xdr:twoCellAnchor>
  <xdr:twoCellAnchor>
    <xdr:from>
      <xdr:col>0</xdr:col>
      <xdr:colOff>57150</xdr:colOff>
      <xdr:row>38</xdr:row>
      <xdr:rowOff>76200</xdr:rowOff>
    </xdr:from>
    <xdr:to>
      <xdr:col>0</xdr:col>
      <xdr:colOff>123825</xdr:colOff>
      <xdr:row>38</xdr:row>
      <xdr:rowOff>152400</xdr:rowOff>
    </xdr:to>
    <xdr:sp macro="" textlink="">
      <xdr:nvSpPr>
        <xdr:cNvPr id="14" name="AutoShape 25">
          <a:extLst>
            <a:ext uri="{FF2B5EF4-FFF2-40B4-BE49-F238E27FC236}">
              <a16:creationId xmlns:a16="http://schemas.microsoft.com/office/drawing/2014/main" id="{9698E74E-0643-4044-9173-5759120954D6}"/>
            </a:ext>
          </a:extLst>
        </xdr:cNvPr>
        <xdr:cNvSpPr>
          <a:spLocks noChangeArrowheads="1"/>
        </xdr:cNvSpPr>
      </xdr:nvSpPr>
      <xdr:spPr bwMode="auto">
        <a:xfrm>
          <a:off x="57150" y="7658100"/>
          <a:ext cx="66675" cy="76200"/>
        </a:xfrm>
        <a:prstGeom prst="flowChartConnector">
          <a:avLst/>
        </a:prstGeom>
        <a:solidFill>
          <a:srgbClr val="424242"/>
        </a:solidFill>
        <a:ln w="9525">
          <a:solidFill>
            <a:srgbClr val="000000"/>
          </a:solidFill>
          <a:round/>
          <a:headEnd/>
          <a:tailEnd/>
        </a:ln>
      </xdr:spPr>
    </xdr:sp>
    <xdr:clientData/>
  </xdr:twoCellAnchor>
  <xdr:twoCellAnchor>
    <xdr:from>
      <xdr:col>0</xdr:col>
      <xdr:colOff>57150</xdr:colOff>
      <xdr:row>39</xdr:row>
      <xdr:rowOff>95250</xdr:rowOff>
    </xdr:from>
    <xdr:to>
      <xdr:col>0</xdr:col>
      <xdr:colOff>123825</xdr:colOff>
      <xdr:row>39</xdr:row>
      <xdr:rowOff>171450</xdr:rowOff>
    </xdr:to>
    <xdr:sp macro="" textlink="">
      <xdr:nvSpPr>
        <xdr:cNvPr id="15" name="AutoShape 25">
          <a:extLst>
            <a:ext uri="{FF2B5EF4-FFF2-40B4-BE49-F238E27FC236}">
              <a16:creationId xmlns:a16="http://schemas.microsoft.com/office/drawing/2014/main" id="{A47A6A4B-D208-475C-AD15-E28A90647CFE}"/>
            </a:ext>
          </a:extLst>
        </xdr:cNvPr>
        <xdr:cNvSpPr>
          <a:spLocks noChangeArrowheads="1"/>
        </xdr:cNvSpPr>
      </xdr:nvSpPr>
      <xdr:spPr bwMode="auto">
        <a:xfrm>
          <a:off x="57150" y="8191500"/>
          <a:ext cx="66675" cy="76200"/>
        </a:xfrm>
        <a:prstGeom prst="flowChartConnector">
          <a:avLst/>
        </a:prstGeom>
        <a:solidFill>
          <a:srgbClr val="424242"/>
        </a:solidFill>
        <a:ln w="9525">
          <a:solidFill>
            <a:srgbClr val="000000"/>
          </a:solidFill>
          <a:round/>
          <a:headEnd/>
          <a:tailEnd/>
        </a:ln>
      </xdr:spPr>
    </xdr:sp>
    <xdr:clientData/>
  </xdr:twoCellAnchor>
  <xdr:twoCellAnchor>
    <xdr:from>
      <xdr:col>10</xdr:col>
      <xdr:colOff>457200</xdr:colOff>
      <xdr:row>2</xdr:row>
      <xdr:rowOff>28575</xdr:rowOff>
    </xdr:from>
    <xdr:to>
      <xdr:col>13</xdr:col>
      <xdr:colOff>121362</xdr:colOff>
      <xdr:row>3</xdr:row>
      <xdr:rowOff>161501</xdr:rowOff>
    </xdr:to>
    <xdr:sp macro="[1]!Navigation" textlink="">
      <xdr:nvSpPr>
        <xdr:cNvPr id="16" name="Rectangle à coins arrondis 2">
          <a:extLst>
            <a:ext uri="{FF2B5EF4-FFF2-40B4-BE49-F238E27FC236}">
              <a16:creationId xmlns:a16="http://schemas.microsoft.com/office/drawing/2014/main" id="{006587EB-9D90-4E4B-97A5-1E7B145EBD0E}"/>
            </a:ext>
          </a:extLst>
        </xdr:cNvPr>
        <xdr:cNvSpPr/>
      </xdr:nvSpPr>
      <xdr:spPr>
        <a:xfrm>
          <a:off x="8553450" y="409575"/>
          <a:ext cx="1950162" cy="332951"/>
        </a:xfrm>
        <a:prstGeom prst="roundRect">
          <a:avLst/>
        </a:prstGeom>
        <a:solidFill>
          <a:schemeClr val="bg1">
            <a:lumMod val="85000"/>
          </a:schemeClr>
        </a:solidFill>
        <a:ln>
          <a:noFill/>
        </a:ln>
      </xdr:spPr>
      <xdr:style>
        <a:lnRef idx="2">
          <a:schemeClr val="dk1">
            <a:shade val="50000"/>
          </a:schemeClr>
        </a:lnRef>
        <a:fillRef idx="1">
          <a:schemeClr val="dk1"/>
        </a:fillRef>
        <a:effectRef idx="0">
          <a:schemeClr val="dk1"/>
        </a:effectRef>
        <a:fontRef idx="minor">
          <a:schemeClr val="lt1"/>
        </a:fontRef>
      </xdr:style>
      <xdr:txBody>
        <a:bodyPr vertOverflow="clip" horzOverflow="clip" rtlCol="0" anchor="ctr"/>
        <a:lstStyle/>
        <a:p>
          <a:pPr algn="ctr"/>
          <a:r>
            <a:rPr lang="en-US" sz="1100" b="0">
              <a:ln>
                <a:noFill/>
              </a:ln>
              <a:solidFill>
                <a:schemeClr val="tx1"/>
              </a:solidFill>
              <a:latin typeface="Cambria" panose="02040503050406030204" pitchFamily="18" charset="0"/>
              <a:ea typeface="Cambria" panose="02040503050406030204" pitchFamily="18" charset="0"/>
            </a:rPr>
            <a:t>Retour Page De</a:t>
          </a:r>
          <a:r>
            <a:rPr lang="en-US" sz="1100" b="0" baseline="0">
              <a:ln>
                <a:noFill/>
              </a:ln>
              <a:solidFill>
                <a:schemeClr val="tx1"/>
              </a:solidFill>
              <a:latin typeface="Cambria" panose="02040503050406030204" pitchFamily="18" charset="0"/>
              <a:ea typeface="Cambria" panose="02040503050406030204" pitchFamily="18" charset="0"/>
            </a:rPr>
            <a:t> Navigation</a:t>
          </a:r>
          <a:endParaRPr lang="en-US" sz="1100" b="0">
            <a:ln>
              <a:noFill/>
            </a:ln>
            <a:solidFill>
              <a:schemeClr val="tx1"/>
            </a:solidFill>
            <a:latin typeface="Cambria" panose="02040503050406030204" pitchFamily="18" charset="0"/>
            <a:ea typeface="Cambria" panose="02040503050406030204" pitchFamily="18" charset="0"/>
          </a:endParaRPr>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38</xdr:col>
      <xdr:colOff>257175</xdr:colOff>
      <xdr:row>2</xdr:row>
      <xdr:rowOff>0</xdr:rowOff>
    </xdr:from>
    <xdr:to>
      <xdr:col>40</xdr:col>
      <xdr:colOff>711912</xdr:colOff>
      <xdr:row>3</xdr:row>
      <xdr:rowOff>144356</xdr:rowOff>
    </xdr:to>
    <xdr:sp macro="[1]!Navigation" textlink="">
      <xdr:nvSpPr>
        <xdr:cNvPr id="2" name="Rectangle à coins arrondis 2">
          <a:extLst>
            <a:ext uri="{FF2B5EF4-FFF2-40B4-BE49-F238E27FC236}">
              <a16:creationId xmlns:a16="http://schemas.microsoft.com/office/drawing/2014/main" id="{421EFD7C-813E-457D-A509-E7D47606A27D}"/>
            </a:ext>
          </a:extLst>
        </xdr:cNvPr>
        <xdr:cNvSpPr/>
      </xdr:nvSpPr>
      <xdr:spPr>
        <a:xfrm>
          <a:off x="8239125" y="381000"/>
          <a:ext cx="1978737" cy="344381"/>
        </a:xfrm>
        <a:prstGeom prst="roundRect">
          <a:avLst/>
        </a:prstGeom>
        <a:solidFill>
          <a:schemeClr val="bg1">
            <a:lumMod val="85000"/>
          </a:schemeClr>
        </a:solidFill>
        <a:ln>
          <a:noFill/>
        </a:ln>
      </xdr:spPr>
      <xdr:style>
        <a:lnRef idx="2">
          <a:schemeClr val="dk1">
            <a:shade val="50000"/>
          </a:schemeClr>
        </a:lnRef>
        <a:fillRef idx="1">
          <a:schemeClr val="dk1"/>
        </a:fillRef>
        <a:effectRef idx="0">
          <a:schemeClr val="dk1"/>
        </a:effectRef>
        <a:fontRef idx="minor">
          <a:schemeClr val="lt1"/>
        </a:fontRef>
      </xdr:style>
      <xdr:txBody>
        <a:bodyPr vertOverflow="clip" horzOverflow="clip" rtlCol="0" anchor="ctr"/>
        <a:lstStyle/>
        <a:p>
          <a:pPr algn="ctr"/>
          <a:r>
            <a:rPr lang="en-US" sz="1100" b="0">
              <a:ln>
                <a:noFill/>
              </a:ln>
              <a:solidFill>
                <a:schemeClr val="tx1"/>
              </a:solidFill>
              <a:latin typeface="Cambria" panose="02040503050406030204" pitchFamily="18" charset="0"/>
              <a:ea typeface="Cambria" panose="02040503050406030204" pitchFamily="18" charset="0"/>
            </a:rPr>
            <a:t>Retour Page De</a:t>
          </a:r>
          <a:r>
            <a:rPr lang="en-US" sz="1100" b="0" baseline="0">
              <a:ln>
                <a:noFill/>
              </a:ln>
              <a:solidFill>
                <a:schemeClr val="tx1"/>
              </a:solidFill>
              <a:latin typeface="Cambria" panose="02040503050406030204" pitchFamily="18" charset="0"/>
              <a:ea typeface="Cambria" panose="02040503050406030204" pitchFamily="18" charset="0"/>
            </a:rPr>
            <a:t> Navigation</a:t>
          </a:r>
          <a:endParaRPr lang="en-US" sz="1100" b="0">
            <a:ln>
              <a:noFill/>
            </a:ln>
            <a:solidFill>
              <a:schemeClr val="tx1"/>
            </a:solidFill>
            <a:latin typeface="Cambria" panose="02040503050406030204" pitchFamily="18" charset="0"/>
            <a:ea typeface="Cambria" panose="02040503050406030204" pitchFamily="18" charset="0"/>
          </a:endParaRPr>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21</xdr:col>
      <xdr:colOff>304800</xdr:colOff>
      <xdr:row>2</xdr:row>
      <xdr:rowOff>57150</xdr:rowOff>
    </xdr:from>
    <xdr:to>
      <xdr:col>23</xdr:col>
      <xdr:colOff>759537</xdr:colOff>
      <xdr:row>4</xdr:row>
      <xdr:rowOff>125306</xdr:rowOff>
    </xdr:to>
    <xdr:sp macro="[1]!Navigation" textlink="">
      <xdr:nvSpPr>
        <xdr:cNvPr id="2" name="Rectangle à coins arrondis 2">
          <a:extLst>
            <a:ext uri="{FF2B5EF4-FFF2-40B4-BE49-F238E27FC236}">
              <a16:creationId xmlns:a16="http://schemas.microsoft.com/office/drawing/2014/main" id="{3A5D6333-6420-41D5-83DF-BFB7FDFE9817}"/>
            </a:ext>
          </a:extLst>
        </xdr:cNvPr>
        <xdr:cNvSpPr/>
      </xdr:nvSpPr>
      <xdr:spPr>
        <a:xfrm>
          <a:off x="8715375" y="285750"/>
          <a:ext cx="1978737" cy="334856"/>
        </a:xfrm>
        <a:prstGeom prst="roundRect">
          <a:avLst/>
        </a:prstGeom>
        <a:solidFill>
          <a:schemeClr val="bg1">
            <a:lumMod val="85000"/>
          </a:schemeClr>
        </a:solidFill>
        <a:ln>
          <a:noFill/>
        </a:ln>
      </xdr:spPr>
      <xdr:style>
        <a:lnRef idx="2">
          <a:schemeClr val="dk1">
            <a:shade val="50000"/>
          </a:schemeClr>
        </a:lnRef>
        <a:fillRef idx="1">
          <a:schemeClr val="dk1"/>
        </a:fillRef>
        <a:effectRef idx="0">
          <a:schemeClr val="dk1"/>
        </a:effectRef>
        <a:fontRef idx="minor">
          <a:schemeClr val="lt1"/>
        </a:fontRef>
      </xdr:style>
      <xdr:txBody>
        <a:bodyPr vertOverflow="clip" horzOverflow="clip" rtlCol="0" anchor="ctr"/>
        <a:lstStyle/>
        <a:p>
          <a:pPr algn="ctr"/>
          <a:r>
            <a:rPr lang="en-US" sz="1100" b="0">
              <a:ln>
                <a:noFill/>
              </a:ln>
              <a:solidFill>
                <a:schemeClr val="tx1"/>
              </a:solidFill>
              <a:latin typeface="Cambria" panose="02040503050406030204" pitchFamily="18" charset="0"/>
              <a:ea typeface="Cambria" panose="02040503050406030204" pitchFamily="18" charset="0"/>
            </a:rPr>
            <a:t>Retour Page De</a:t>
          </a:r>
          <a:r>
            <a:rPr lang="en-US" sz="1100" b="0" baseline="0">
              <a:ln>
                <a:noFill/>
              </a:ln>
              <a:solidFill>
                <a:schemeClr val="tx1"/>
              </a:solidFill>
              <a:latin typeface="Cambria" panose="02040503050406030204" pitchFamily="18" charset="0"/>
              <a:ea typeface="Cambria" panose="02040503050406030204" pitchFamily="18" charset="0"/>
            </a:rPr>
            <a:t> Navigation</a:t>
          </a:r>
          <a:endParaRPr lang="en-US" sz="1100" b="0">
            <a:ln>
              <a:noFill/>
            </a:ln>
            <a:solidFill>
              <a:schemeClr val="tx1"/>
            </a:solidFill>
            <a:latin typeface="Cambria" panose="02040503050406030204" pitchFamily="18" charset="0"/>
            <a:ea typeface="Cambria" panose="02040503050406030204" pitchFamily="18" charset="0"/>
          </a:endParaRPr>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11</xdr:col>
      <xdr:colOff>93345</xdr:colOff>
      <xdr:row>0</xdr:row>
      <xdr:rowOff>142875</xdr:rowOff>
    </xdr:from>
    <xdr:to>
      <xdr:col>13</xdr:col>
      <xdr:colOff>546177</xdr:colOff>
      <xdr:row>2</xdr:row>
      <xdr:rowOff>117686</xdr:rowOff>
    </xdr:to>
    <xdr:sp macro="[1]!Navigation" textlink="">
      <xdr:nvSpPr>
        <xdr:cNvPr id="2" name="Rectangle à coins arrondis 2">
          <a:extLst>
            <a:ext uri="{FF2B5EF4-FFF2-40B4-BE49-F238E27FC236}">
              <a16:creationId xmlns:a16="http://schemas.microsoft.com/office/drawing/2014/main" id="{A51F1F87-5CE8-4415-B486-935282836A3E}"/>
            </a:ext>
          </a:extLst>
        </xdr:cNvPr>
        <xdr:cNvSpPr/>
      </xdr:nvSpPr>
      <xdr:spPr>
        <a:xfrm>
          <a:off x="8818245" y="142875"/>
          <a:ext cx="1976832" cy="355811"/>
        </a:xfrm>
        <a:prstGeom prst="roundRect">
          <a:avLst/>
        </a:prstGeom>
        <a:solidFill>
          <a:schemeClr val="bg1">
            <a:lumMod val="85000"/>
          </a:schemeClr>
        </a:solidFill>
        <a:ln>
          <a:noFill/>
        </a:ln>
      </xdr:spPr>
      <xdr:style>
        <a:lnRef idx="2">
          <a:schemeClr val="dk1">
            <a:shade val="50000"/>
          </a:schemeClr>
        </a:lnRef>
        <a:fillRef idx="1">
          <a:schemeClr val="dk1"/>
        </a:fillRef>
        <a:effectRef idx="0">
          <a:schemeClr val="dk1"/>
        </a:effectRef>
        <a:fontRef idx="minor">
          <a:schemeClr val="lt1"/>
        </a:fontRef>
      </xdr:style>
      <xdr:txBody>
        <a:bodyPr vertOverflow="clip" horzOverflow="clip" rtlCol="0" anchor="ctr"/>
        <a:lstStyle/>
        <a:p>
          <a:pPr algn="ctr"/>
          <a:r>
            <a:rPr lang="en-US" sz="1100" b="0">
              <a:ln>
                <a:noFill/>
              </a:ln>
              <a:solidFill>
                <a:schemeClr val="tx1"/>
              </a:solidFill>
              <a:latin typeface="Cambria" panose="02040503050406030204" pitchFamily="18" charset="0"/>
              <a:ea typeface="Cambria" panose="02040503050406030204" pitchFamily="18" charset="0"/>
            </a:rPr>
            <a:t>Retour Page De</a:t>
          </a:r>
          <a:r>
            <a:rPr lang="en-US" sz="1100" b="0" baseline="0">
              <a:ln>
                <a:noFill/>
              </a:ln>
              <a:solidFill>
                <a:schemeClr val="tx1"/>
              </a:solidFill>
              <a:latin typeface="Cambria" panose="02040503050406030204" pitchFamily="18" charset="0"/>
              <a:ea typeface="Cambria" panose="02040503050406030204" pitchFamily="18" charset="0"/>
            </a:rPr>
            <a:t> Navigation</a:t>
          </a:r>
          <a:endParaRPr lang="en-US" sz="1100" b="0">
            <a:ln>
              <a:noFill/>
            </a:ln>
            <a:solidFill>
              <a:schemeClr val="tx1"/>
            </a:solidFill>
            <a:latin typeface="Cambria" panose="02040503050406030204" pitchFamily="18" charset="0"/>
            <a:ea typeface="Cambria" panose="02040503050406030204" pitchFamily="18" charset="0"/>
          </a:endParaRPr>
        </a:p>
      </xdr:txBody>
    </xdr:sp>
    <xdr:clientData/>
  </xdr:twoCellAnchor>
</xdr:wsDr>
</file>

<file path=xl/drawings/drawing9.xml><?xml version="1.0" encoding="utf-8"?>
<xdr:wsDr xmlns:xdr="http://schemas.openxmlformats.org/drawingml/2006/spreadsheetDrawing" xmlns:a="http://schemas.openxmlformats.org/drawingml/2006/main">
  <xdr:twoCellAnchor>
    <xdr:from>
      <xdr:col>7</xdr:col>
      <xdr:colOff>784860</xdr:colOff>
      <xdr:row>0</xdr:row>
      <xdr:rowOff>83820</xdr:rowOff>
    </xdr:from>
    <xdr:to>
      <xdr:col>10</xdr:col>
      <xdr:colOff>447117</xdr:colOff>
      <xdr:row>2</xdr:row>
      <xdr:rowOff>56726</xdr:rowOff>
    </xdr:to>
    <xdr:sp macro="[1]!Navigation" textlink="">
      <xdr:nvSpPr>
        <xdr:cNvPr id="2" name="Rectangle à coins arrondis 2">
          <a:extLst>
            <a:ext uri="{FF2B5EF4-FFF2-40B4-BE49-F238E27FC236}">
              <a16:creationId xmlns:a16="http://schemas.microsoft.com/office/drawing/2014/main" id="{E0840643-5B38-49E3-A7F9-198A53687749}"/>
            </a:ext>
          </a:extLst>
        </xdr:cNvPr>
        <xdr:cNvSpPr/>
      </xdr:nvSpPr>
      <xdr:spPr>
        <a:xfrm>
          <a:off x="6099810" y="83820"/>
          <a:ext cx="1967307" cy="353906"/>
        </a:xfrm>
        <a:prstGeom prst="roundRect">
          <a:avLst/>
        </a:prstGeom>
        <a:solidFill>
          <a:schemeClr val="bg1">
            <a:lumMod val="85000"/>
          </a:schemeClr>
        </a:solidFill>
        <a:ln>
          <a:noFill/>
        </a:ln>
      </xdr:spPr>
      <xdr:style>
        <a:lnRef idx="2">
          <a:schemeClr val="dk1">
            <a:shade val="50000"/>
          </a:schemeClr>
        </a:lnRef>
        <a:fillRef idx="1">
          <a:schemeClr val="dk1"/>
        </a:fillRef>
        <a:effectRef idx="0">
          <a:schemeClr val="dk1"/>
        </a:effectRef>
        <a:fontRef idx="minor">
          <a:schemeClr val="lt1"/>
        </a:fontRef>
      </xdr:style>
      <xdr:txBody>
        <a:bodyPr vertOverflow="clip" horzOverflow="clip" rtlCol="0" anchor="ctr"/>
        <a:lstStyle/>
        <a:p>
          <a:pPr algn="ctr"/>
          <a:r>
            <a:rPr lang="en-US" sz="1100" b="0">
              <a:ln>
                <a:noFill/>
              </a:ln>
              <a:solidFill>
                <a:schemeClr val="tx1"/>
              </a:solidFill>
              <a:latin typeface="Cambria" panose="02040503050406030204" pitchFamily="18" charset="0"/>
              <a:ea typeface="Cambria" panose="02040503050406030204" pitchFamily="18" charset="0"/>
            </a:rPr>
            <a:t>Retour Page De</a:t>
          </a:r>
          <a:r>
            <a:rPr lang="en-US" sz="1100" b="0" baseline="0">
              <a:ln>
                <a:noFill/>
              </a:ln>
              <a:solidFill>
                <a:schemeClr val="tx1"/>
              </a:solidFill>
              <a:latin typeface="Cambria" panose="02040503050406030204" pitchFamily="18" charset="0"/>
              <a:ea typeface="Cambria" panose="02040503050406030204" pitchFamily="18" charset="0"/>
            </a:rPr>
            <a:t> Navigation</a:t>
          </a:r>
          <a:endParaRPr lang="en-US" sz="1100" b="0">
            <a:ln>
              <a:noFill/>
            </a:ln>
            <a:solidFill>
              <a:schemeClr val="tx1"/>
            </a:solidFill>
            <a:latin typeface="Cambria" panose="02040503050406030204" pitchFamily="18" charset="0"/>
            <a:ea typeface="Cambria" panose="02040503050406030204" pitchFamily="18" charset="0"/>
          </a:endParaRPr>
        </a:p>
      </xdr:txBody>
    </xdr:sp>
    <xdr:clientData/>
  </xdr:twoCellAnchor>
</xdr:wsDr>
</file>

<file path=xl/drawings/drawing10.xml><?xml version="1.0" encoding="utf-8"?>
<xdr:wsDr xmlns:xdr="http://schemas.openxmlformats.org/drawingml/2006/spreadsheetDrawing" xmlns:a="http://schemas.openxmlformats.org/drawingml/2006/main">
  <xdr:twoCellAnchor>
    <xdr:from>
      <xdr:col>14</xdr:col>
      <xdr:colOff>571500</xdr:colOff>
      <xdr:row>0</xdr:row>
      <xdr:rowOff>137160</xdr:rowOff>
    </xdr:from>
    <xdr:to>
      <xdr:col>17</xdr:col>
      <xdr:colOff>233757</xdr:colOff>
      <xdr:row>2</xdr:row>
      <xdr:rowOff>110066</xdr:rowOff>
    </xdr:to>
    <xdr:sp macro="[1]!Navigation" textlink="">
      <xdr:nvSpPr>
        <xdr:cNvPr id="2" name="Rectangle à coins arrondis 2">
          <a:extLst>
            <a:ext uri="{FF2B5EF4-FFF2-40B4-BE49-F238E27FC236}">
              <a16:creationId xmlns:a16="http://schemas.microsoft.com/office/drawing/2014/main" id="{AB77F84F-AC7F-4037-8CEB-E0FE29DD05F6}"/>
            </a:ext>
          </a:extLst>
        </xdr:cNvPr>
        <xdr:cNvSpPr/>
      </xdr:nvSpPr>
      <xdr:spPr>
        <a:xfrm>
          <a:off x="16297275" y="137160"/>
          <a:ext cx="1948257" cy="353906"/>
        </a:xfrm>
        <a:prstGeom prst="roundRect">
          <a:avLst/>
        </a:prstGeom>
        <a:solidFill>
          <a:schemeClr val="bg1">
            <a:lumMod val="85000"/>
          </a:schemeClr>
        </a:solidFill>
        <a:ln>
          <a:noFill/>
        </a:ln>
      </xdr:spPr>
      <xdr:style>
        <a:lnRef idx="2">
          <a:schemeClr val="dk1">
            <a:shade val="50000"/>
          </a:schemeClr>
        </a:lnRef>
        <a:fillRef idx="1">
          <a:schemeClr val="dk1"/>
        </a:fillRef>
        <a:effectRef idx="0">
          <a:schemeClr val="dk1"/>
        </a:effectRef>
        <a:fontRef idx="minor">
          <a:schemeClr val="lt1"/>
        </a:fontRef>
      </xdr:style>
      <xdr:txBody>
        <a:bodyPr vertOverflow="clip" horzOverflow="clip" rtlCol="0" anchor="ctr"/>
        <a:lstStyle/>
        <a:p>
          <a:pPr algn="ctr"/>
          <a:r>
            <a:rPr lang="en-US" sz="1100" b="0">
              <a:ln>
                <a:noFill/>
              </a:ln>
              <a:solidFill>
                <a:schemeClr val="tx1"/>
              </a:solidFill>
              <a:latin typeface="Cambria" panose="02040503050406030204" pitchFamily="18" charset="0"/>
              <a:ea typeface="Cambria" panose="02040503050406030204" pitchFamily="18" charset="0"/>
            </a:rPr>
            <a:t>Retour Page De</a:t>
          </a:r>
          <a:r>
            <a:rPr lang="en-US" sz="1100" b="0" baseline="0">
              <a:ln>
                <a:noFill/>
              </a:ln>
              <a:solidFill>
                <a:schemeClr val="tx1"/>
              </a:solidFill>
              <a:latin typeface="Cambria" panose="02040503050406030204" pitchFamily="18" charset="0"/>
              <a:ea typeface="Cambria" panose="02040503050406030204" pitchFamily="18" charset="0"/>
            </a:rPr>
            <a:t> Navigation</a:t>
          </a:r>
          <a:endParaRPr lang="en-US" sz="1100" b="0">
            <a:ln>
              <a:noFill/>
            </a:ln>
            <a:solidFill>
              <a:schemeClr val="tx1"/>
            </a:solidFill>
            <a:latin typeface="Cambria" panose="02040503050406030204" pitchFamily="18" charset="0"/>
            <a:ea typeface="Cambria" panose="02040503050406030204" pitchFamily="18" charset="0"/>
          </a:endParaRPr>
        </a:p>
      </xdr:txBody>
    </xdr:sp>
    <xdr:clientData/>
  </xdr:twoCellAnchor>
</xdr:wsDr>
</file>

<file path=xl/drawings/drawing11.xml><?xml version="1.0" encoding="utf-8"?>
<xdr:wsDr xmlns:xdr="http://schemas.openxmlformats.org/drawingml/2006/spreadsheetDrawing" xmlns:a="http://schemas.openxmlformats.org/drawingml/2006/main">
  <xdr:twoCellAnchor>
    <xdr:from>
      <xdr:col>8</xdr:col>
      <xdr:colOff>144780</xdr:colOff>
      <xdr:row>0</xdr:row>
      <xdr:rowOff>144780</xdr:rowOff>
    </xdr:from>
    <xdr:to>
      <xdr:col>10</xdr:col>
      <xdr:colOff>599517</xdr:colOff>
      <xdr:row>2</xdr:row>
      <xdr:rowOff>117686</xdr:rowOff>
    </xdr:to>
    <xdr:sp macro="[1]!Navigation" textlink="">
      <xdr:nvSpPr>
        <xdr:cNvPr id="2" name="Rectangle à coins arrondis 2">
          <a:extLst>
            <a:ext uri="{FF2B5EF4-FFF2-40B4-BE49-F238E27FC236}">
              <a16:creationId xmlns:a16="http://schemas.microsoft.com/office/drawing/2014/main" id="{C55FDA05-DA14-4A58-89BC-A46625F8C73C}"/>
            </a:ext>
          </a:extLst>
        </xdr:cNvPr>
        <xdr:cNvSpPr/>
      </xdr:nvSpPr>
      <xdr:spPr>
        <a:xfrm>
          <a:off x="6240780" y="144780"/>
          <a:ext cx="1978737" cy="353906"/>
        </a:xfrm>
        <a:prstGeom prst="roundRect">
          <a:avLst/>
        </a:prstGeom>
        <a:solidFill>
          <a:schemeClr val="bg1">
            <a:lumMod val="85000"/>
          </a:schemeClr>
        </a:solidFill>
        <a:ln>
          <a:noFill/>
        </a:ln>
      </xdr:spPr>
      <xdr:style>
        <a:lnRef idx="2">
          <a:schemeClr val="dk1">
            <a:shade val="50000"/>
          </a:schemeClr>
        </a:lnRef>
        <a:fillRef idx="1">
          <a:schemeClr val="dk1"/>
        </a:fillRef>
        <a:effectRef idx="0">
          <a:schemeClr val="dk1"/>
        </a:effectRef>
        <a:fontRef idx="minor">
          <a:schemeClr val="lt1"/>
        </a:fontRef>
      </xdr:style>
      <xdr:txBody>
        <a:bodyPr vertOverflow="clip" horzOverflow="clip" rtlCol="0" anchor="ctr"/>
        <a:lstStyle/>
        <a:p>
          <a:pPr algn="ctr"/>
          <a:r>
            <a:rPr lang="en-US" sz="1100" b="0">
              <a:ln>
                <a:noFill/>
              </a:ln>
              <a:solidFill>
                <a:schemeClr val="tx1"/>
              </a:solidFill>
              <a:latin typeface="Cambria" panose="02040503050406030204" pitchFamily="18" charset="0"/>
              <a:ea typeface="Cambria" panose="02040503050406030204" pitchFamily="18" charset="0"/>
            </a:rPr>
            <a:t>Retour Page De</a:t>
          </a:r>
          <a:r>
            <a:rPr lang="en-US" sz="1100" b="0" baseline="0">
              <a:ln>
                <a:noFill/>
              </a:ln>
              <a:solidFill>
                <a:schemeClr val="tx1"/>
              </a:solidFill>
              <a:latin typeface="Cambria" panose="02040503050406030204" pitchFamily="18" charset="0"/>
              <a:ea typeface="Cambria" panose="02040503050406030204" pitchFamily="18" charset="0"/>
            </a:rPr>
            <a:t> Navigation</a:t>
          </a:r>
          <a:endParaRPr lang="en-US" sz="1100" b="0">
            <a:ln>
              <a:noFill/>
            </a:ln>
            <a:solidFill>
              <a:schemeClr val="tx1"/>
            </a:solidFill>
            <a:latin typeface="Cambria" panose="02040503050406030204" pitchFamily="18" charset="0"/>
            <a:ea typeface="Cambria" panose="02040503050406030204" pitchFamily="18" charset="0"/>
          </a:endParaRPr>
        </a:p>
      </xdr:txBody>
    </xdr:sp>
    <xdr:clientData/>
  </xdr:twoCellAnchor>
</xdr:wsDr>
</file>

<file path=xl/drawings/drawing12.xml><?xml version="1.0" encoding="utf-8"?>
<xdr:wsDr xmlns:xdr="http://schemas.openxmlformats.org/drawingml/2006/spreadsheetDrawing" xmlns:a="http://schemas.openxmlformats.org/drawingml/2006/main">
  <xdr:twoCellAnchor>
    <xdr:from>
      <xdr:col>10</xdr:col>
      <xdr:colOff>342900</xdr:colOff>
      <xdr:row>0</xdr:row>
      <xdr:rowOff>68580</xdr:rowOff>
    </xdr:from>
    <xdr:to>
      <xdr:col>12</xdr:col>
      <xdr:colOff>5157</xdr:colOff>
      <xdr:row>2</xdr:row>
      <xdr:rowOff>41486</xdr:rowOff>
    </xdr:to>
    <xdr:sp macro="[1]!Navigation" textlink="">
      <xdr:nvSpPr>
        <xdr:cNvPr id="2" name="Rectangle à coins arrondis 2">
          <a:extLst>
            <a:ext uri="{FF2B5EF4-FFF2-40B4-BE49-F238E27FC236}">
              <a16:creationId xmlns:a16="http://schemas.microsoft.com/office/drawing/2014/main" id="{6D276D53-15C7-48CB-9970-C3A4B4C6AA75}"/>
            </a:ext>
          </a:extLst>
        </xdr:cNvPr>
        <xdr:cNvSpPr/>
      </xdr:nvSpPr>
      <xdr:spPr>
        <a:xfrm>
          <a:off x="9982200" y="68580"/>
          <a:ext cx="1967307" cy="353906"/>
        </a:xfrm>
        <a:prstGeom prst="roundRect">
          <a:avLst/>
        </a:prstGeom>
        <a:solidFill>
          <a:schemeClr val="bg1">
            <a:lumMod val="85000"/>
          </a:schemeClr>
        </a:solidFill>
        <a:ln>
          <a:noFill/>
        </a:ln>
      </xdr:spPr>
      <xdr:style>
        <a:lnRef idx="2">
          <a:schemeClr val="dk1">
            <a:shade val="50000"/>
          </a:schemeClr>
        </a:lnRef>
        <a:fillRef idx="1">
          <a:schemeClr val="dk1"/>
        </a:fillRef>
        <a:effectRef idx="0">
          <a:schemeClr val="dk1"/>
        </a:effectRef>
        <a:fontRef idx="minor">
          <a:schemeClr val="lt1"/>
        </a:fontRef>
      </xdr:style>
      <xdr:txBody>
        <a:bodyPr vertOverflow="clip" horzOverflow="clip" rtlCol="0" anchor="ctr"/>
        <a:lstStyle/>
        <a:p>
          <a:pPr algn="ctr"/>
          <a:r>
            <a:rPr lang="en-US" sz="1100" b="0">
              <a:ln>
                <a:noFill/>
              </a:ln>
              <a:solidFill>
                <a:schemeClr val="tx1"/>
              </a:solidFill>
              <a:latin typeface="Cambria" panose="02040503050406030204" pitchFamily="18" charset="0"/>
              <a:ea typeface="Cambria" panose="02040503050406030204" pitchFamily="18" charset="0"/>
            </a:rPr>
            <a:t>Retour Page De</a:t>
          </a:r>
          <a:r>
            <a:rPr lang="en-US" sz="1100" b="0" baseline="0">
              <a:ln>
                <a:noFill/>
              </a:ln>
              <a:solidFill>
                <a:schemeClr val="tx1"/>
              </a:solidFill>
              <a:latin typeface="Cambria" panose="02040503050406030204" pitchFamily="18" charset="0"/>
              <a:ea typeface="Cambria" panose="02040503050406030204" pitchFamily="18" charset="0"/>
            </a:rPr>
            <a:t> Navigation</a:t>
          </a:r>
          <a:endParaRPr lang="en-US" sz="1100" b="0">
            <a:ln>
              <a:noFill/>
            </a:ln>
            <a:solidFill>
              <a:schemeClr val="tx1"/>
            </a:solidFill>
            <a:latin typeface="Cambria" panose="02040503050406030204" pitchFamily="18" charset="0"/>
            <a:ea typeface="Cambria" panose="02040503050406030204" pitchFamily="18" charset="0"/>
          </a:endParaRPr>
        </a:p>
      </xdr:txBody>
    </xdr:sp>
    <xdr:clientData/>
  </xdr:twoCellAnchor>
</xdr:wsDr>
</file>

<file path=xl/drawings/drawing13.xml><?xml version="1.0" encoding="utf-8"?>
<xdr:wsDr xmlns:xdr="http://schemas.openxmlformats.org/drawingml/2006/spreadsheetDrawing" xmlns:a="http://schemas.openxmlformats.org/drawingml/2006/main">
  <xdr:twoCellAnchor>
    <xdr:from>
      <xdr:col>8</xdr:col>
      <xdr:colOff>220980</xdr:colOff>
      <xdr:row>0</xdr:row>
      <xdr:rowOff>99060</xdr:rowOff>
    </xdr:from>
    <xdr:to>
      <xdr:col>10</xdr:col>
      <xdr:colOff>675717</xdr:colOff>
      <xdr:row>2</xdr:row>
      <xdr:rowOff>71966</xdr:rowOff>
    </xdr:to>
    <xdr:sp macro="[1]!Navigation" textlink="">
      <xdr:nvSpPr>
        <xdr:cNvPr id="2" name="Rectangle à coins arrondis 2">
          <a:extLst>
            <a:ext uri="{FF2B5EF4-FFF2-40B4-BE49-F238E27FC236}">
              <a16:creationId xmlns:a16="http://schemas.microsoft.com/office/drawing/2014/main" id="{96612FF4-5A32-417F-A393-FDBBB1781B59}"/>
            </a:ext>
          </a:extLst>
        </xdr:cNvPr>
        <xdr:cNvSpPr/>
      </xdr:nvSpPr>
      <xdr:spPr>
        <a:xfrm>
          <a:off x="6316980" y="99060"/>
          <a:ext cx="1978737" cy="353906"/>
        </a:xfrm>
        <a:prstGeom prst="roundRect">
          <a:avLst/>
        </a:prstGeom>
        <a:solidFill>
          <a:schemeClr val="bg1">
            <a:lumMod val="85000"/>
          </a:schemeClr>
        </a:solidFill>
        <a:ln>
          <a:noFill/>
        </a:ln>
      </xdr:spPr>
      <xdr:style>
        <a:lnRef idx="2">
          <a:schemeClr val="dk1">
            <a:shade val="50000"/>
          </a:schemeClr>
        </a:lnRef>
        <a:fillRef idx="1">
          <a:schemeClr val="dk1"/>
        </a:fillRef>
        <a:effectRef idx="0">
          <a:schemeClr val="dk1"/>
        </a:effectRef>
        <a:fontRef idx="minor">
          <a:schemeClr val="lt1"/>
        </a:fontRef>
      </xdr:style>
      <xdr:txBody>
        <a:bodyPr vertOverflow="clip" horzOverflow="clip" rtlCol="0" anchor="ctr"/>
        <a:lstStyle/>
        <a:p>
          <a:pPr algn="ctr"/>
          <a:r>
            <a:rPr lang="en-US" sz="1100" b="0">
              <a:ln>
                <a:noFill/>
              </a:ln>
              <a:solidFill>
                <a:schemeClr val="tx1"/>
              </a:solidFill>
              <a:latin typeface="Cambria" panose="02040503050406030204" pitchFamily="18" charset="0"/>
              <a:ea typeface="Cambria" panose="02040503050406030204" pitchFamily="18" charset="0"/>
            </a:rPr>
            <a:t>Retour Page De</a:t>
          </a:r>
          <a:r>
            <a:rPr lang="en-US" sz="1100" b="0" baseline="0">
              <a:ln>
                <a:noFill/>
              </a:ln>
              <a:solidFill>
                <a:schemeClr val="tx1"/>
              </a:solidFill>
              <a:latin typeface="Cambria" panose="02040503050406030204" pitchFamily="18" charset="0"/>
              <a:ea typeface="Cambria" panose="02040503050406030204" pitchFamily="18" charset="0"/>
            </a:rPr>
            <a:t> Navigation</a:t>
          </a:r>
          <a:endParaRPr lang="en-US" sz="1100" b="0">
            <a:ln>
              <a:noFill/>
            </a:ln>
            <a:solidFill>
              <a:schemeClr val="tx1"/>
            </a:solidFill>
            <a:latin typeface="Cambria" panose="02040503050406030204" pitchFamily="18" charset="0"/>
            <a:ea typeface="Cambria" panose="02040503050406030204" pitchFamily="18" charset="0"/>
          </a:endParaRPr>
        </a:p>
      </xdr:txBody>
    </xdr:sp>
    <xdr:clientData/>
  </xdr:twoCellAnchor>
</xdr:wsDr>
</file>

<file path=xl/drawings/drawing14.xml><?xml version="1.0" encoding="utf-8"?>
<xdr:wsDr xmlns:xdr="http://schemas.openxmlformats.org/drawingml/2006/spreadsheetDrawing" xmlns:a="http://schemas.openxmlformats.org/drawingml/2006/main">
  <xdr:twoCellAnchor>
    <xdr:from>
      <xdr:col>10</xdr:col>
      <xdr:colOff>396240</xdr:colOff>
      <xdr:row>0</xdr:row>
      <xdr:rowOff>144780</xdr:rowOff>
    </xdr:from>
    <xdr:to>
      <xdr:col>13</xdr:col>
      <xdr:colOff>58497</xdr:colOff>
      <xdr:row>2</xdr:row>
      <xdr:rowOff>117686</xdr:rowOff>
    </xdr:to>
    <xdr:sp macro="[1]!Navigation" textlink="">
      <xdr:nvSpPr>
        <xdr:cNvPr id="2" name="Rectangle à coins arrondis 2">
          <a:extLst>
            <a:ext uri="{FF2B5EF4-FFF2-40B4-BE49-F238E27FC236}">
              <a16:creationId xmlns:a16="http://schemas.microsoft.com/office/drawing/2014/main" id="{4F68EE4B-2F15-432B-90F7-AE12BE52CB6A}"/>
            </a:ext>
          </a:extLst>
        </xdr:cNvPr>
        <xdr:cNvSpPr/>
      </xdr:nvSpPr>
      <xdr:spPr>
        <a:xfrm>
          <a:off x="10673715" y="144780"/>
          <a:ext cx="1948257" cy="353906"/>
        </a:xfrm>
        <a:prstGeom prst="roundRect">
          <a:avLst/>
        </a:prstGeom>
        <a:solidFill>
          <a:schemeClr val="bg1">
            <a:lumMod val="85000"/>
          </a:schemeClr>
        </a:solidFill>
        <a:ln>
          <a:noFill/>
        </a:ln>
      </xdr:spPr>
      <xdr:style>
        <a:lnRef idx="2">
          <a:schemeClr val="dk1">
            <a:shade val="50000"/>
          </a:schemeClr>
        </a:lnRef>
        <a:fillRef idx="1">
          <a:schemeClr val="dk1"/>
        </a:fillRef>
        <a:effectRef idx="0">
          <a:schemeClr val="dk1"/>
        </a:effectRef>
        <a:fontRef idx="minor">
          <a:schemeClr val="lt1"/>
        </a:fontRef>
      </xdr:style>
      <xdr:txBody>
        <a:bodyPr vertOverflow="clip" horzOverflow="clip" rtlCol="0" anchor="ctr"/>
        <a:lstStyle/>
        <a:p>
          <a:pPr algn="ctr"/>
          <a:r>
            <a:rPr lang="en-US" sz="1100" b="0">
              <a:ln>
                <a:noFill/>
              </a:ln>
              <a:solidFill>
                <a:schemeClr val="tx1"/>
              </a:solidFill>
              <a:latin typeface="Cambria" panose="02040503050406030204" pitchFamily="18" charset="0"/>
              <a:ea typeface="Cambria" panose="02040503050406030204" pitchFamily="18" charset="0"/>
            </a:rPr>
            <a:t>Retour Page De</a:t>
          </a:r>
          <a:r>
            <a:rPr lang="en-US" sz="1100" b="0" baseline="0">
              <a:ln>
                <a:noFill/>
              </a:ln>
              <a:solidFill>
                <a:schemeClr val="tx1"/>
              </a:solidFill>
              <a:latin typeface="Cambria" panose="02040503050406030204" pitchFamily="18" charset="0"/>
              <a:ea typeface="Cambria" panose="02040503050406030204" pitchFamily="18" charset="0"/>
            </a:rPr>
            <a:t> Navigation</a:t>
          </a:r>
          <a:endParaRPr lang="en-US" sz="1100" b="0">
            <a:ln>
              <a:noFill/>
            </a:ln>
            <a:solidFill>
              <a:schemeClr val="tx1"/>
            </a:solidFill>
            <a:latin typeface="Cambria" panose="02040503050406030204" pitchFamily="18" charset="0"/>
            <a:ea typeface="Cambria" panose="02040503050406030204" pitchFamily="18" charset="0"/>
          </a:endParaRPr>
        </a:p>
      </xdr:txBody>
    </xdr:sp>
    <xdr:clientData/>
  </xdr:twoCellAnchor>
</xdr:wsDr>
</file>

<file path=xl/drawings/drawing15.xml><?xml version="1.0" encoding="utf-8"?>
<xdr:wsDr xmlns:xdr="http://schemas.openxmlformats.org/drawingml/2006/spreadsheetDrawing" xmlns:a="http://schemas.openxmlformats.org/drawingml/2006/main">
  <xdr:twoCellAnchor>
    <xdr:from>
      <xdr:col>8</xdr:col>
      <xdr:colOff>190500</xdr:colOff>
      <xdr:row>0</xdr:row>
      <xdr:rowOff>129540</xdr:rowOff>
    </xdr:from>
    <xdr:to>
      <xdr:col>10</xdr:col>
      <xdr:colOff>645237</xdr:colOff>
      <xdr:row>2</xdr:row>
      <xdr:rowOff>102446</xdr:rowOff>
    </xdr:to>
    <xdr:sp macro="[1]!Navigation" textlink="">
      <xdr:nvSpPr>
        <xdr:cNvPr id="2" name="Rectangle à coins arrondis 2">
          <a:extLst>
            <a:ext uri="{FF2B5EF4-FFF2-40B4-BE49-F238E27FC236}">
              <a16:creationId xmlns:a16="http://schemas.microsoft.com/office/drawing/2014/main" id="{828A380E-0C13-43BF-9F71-A37CB1D51255}"/>
            </a:ext>
          </a:extLst>
        </xdr:cNvPr>
        <xdr:cNvSpPr/>
      </xdr:nvSpPr>
      <xdr:spPr>
        <a:xfrm>
          <a:off x="6286500" y="129540"/>
          <a:ext cx="1978737" cy="353906"/>
        </a:xfrm>
        <a:prstGeom prst="roundRect">
          <a:avLst/>
        </a:prstGeom>
        <a:solidFill>
          <a:schemeClr val="bg1">
            <a:lumMod val="85000"/>
          </a:schemeClr>
        </a:solidFill>
        <a:ln>
          <a:noFill/>
        </a:ln>
      </xdr:spPr>
      <xdr:style>
        <a:lnRef idx="2">
          <a:schemeClr val="dk1">
            <a:shade val="50000"/>
          </a:schemeClr>
        </a:lnRef>
        <a:fillRef idx="1">
          <a:schemeClr val="dk1"/>
        </a:fillRef>
        <a:effectRef idx="0">
          <a:schemeClr val="dk1"/>
        </a:effectRef>
        <a:fontRef idx="minor">
          <a:schemeClr val="lt1"/>
        </a:fontRef>
      </xdr:style>
      <xdr:txBody>
        <a:bodyPr vertOverflow="clip" horzOverflow="clip" rtlCol="0" anchor="ctr"/>
        <a:lstStyle/>
        <a:p>
          <a:pPr algn="ctr"/>
          <a:r>
            <a:rPr lang="en-US" sz="1100" b="0">
              <a:ln>
                <a:noFill/>
              </a:ln>
              <a:solidFill>
                <a:schemeClr val="tx1"/>
              </a:solidFill>
              <a:latin typeface="Cambria" panose="02040503050406030204" pitchFamily="18" charset="0"/>
              <a:ea typeface="Cambria" panose="02040503050406030204" pitchFamily="18" charset="0"/>
            </a:rPr>
            <a:t>Retour Page De</a:t>
          </a:r>
          <a:r>
            <a:rPr lang="en-US" sz="1100" b="0" baseline="0">
              <a:ln>
                <a:noFill/>
              </a:ln>
              <a:solidFill>
                <a:schemeClr val="tx1"/>
              </a:solidFill>
              <a:latin typeface="Cambria" panose="02040503050406030204" pitchFamily="18" charset="0"/>
              <a:ea typeface="Cambria" panose="02040503050406030204" pitchFamily="18" charset="0"/>
            </a:rPr>
            <a:t> Navigation</a:t>
          </a:r>
          <a:endParaRPr lang="en-US" sz="1100" b="0">
            <a:ln>
              <a:noFill/>
            </a:ln>
            <a:solidFill>
              <a:schemeClr val="tx1"/>
            </a:solidFill>
            <a:latin typeface="Cambria" panose="02040503050406030204" pitchFamily="18" charset="0"/>
            <a:ea typeface="Cambria" panose="02040503050406030204" pitchFamily="18" charset="0"/>
          </a:endParaRPr>
        </a:p>
      </xdr:txBody>
    </xdr:sp>
    <xdr:clientData/>
  </xdr:twoCellAnchor>
</xdr:wsDr>
</file>

<file path=xl/drawings/drawing16.xml><?xml version="1.0" encoding="utf-8"?>
<xdr:wsDr xmlns:xdr="http://schemas.openxmlformats.org/drawingml/2006/spreadsheetDrawing" xmlns:a="http://schemas.openxmlformats.org/drawingml/2006/main">
  <xdr:twoCellAnchor>
    <xdr:from>
      <xdr:col>10</xdr:col>
      <xdr:colOff>304800</xdr:colOff>
      <xdr:row>0</xdr:row>
      <xdr:rowOff>99060</xdr:rowOff>
    </xdr:from>
    <xdr:to>
      <xdr:col>12</xdr:col>
      <xdr:colOff>759537</xdr:colOff>
      <xdr:row>2</xdr:row>
      <xdr:rowOff>71966</xdr:rowOff>
    </xdr:to>
    <xdr:sp macro="[1]!Navigation" textlink="">
      <xdr:nvSpPr>
        <xdr:cNvPr id="2" name="Rectangle à coins arrondis 2">
          <a:extLst>
            <a:ext uri="{FF2B5EF4-FFF2-40B4-BE49-F238E27FC236}">
              <a16:creationId xmlns:a16="http://schemas.microsoft.com/office/drawing/2014/main" id="{313928EE-38D8-4EE5-A562-8526AA71E75B}"/>
            </a:ext>
          </a:extLst>
        </xdr:cNvPr>
        <xdr:cNvSpPr/>
      </xdr:nvSpPr>
      <xdr:spPr>
        <a:xfrm>
          <a:off x="9201150" y="99060"/>
          <a:ext cx="1978737" cy="353906"/>
        </a:xfrm>
        <a:prstGeom prst="roundRect">
          <a:avLst/>
        </a:prstGeom>
        <a:solidFill>
          <a:schemeClr val="bg1">
            <a:lumMod val="85000"/>
          </a:schemeClr>
        </a:solidFill>
        <a:ln>
          <a:noFill/>
        </a:ln>
      </xdr:spPr>
      <xdr:style>
        <a:lnRef idx="2">
          <a:schemeClr val="dk1">
            <a:shade val="50000"/>
          </a:schemeClr>
        </a:lnRef>
        <a:fillRef idx="1">
          <a:schemeClr val="dk1"/>
        </a:fillRef>
        <a:effectRef idx="0">
          <a:schemeClr val="dk1"/>
        </a:effectRef>
        <a:fontRef idx="minor">
          <a:schemeClr val="lt1"/>
        </a:fontRef>
      </xdr:style>
      <xdr:txBody>
        <a:bodyPr vertOverflow="clip" horzOverflow="clip" rtlCol="0" anchor="ctr"/>
        <a:lstStyle/>
        <a:p>
          <a:pPr algn="ctr"/>
          <a:r>
            <a:rPr lang="en-US" sz="1100" b="0">
              <a:ln>
                <a:noFill/>
              </a:ln>
              <a:solidFill>
                <a:schemeClr val="tx1"/>
              </a:solidFill>
              <a:latin typeface="Cambria" panose="02040503050406030204" pitchFamily="18" charset="0"/>
              <a:ea typeface="Cambria" panose="02040503050406030204" pitchFamily="18" charset="0"/>
            </a:rPr>
            <a:t>Retour Page De</a:t>
          </a:r>
          <a:r>
            <a:rPr lang="en-US" sz="1100" b="0" baseline="0">
              <a:ln>
                <a:noFill/>
              </a:ln>
              <a:solidFill>
                <a:schemeClr val="tx1"/>
              </a:solidFill>
              <a:latin typeface="Cambria" panose="02040503050406030204" pitchFamily="18" charset="0"/>
              <a:ea typeface="Cambria" panose="02040503050406030204" pitchFamily="18" charset="0"/>
            </a:rPr>
            <a:t> Navigation</a:t>
          </a:r>
          <a:endParaRPr lang="en-US" sz="1100" b="0">
            <a:ln>
              <a:noFill/>
            </a:ln>
            <a:solidFill>
              <a:schemeClr val="tx1"/>
            </a:solidFill>
            <a:latin typeface="Cambria" panose="02040503050406030204" pitchFamily="18" charset="0"/>
            <a:ea typeface="Cambria" panose="02040503050406030204" pitchFamily="18" charset="0"/>
          </a:endParaRPr>
        </a:p>
      </xdr:txBody>
    </xdr:sp>
    <xdr:clientData/>
  </xdr:twoCellAnchor>
</xdr:wsDr>
</file>

<file path=xl/drawings/drawing17.xml><?xml version="1.0" encoding="utf-8"?>
<xdr:wsDr xmlns:xdr="http://schemas.openxmlformats.org/drawingml/2006/spreadsheetDrawing" xmlns:a="http://schemas.openxmlformats.org/drawingml/2006/main">
  <xdr:twoCellAnchor>
    <xdr:from>
      <xdr:col>10</xdr:col>
      <xdr:colOff>175260</xdr:colOff>
      <xdr:row>0</xdr:row>
      <xdr:rowOff>114300</xdr:rowOff>
    </xdr:from>
    <xdr:to>
      <xdr:col>12</xdr:col>
      <xdr:colOff>629997</xdr:colOff>
      <xdr:row>2</xdr:row>
      <xdr:rowOff>87206</xdr:rowOff>
    </xdr:to>
    <xdr:sp macro="[1]!Navigation" textlink="">
      <xdr:nvSpPr>
        <xdr:cNvPr id="2" name="Rectangle à coins arrondis 2">
          <a:extLst>
            <a:ext uri="{FF2B5EF4-FFF2-40B4-BE49-F238E27FC236}">
              <a16:creationId xmlns:a16="http://schemas.microsoft.com/office/drawing/2014/main" id="{964615CF-5434-428F-8F5F-0CDC901F816D}"/>
            </a:ext>
          </a:extLst>
        </xdr:cNvPr>
        <xdr:cNvSpPr/>
      </xdr:nvSpPr>
      <xdr:spPr>
        <a:xfrm>
          <a:off x="9843135" y="114300"/>
          <a:ext cx="1978737" cy="353906"/>
        </a:xfrm>
        <a:prstGeom prst="roundRect">
          <a:avLst/>
        </a:prstGeom>
        <a:solidFill>
          <a:schemeClr val="bg1">
            <a:lumMod val="85000"/>
          </a:schemeClr>
        </a:solidFill>
        <a:ln>
          <a:noFill/>
        </a:ln>
      </xdr:spPr>
      <xdr:style>
        <a:lnRef idx="2">
          <a:schemeClr val="dk1">
            <a:shade val="50000"/>
          </a:schemeClr>
        </a:lnRef>
        <a:fillRef idx="1">
          <a:schemeClr val="dk1"/>
        </a:fillRef>
        <a:effectRef idx="0">
          <a:schemeClr val="dk1"/>
        </a:effectRef>
        <a:fontRef idx="minor">
          <a:schemeClr val="lt1"/>
        </a:fontRef>
      </xdr:style>
      <xdr:txBody>
        <a:bodyPr vertOverflow="clip" horzOverflow="clip" rtlCol="0" anchor="ctr"/>
        <a:lstStyle/>
        <a:p>
          <a:pPr algn="ctr"/>
          <a:r>
            <a:rPr lang="en-US" sz="1100" b="0">
              <a:ln>
                <a:noFill/>
              </a:ln>
              <a:solidFill>
                <a:schemeClr val="tx1"/>
              </a:solidFill>
              <a:latin typeface="Cambria" panose="02040503050406030204" pitchFamily="18" charset="0"/>
              <a:ea typeface="Cambria" panose="02040503050406030204" pitchFamily="18" charset="0"/>
            </a:rPr>
            <a:t>Retour Page De</a:t>
          </a:r>
          <a:r>
            <a:rPr lang="en-US" sz="1100" b="0" baseline="0">
              <a:ln>
                <a:noFill/>
              </a:ln>
              <a:solidFill>
                <a:schemeClr val="tx1"/>
              </a:solidFill>
              <a:latin typeface="Cambria" panose="02040503050406030204" pitchFamily="18" charset="0"/>
              <a:ea typeface="Cambria" panose="02040503050406030204" pitchFamily="18" charset="0"/>
            </a:rPr>
            <a:t> Navigation</a:t>
          </a:r>
          <a:endParaRPr lang="en-US" sz="1100" b="0">
            <a:ln>
              <a:noFill/>
            </a:ln>
            <a:solidFill>
              <a:schemeClr val="tx1"/>
            </a:solidFill>
            <a:latin typeface="Cambria" panose="02040503050406030204" pitchFamily="18" charset="0"/>
            <a:ea typeface="Cambria" panose="02040503050406030204" pitchFamily="18" charset="0"/>
          </a:endParaRPr>
        </a:p>
      </xdr:txBody>
    </xdr:sp>
    <xdr:clientData/>
  </xdr:twoCellAnchor>
</xdr:wsDr>
</file>

<file path=xl/drawings/drawing18.xml><?xml version="1.0" encoding="utf-8"?>
<xdr:wsDr xmlns:xdr="http://schemas.openxmlformats.org/drawingml/2006/spreadsheetDrawing" xmlns:a="http://schemas.openxmlformats.org/drawingml/2006/main">
  <xdr:twoCellAnchor>
    <xdr:from>
      <xdr:col>10</xdr:col>
      <xdr:colOff>182880</xdr:colOff>
      <xdr:row>0</xdr:row>
      <xdr:rowOff>114300</xdr:rowOff>
    </xdr:from>
    <xdr:to>
      <xdr:col>12</xdr:col>
      <xdr:colOff>637617</xdr:colOff>
      <xdr:row>2</xdr:row>
      <xdr:rowOff>87206</xdr:rowOff>
    </xdr:to>
    <xdr:sp macro="[1]!Navigation" textlink="">
      <xdr:nvSpPr>
        <xdr:cNvPr id="2" name="Rectangle à coins arrondis 2">
          <a:extLst>
            <a:ext uri="{FF2B5EF4-FFF2-40B4-BE49-F238E27FC236}">
              <a16:creationId xmlns:a16="http://schemas.microsoft.com/office/drawing/2014/main" id="{FFCC7CA3-1811-49FD-8FB4-A3B611472312}"/>
            </a:ext>
          </a:extLst>
        </xdr:cNvPr>
        <xdr:cNvSpPr/>
      </xdr:nvSpPr>
      <xdr:spPr>
        <a:xfrm>
          <a:off x="9250680" y="114300"/>
          <a:ext cx="1978737" cy="353906"/>
        </a:xfrm>
        <a:prstGeom prst="roundRect">
          <a:avLst/>
        </a:prstGeom>
        <a:solidFill>
          <a:schemeClr val="bg1">
            <a:lumMod val="85000"/>
          </a:schemeClr>
        </a:solidFill>
        <a:ln>
          <a:noFill/>
        </a:ln>
      </xdr:spPr>
      <xdr:style>
        <a:lnRef idx="2">
          <a:schemeClr val="dk1">
            <a:shade val="50000"/>
          </a:schemeClr>
        </a:lnRef>
        <a:fillRef idx="1">
          <a:schemeClr val="dk1"/>
        </a:fillRef>
        <a:effectRef idx="0">
          <a:schemeClr val="dk1"/>
        </a:effectRef>
        <a:fontRef idx="minor">
          <a:schemeClr val="lt1"/>
        </a:fontRef>
      </xdr:style>
      <xdr:txBody>
        <a:bodyPr vertOverflow="clip" horzOverflow="clip" rtlCol="0" anchor="ctr"/>
        <a:lstStyle/>
        <a:p>
          <a:pPr algn="ctr"/>
          <a:r>
            <a:rPr lang="en-US" sz="1100" b="0">
              <a:ln>
                <a:noFill/>
              </a:ln>
              <a:solidFill>
                <a:schemeClr val="tx1"/>
              </a:solidFill>
              <a:latin typeface="Cambria" panose="02040503050406030204" pitchFamily="18" charset="0"/>
              <a:ea typeface="Cambria" panose="02040503050406030204" pitchFamily="18" charset="0"/>
            </a:rPr>
            <a:t>Retour Page De</a:t>
          </a:r>
          <a:r>
            <a:rPr lang="en-US" sz="1100" b="0" baseline="0">
              <a:ln>
                <a:noFill/>
              </a:ln>
              <a:solidFill>
                <a:schemeClr val="tx1"/>
              </a:solidFill>
              <a:latin typeface="Cambria" panose="02040503050406030204" pitchFamily="18" charset="0"/>
              <a:ea typeface="Cambria" panose="02040503050406030204" pitchFamily="18" charset="0"/>
            </a:rPr>
            <a:t> Navigation</a:t>
          </a:r>
          <a:endParaRPr lang="en-US" sz="1100" b="0">
            <a:ln>
              <a:noFill/>
            </a:ln>
            <a:solidFill>
              <a:schemeClr val="tx1"/>
            </a:solidFill>
            <a:latin typeface="Cambria" panose="02040503050406030204" pitchFamily="18" charset="0"/>
            <a:ea typeface="Cambria" panose="02040503050406030204" pitchFamily="18" charset="0"/>
          </a:endParaRPr>
        </a:p>
      </xdr:txBody>
    </xdr:sp>
    <xdr:clientData/>
  </xdr:twoCellAnchor>
</xdr:wsDr>
</file>

<file path=xl/drawings/drawing19.xml><?xml version="1.0" encoding="utf-8"?>
<xdr:wsDr xmlns:xdr="http://schemas.openxmlformats.org/drawingml/2006/spreadsheetDrawing" xmlns:a="http://schemas.openxmlformats.org/drawingml/2006/main">
  <xdr:twoCellAnchor>
    <xdr:from>
      <xdr:col>11</xdr:col>
      <xdr:colOff>259080</xdr:colOff>
      <xdr:row>0</xdr:row>
      <xdr:rowOff>114300</xdr:rowOff>
    </xdr:from>
    <xdr:to>
      <xdr:col>13</xdr:col>
      <xdr:colOff>713817</xdr:colOff>
      <xdr:row>2</xdr:row>
      <xdr:rowOff>87206</xdr:rowOff>
    </xdr:to>
    <xdr:sp macro="[1]!Navigation" textlink="">
      <xdr:nvSpPr>
        <xdr:cNvPr id="2" name="Rectangle à coins arrondis 2">
          <a:extLst>
            <a:ext uri="{FF2B5EF4-FFF2-40B4-BE49-F238E27FC236}">
              <a16:creationId xmlns:a16="http://schemas.microsoft.com/office/drawing/2014/main" id="{196BB1F3-3040-47FE-8FFF-4419B3987A27}"/>
            </a:ext>
          </a:extLst>
        </xdr:cNvPr>
        <xdr:cNvSpPr/>
      </xdr:nvSpPr>
      <xdr:spPr>
        <a:xfrm>
          <a:off x="9688830" y="114300"/>
          <a:ext cx="1978737" cy="353906"/>
        </a:xfrm>
        <a:prstGeom prst="roundRect">
          <a:avLst/>
        </a:prstGeom>
        <a:solidFill>
          <a:schemeClr val="bg1">
            <a:lumMod val="85000"/>
          </a:schemeClr>
        </a:solidFill>
        <a:ln>
          <a:noFill/>
        </a:ln>
      </xdr:spPr>
      <xdr:style>
        <a:lnRef idx="2">
          <a:schemeClr val="dk1">
            <a:shade val="50000"/>
          </a:schemeClr>
        </a:lnRef>
        <a:fillRef idx="1">
          <a:schemeClr val="dk1"/>
        </a:fillRef>
        <a:effectRef idx="0">
          <a:schemeClr val="dk1"/>
        </a:effectRef>
        <a:fontRef idx="minor">
          <a:schemeClr val="lt1"/>
        </a:fontRef>
      </xdr:style>
      <xdr:txBody>
        <a:bodyPr vertOverflow="clip" horzOverflow="clip" rtlCol="0" anchor="ctr"/>
        <a:lstStyle/>
        <a:p>
          <a:pPr algn="ctr"/>
          <a:r>
            <a:rPr lang="en-US" sz="1100" b="0">
              <a:ln>
                <a:noFill/>
              </a:ln>
              <a:solidFill>
                <a:schemeClr val="tx1"/>
              </a:solidFill>
              <a:latin typeface="Cambria" panose="02040503050406030204" pitchFamily="18" charset="0"/>
              <a:ea typeface="Cambria" panose="02040503050406030204" pitchFamily="18" charset="0"/>
            </a:rPr>
            <a:t>Retour Page De</a:t>
          </a:r>
          <a:r>
            <a:rPr lang="en-US" sz="1100" b="0" baseline="0">
              <a:ln>
                <a:noFill/>
              </a:ln>
              <a:solidFill>
                <a:schemeClr val="tx1"/>
              </a:solidFill>
              <a:latin typeface="Cambria" panose="02040503050406030204" pitchFamily="18" charset="0"/>
              <a:ea typeface="Cambria" panose="02040503050406030204" pitchFamily="18" charset="0"/>
            </a:rPr>
            <a:t> Navigation</a:t>
          </a:r>
          <a:endParaRPr lang="en-US" sz="1100" b="0">
            <a:ln>
              <a:noFill/>
            </a:ln>
            <a:solidFill>
              <a:schemeClr val="tx1"/>
            </a:solidFill>
            <a:latin typeface="Cambria" panose="02040503050406030204" pitchFamily="18" charset="0"/>
            <a:ea typeface="Cambria" panose="02040503050406030204" pitchFamily="18" charset="0"/>
          </a:endParaRPr>
        </a:p>
      </xdr:txBody>
    </xdr:sp>
    <xdr:clientData/>
  </xdr:twoCellAnchor>
</xdr:wsDr>
</file>

<file path=xl/drawings/drawing20.xml><?xml version="1.0" encoding="utf-8"?>
<xdr:wsDr xmlns:xdr="http://schemas.openxmlformats.org/drawingml/2006/spreadsheetDrawing" xmlns:a="http://schemas.openxmlformats.org/drawingml/2006/main">
  <xdr:twoCellAnchor>
    <xdr:from>
      <xdr:col>11</xdr:col>
      <xdr:colOff>68580</xdr:colOff>
      <xdr:row>0</xdr:row>
      <xdr:rowOff>83820</xdr:rowOff>
    </xdr:from>
    <xdr:to>
      <xdr:col>13</xdr:col>
      <xdr:colOff>523317</xdr:colOff>
      <xdr:row>2</xdr:row>
      <xdr:rowOff>56726</xdr:rowOff>
    </xdr:to>
    <xdr:sp macro="[1]!Navigation" textlink="">
      <xdr:nvSpPr>
        <xdr:cNvPr id="2" name="Rectangle à coins arrondis 2">
          <a:extLst>
            <a:ext uri="{FF2B5EF4-FFF2-40B4-BE49-F238E27FC236}">
              <a16:creationId xmlns:a16="http://schemas.microsoft.com/office/drawing/2014/main" id="{09EC4D69-C983-47C8-878D-99FBE0629728}"/>
            </a:ext>
          </a:extLst>
        </xdr:cNvPr>
        <xdr:cNvSpPr/>
      </xdr:nvSpPr>
      <xdr:spPr>
        <a:xfrm>
          <a:off x="9022080" y="83820"/>
          <a:ext cx="1978737" cy="353906"/>
        </a:xfrm>
        <a:prstGeom prst="roundRect">
          <a:avLst/>
        </a:prstGeom>
        <a:solidFill>
          <a:schemeClr val="bg1">
            <a:lumMod val="85000"/>
          </a:schemeClr>
        </a:solidFill>
        <a:ln>
          <a:noFill/>
        </a:ln>
      </xdr:spPr>
      <xdr:style>
        <a:lnRef idx="2">
          <a:schemeClr val="dk1">
            <a:shade val="50000"/>
          </a:schemeClr>
        </a:lnRef>
        <a:fillRef idx="1">
          <a:schemeClr val="dk1"/>
        </a:fillRef>
        <a:effectRef idx="0">
          <a:schemeClr val="dk1"/>
        </a:effectRef>
        <a:fontRef idx="minor">
          <a:schemeClr val="lt1"/>
        </a:fontRef>
      </xdr:style>
      <xdr:txBody>
        <a:bodyPr vertOverflow="clip" horzOverflow="clip" rtlCol="0" anchor="ctr"/>
        <a:lstStyle/>
        <a:p>
          <a:pPr algn="ctr"/>
          <a:r>
            <a:rPr lang="en-US" sz="1100" b="0">
              <a:ln>
                <a:noFill/>
              </a:ln>
              <a:solidFill>
                <a:schemeClr val="tx1"/>
              </a:solidFill>
              <a:latin typeface="Cambria" panose="02040503050406030204" pitchFamily="18" charset="0"/>
              <a:ea typeface="Cambria" panose="02040503050406030204" pitchFamily="18" charset="0"/>
            </a:rPr>
            <a:t>Retour Page De</a:t>
          </a:r>
          <a:r>
            <a:rPr lang="en-US" sz="1100" b="0" baseline="0">
              <a:ln>
                <a:noFill/>
              </a:ln>
              <a:solidFill>
                <a:schemeClr val="tx1"/>
              </a:solidFill>
              <a:latin typeface="Cambria" panose="02040503050406030204" pitchFamily="18" charset="0"/>
              <a:ea typeface="Cambria" panose="02040503050406030204" pitchFamily="18" charset="0"/>
            </a:rPr>
            <a:t> Navigation</a:t>
          </a:r>
          <a:endParaRPr lang="en-US" sz="1100" b="0">
            <a:ln>
              <a:noFill/>
            </a:ln>
            <a:solidFill>
              <a:schemeClr val="tx1"/>
            </a:solidFill>
            <a:latin typeface="Cambria" panose="02040503050406030204" pitchFamily="18" charset="0"/>
            <a:ea typeface="Cambria" panose="02040503050406030204" pitchFamily="18" charset="0"/>
          </a:endParaRPr>
        </a:p>
      </xdr:txBody>
    </xdr:sp>
    <xdr:clientData/>
  </xdr:twoCellAnchor>
</xdr:wsDr>
</file>

<file path=xl/drawings/drawing21.xml><?xml version="1.0" encoding="utf-8"?>
<xdr:wsDr xmlns:xdr="http://schemas.openxmlformats.org/drawingml/2006/spreadsheetDrawing" xmlns:a="http://schemas.openxmlformats.org/drawingml/2006/main">
  <xdr:twoCellAnchor>
    <xdr:from>
      <xdr:col>11</xdr:col>
      <xdr:colOff>251460</xdr:colOff>
      <xdr:row>0</xdr:row>
      <xdr:rowOff>99060</xdr:rowOff>
    </xdr:from>
    <xdr:to>
      <xdr:col>13</xdr:col>
      <xdr:colOff>706197</xdr:colOff>
      <xdr:row>2</xdr:row>
      <xdr:rowOff>71966</xdr:rowOff>
    </xdr:to>
    <xdr:sp macro="[1]!Navigation" textlink="">
      <xdr:nvSpPr>
        <xdr:cNvPr id="2" name="Rectangle à coins arrondis 2">
          <a:extLst>
            <a:ext uri="{FF2B5EF4-FFF2-40B4-BE49-F238E27FC236}">
              <a16:creationId xmlns:a16="http://schemas.microsoft.com/office/drawing/2014/main" id="{8E49E4E8-C49F-4B07-8BB9-3A78F3A80360}"/>
            </a:ext>
          </a:extLst>
        </xdr:cNvPr>
        <xdr:cNvSpPr/>
      </xdr:nvSpPr>
      <xdr:spPr>
        <a:xfrm>
          <a:off x="11710035" y="99060"/>
          <a:ext cx="1978737" cy="353906"/>
        </a:xfrm>
        <a:prstGeom prst="roundRect">
          <a:avLst/>
        </a:prstGeom>
        <a:solidFill>
          <a:schemeClr val="bg1">
            <a:lumMod val="85000"/>
          </a:schemeClr>
        </a:solidFill>
        <a:ln>
          <a:noFill/>
        </a:ln>
      </xdr:spPr>
      <xdr:style>
        <a:lnRef idx="2">
          <a:schemeClr val="dk1">
            <a:shade val="50000"/>
          </a:schemeClr>
        </a:lnRef>
        <a:fillRef idx="1">
          <a:schemeClr val="dk1"/>
        </a:fillRef>
        <a:effectRef idx="0">
          <a:schemeClr val="dk1"/>
        </a:effectRef>
        <a:fontRef idx="minor">
          <a:schemeClr val="lt1"/>
        </a:fontRef>
      </xdr:style>
      <xdr:txBody>
        <a:bodyPr vertOverflow="clip" horzOverflow="clip" rtlCol="0" anchor="ctr"/>
        <a:lstStyle/>
        <a:p>
          <a:pPr algn="ctr"/>
          <a:r>
            <a:rPr lang="en-US" sz="1100" b="0">
              <a:ln>
                <a:noFill/>
              </a:ln>
              <a:solidFill>
                <a:schemeClr val="tx1"/>
              </a:solidFill>
              <a:latin typeface="Cambria" panose="02040503050406030204" pitchFamily="18" charset="0"/>
              <a:ea typeface="Cambria" panose="02040503050406030204" pitchFamily="18" charset="0"/>
            </a:rPr>
            <a:t>Retour Page De</a:t>
          </a:r>
          <a:r>
            <a:rPr lang="en-US" sz="1100" b="0" baseline="0">
              <a:ln>
                <a:noFill/>
              </a:ln>
              <a:solidFill>
                <a:schemeClr val="tx1"/>
              </a:solidFill>
              <a:latin typeface="Cambria" panose="02040503050406030204" pitchFamily="18" charset="0"/>
              <a:ea typeface="Cambria" panose="02040503050406030204" pitchFamily="18" charset="0"/>
            </a:rPr>
            <a:t> Navigation</a:t>
          </a:r>
          <a:endParaRPr lang="en-US" sz="1100" b="0">
            <a:ln>
              <a:noFill/>
            </a:ln>
            <a:solidFill>
              <a:schemeClr val="tx1"/>
            </a:solidFill>
            <a:latin typeface="Cambria" panose="02040503050406030204" pitchFamily="18" charset="0"/>
            <a:ea typeface="Cambria" panose="02040503050406030204" pitchFamily="18" charset="0"/>
          </a:endParaRPr>
        </a:p>
      </xdr:txBody>
    </xdr:sp>
    <xdr:clientData/>
  </xdr:twoCellAnchor>
</xdr:wsDr>
</file>

<file path=xl/drawings/drawing22.xml><?xml version="1.0" encoding="utf-8"?>
<xdr:wsDr xmlns:xdr="http://schemas.openxmlformats.org/drawingml/2006/spreadsheetDrawing" xmlns:a="http://schemas.openxmlformats.org/drawingml/2006/main">
  <xdr:twoCellAnchor>
    <xdr:from>
      <xdr:col>10</xdr:col>
      <xdr:colOff>769620</xdr:colOff>
      <xdr:row>0</xdr:row>
      <xdr:rowOff>91440</xdr:rowOff>
    </xdr:from>
    <xdr:to>
      <xdr:col>13</xdr:col>
      <xdr:colOff>431877</xdr:colOff>
      <xdr:row>2</xdr:row>
      <xdr:rowOff>64346</xdr:rowOff>
    </xdr:to>
    <xdr:sp macro="[1]!Navigation" textlink="">
      <xdr:nvSpPr>
        <xdr:cNvPr id="2" name="Rectangle à coins arrondis 2">
          <a:extLst>
            <a:ext uri="{FF2B5EF4-FFF2-40B4-BE49-F238E27FC236}">
              <a16:creationId xmlns:a16="http://schemas.microsoft.com/office/drawing/2014/main" id="{7A4228ED-191B-4966-BDE2-252992C8535E}"/>
            </a:ext>
          </a:extLst>
        </xdr:cNvPr>
        <xdr:cNvSpPr/>
      </xdr:nvSpPr>
      <xdr:spPr>
        <a:xfrm>
          <a:off x="11599545" y="91440"/>
          <a:ext cx="1957782" cy="353906"/>
        </a:xfrm>
        <a:prstGeom prst="roundRect">
          <a:avLst/>
        </a:prstGeom>
        <a:solidFill>
          <a:schemeClr val="bg1">
            <a:lumMod val="85000"/>
          </a:schemeClr>
        </a:solidFill>
        <a:ln>
          <a:noFill/>
        </a:ln>
      </xdr:spPr>
      <xdr:style>
        <a:lnRef idx="2">
          <a:schemeClr val="dk1">
            <a:shade val="50000"/>
          </a:schemeClr>
        </a:lnRef>
        <a:fillRef idx="1">
          <a:schemeClr val="dk1"/>
        </a:fillRef>
        <a:effectRef idx="0">
          <a:schemeClr val="dk1"/>
        </a:effectRef>
        <a:fontRef idx="minor">
          <a:schemeClr val="lt1"/>
        </a:fontRef>
      </xdr:style>
      <xdr:txBody>
        <a:bodyPr vertOverflow="clip" horzOverflow="clip" rtlCol="0" anchor="ctr"/>
        <a:lstStyle/>
        <a:p>
          <a:pPr algn="ctr"/>
          <a:r>
            <a:rPr lang="en-US" sz="1100" b="0">
              <a:ln>
                <a:noFill/>
              </a:ln>
              <a:solidFill>
                <a:schemeClr val="tx1"/>
              </a:solidFill>
              <a:latin typeface="Cambria" panose="02040503050406030204" pitchFamily="18" charset="0"/>
              <a:ea typeface="Cambria" panose="02040503050406030204" pitchFamily="18" charset="0"/>
            </a:rPr>
            <a:t>Retour Page De</a:t>
          </a:r>
          <a:r>
            <a:rPr lang="en-US" sz="1100" b="0" baseline="0">
              <a:ln>
                <a:noFill/>
              </a:ln>
              <a:solidFill>
                <a:schemeClr val="tx1"/>
              </a:solidFill>
              <a:latin typeface="Cambria" panose="02040503050406030204" pitchFamily="18" charset="0"/>
              <a:ea typeface="Cambria" panose="02040503050406030204" pitchFamily="18" charset="0"/>
            </a:rPr>
            <a:t> Navigation</a:t>
          </a:r>
          <a:endParaRPr lang="en-US" sz="1100" b="0">
            <a:ln>
              <a:noFill/>
            </a:ln>
            <a:solidFill>
              <a:schemeClr val="tx1"/>
            </a:solidFill>
            <a:latin typeface="Cambria" panose="02040503050406030204" pitchFamily="18" charset="0"/>
            <a:ea typeface="Cambria" panose="02040503050406030204" pitchFamily="18" charset="0"/>
          </a:endParaRPr>
        </a:p>
      </xdr:txBody>
    </xdr:sp>
    <xdr:clientData/>
  </xdr:twoCellAnchor>
</xdr:wsDr>
</file>

<file path=xl/drawings/drawing23.xml><?xml version="1.0" encoding="utf-8"?>
<xdr:wsDr xmlns:xdr="http://schemas.openxmlformats.org/drawingml/2006/spreadsheetDrawing" xmlns:a="http://schemas.openxmlformats.org/drawingml/2006/main">
  <xdr:twoCellAnchor>
    <xdr:from>
      <xdr:col>11</xdr:col>
      <xdr:colOff>182880</xdr:colOff>
      <xdr:row>0</xdr:row>
      <xdr:rowOff>106680</xdr:rowOff>
    </xdr:from>
    <xdr:to>
      <xdr:col>13</xdr:col>
      <xdr:colOff>637617</xdr:colOff>
      <xdr:row>2</xdr:row>
      <xdr:rowOff>79586</xdr:rowOff>
    </xdr:to>
    <xdr:sp macro="[1]!Navigation" textlink="">
      <xdr:nvSpPr>
        <xdr:cNvPr id="2" name="Rectangle à coins arrondis 2">
          <a:extLst>
            <a:ext uri="{FF2B5EF4-FFF2-40B4-BE49-F238E27FC236}">
              <a16:creationId xmlns:a16="http://schemas.microsoft.com/office/drawing/2014/main" id="{1DCC665A-6DBF-4547-8BFB-4D3491659884}"/>
            </a:ext>
          </a:extLst>
        </xdr:cNvPr>
        <xdr:cNvSpPr/>
      </xdr:nvSpPr>
      <xdr:spPr>
        <a:xfrm>
          <a:off x="12127230" y="106680"/>
          <a:ext cx="1978737" cy="353906"/>
        </a:xfrm>
        <a:prstGeom prst="roundRect">
          <a:avLst/>
        </a:prstGeom>
        <a:solidFill>
          <a:schemeClr val="bg1">
            <a:lumMod val="85000"/>
          </a:schemeClr>
        </a:solidFill>
        <a:ln>
          <a:noFill/>
        </a:ln>
      </xdr:spPr>
      <xdr:style>
        <a:lnRef idx="2">
          <a:schemeClr val="dk1">
            <a:shade val="50000"/>
          </a:schemeClr>
        </a:lnRef>
        <a:fillRef idx="1">
          <a:schemeClr val="dk1"/>
        </a:fillRef>
        <a:effectRef idx="0">
          <a:schemeClr val="dk1"/>
        </a:effectRef>
        <a:fontRef idx="minor">
          <a:schemeClr val="lt1"/>
        </a:fontRef>
      </xdr:style>
      <xdr:txBody>
        <a:bodyPr vertOverflow="clip" horzOverflow="clip" rtlCol="0" anchor="ctr"/>
        <a:lstStyle/>
        <a:p>
          <a:pPr algn="ctr"/>
          <a:r>
            <a:rPr lang="en-US" sz="1100" b="0">
              <a:ln>
                <a:noFill/>
              </a:ln>
              <a:solidFill>
                <a:schemeClr val="tx1"/>
              </a:solidFill>
              <a:latin typeface="Cambria" panose="02040503050406030204" pitchFamily="18" charset="0"/>
              <a:ea typeface="Cambria" panose="02040503050406030204" pitchFamily="18" charset="0"/>
            </a:rPr>
            <a:t>Retour Page De</a:t>
          </a:r>
          <a:r>
            <a:rPr lang="en-US" sz="1100" b="0" baseline="0">
              <a:ln>
                <a:noFill/>
              </a:ln>
              <a:solidFill>
                <a:schemeClr val="tx1"/>
              </a:solidFill>
              <a:latin typeface="Cambria" panose="02040503050406030204" pitchFamily="18" charset="0"/>
              <a:ea typeface="Cambria" panose="02040503050406030204" pitchFamily="18" charset="0"/>
            </a:rPr>
            <a:t> Navigation</a:t>
          </a:r>
          <a:endParaRPr lang="en-US" sz="1100" b="0">
            <a:ln>
              <a:noFill/>
            </a:ln>
            <a:solidFill>
              <a:schemeClr val="tx1"/>
            </a:solidFill>
            <a:latin typeface="Cambria" panose="02040503050406030204" pitchFamily="18" charset="0"/>
            <a:ea typeface="Cambria" panose="02040503050406030204" pitchFamily="18" charset="0"/>
          </a:endParaRPr>
        </a:p>
      </xdr:txBody>
    </xdr:sp>
    <xdr:clientData/>
  </xdr:twoCellAnchor>
</xdr:wsDr>
</file>

<file path=xl/drawings/drawing24.xml><?xml version="1.0" encoding="utf-8"?>
<xdr:wsDr xmlns:xdr="http://schemas.openxmlformats.org/drawingml/2006/spreadsheetDrawing" xmlns:a="http://schemas.openxmlformats.org/drawingml/2006/main">
  <xdr:twoCellAnchor>
    <xdr:from>
      <xdr:col>10</xdr:col>
      <xdr:colOff>45720</xdr:colOff>
      <xdr:row>0</xdr:row>
      <xdr:rowOff>68580</xdr:rowOff>
    </xdr:from>
    <xdr:to>
      <xdr:col>12</xdr:col>
      <xdr:colOff>500457</xdr:colOff>
      <xdr:row>2</xdr:row>
      <xdr:rowOff>41486</xdr:rowOff>
    </xdr:to>
    <xdr:sp macro="[1]!Navigation" textlink="">
      <xdr:nvSpPr>
        <xdr:cNvPr id="2" name="Rectangle à coins arrondis 2">
          <a:extLst>
            <a:ext uri="{FF2B5EF4-FFF2-40B4-BE49-F238E27FC236}">
              <a16:creationId xmlns:a16="http://schemas.microsoft.com/office/drawing/2014/main" id="{8806DE24-5015-4451-8EDC-7F5B112D8DBE}"/>
            </a:ext>
          </a:extLst>
        </xdr:cNvPr>
        <xdr:cNvSpPr/>
      </xdr:nvSpPr>
      <xdr:spPr>
        <a:xfrm>
          <a:off x="12190095" y="68580"/>
          <a:ext cx="1978737" cy="353906"/>
        </a:xfrm>
        <a:prstGeom prst="roundRect">
          <a:avLst/>
        </a:prstGeom>
        <a:solidFill>
          <a:schemeClr val="bg1">
            <a:lumMod val="85000"/>
          </a:schemeClr>
        </a:solidFill>
        <a:ln>
          <a:noFill/>
        </a:ln>
      </xdr:spPr>
      <xdr:style>
        <a:lnRef idx="2">
          <a:schemeClr val="dk1">
            <a:shade val="50000"/>
          </a:schemeClr>
        </a:lnRef>
        <a:fillRef idx="1">
          <a:schemeClr val="dk1"/>
        </a:fillRef>
        <a:effectRef idx="0">
          <a:schemeClr val="dk1"/>
        </a:effectRef>
        <a:fontRef idx="minor">
          <a:schemeClr val="lt1"/>
        </a:fontRef>
      </xdr:style>
      <xdr:txBody>
        <a:bodyPr vertOverflow="clip" horzOverflow="clip" rtlCol="0" anchor="ctr"/>
        <a:lstStyle/>
        <a:p>
          <a:pPr algn="ctr"/>
          <a:r>
            <a:rPr lang="en-US" sz="1100" b="0">
              <a:ln>
                <a:noFill/>
              </a:ln>
              <a:solidFill>
                <a:schemeClr val="tx1"/>
              </a:solidFill>
              <a:latin typeface="Cambria" panose="02040503050406030204" pitchFamily="18" charset="0"/>
              <a:ea typeface="Cambria" panose="02040503050406030204" pitchFamily="18" charset="0"/>
            </a:rPr>
            <a:t>Retour Page De</a:t>
          </a:r>
          <a:r>
            <a:rPr lang="en-US" sz="1100" b="0" baseline="0">
              <a:ln>
                <a:noFill/>
              </a:ln>
              <a:solidFill>
                <a:schemeClr val="tx1"/>
              </a:solidFill>
              <a:latin typeface="Cambria" panose="02040503050406030204" pitchFamily="18" charset="0"/>
              <a:ea typeface="Cambria" panose="02040503050406030204" pitchFamily="18" charset="0"/>
            </a:rPr>
            <a:t> Navigation</a:t>
          </a:r>
          <a:endParaRPr lang="en-US" sz="1100" b="0">
            <a:ln>
              <a:noFill/>
            </a:ln>
            <a:solidFill>
              <a:schemeClr val="tx1"/>
            </a:solidFill>
            <a:latin typeface="Cambria" panose="02040503050406030204" pitchFamily="18" charset="0"/>
            <a:ea typeface="Cambria" panose="02040503050406030204" pitchFamily="18" charset="0"/>
          </a:endParaRPr>
        </a:p>
      </xdr:txBody>
    </xdr:sp>
    <xdr:clientData/>
  </xdr:twoCellAnchor>
</xdr:wsDr>
</file>

<file path=xl/drawings/drawing25.xml><?xml version="1.0" encoding="utf-8"?>
<xdr:wsDr xmlns:xdr="http://schemas.openxmlformats.org/drawingml/2006/spreadsheetDrawing" xmlns:a="http://schemas.openxmlformats.org/drawingml/2006/main">
  <xdr:twoCellAnchor>
    <xdr:from>
      <xdr:col>10</xdr:col>
      <xdr:colOff>38100</xdr:colOff>
      <xdr:row>0</xdr:row>
      <xdr:rowOff>99060</xdr:rowOff>
    </xdr:from>
    <xdr:to>
      <xdr:col>12</xdr:col>
      <xdr:colOff>492837</xdr:colOff>
      <xdr:row>2</xdr:row>
      <xdr:rowOff>71966</xdr:rowOff>
    </xdr:to>
    <xdr:sp macro="[1]!Navigation" textlink="">
      <xdr:nvSpPr>
        <xdr:cNvPr id="2" name="Rectangle à coins arrondis 2">
          <a:extLst>
            <a:ext uri="{FF2B5EF4-FFF2-40B4-BE49-F238E27FC236}">
              <a16:creationId xmlns:a16="http://schemas.microsoft.com/office/drawing/2014/main" id="{0E20A785-C336-48D1-B657-97F0DF34B160}"/>
            </a:ext>
          </a:extLst>
        </xdr:cNvPr>
        <xdr:cNvSpPr/>
      </xdr:nvSpPr>
      <xdr:spPr>
        <a:xfrm>
          <a:off x="12182475" y="99060"/>
          <a:ext cx="1978737" cy="353906"/>
        </a:xfrm>
        <a:prstGeom prst="roundRect">
          <a:avLst/>
        </a:prstGeom>
        <a:solidFill>
          <a:schemeClr val="bg1">
            <a:lumMod val="85000"/>
          </a:schemeClr>
        </a:solidFill>
        <a:ln>
          <a:noFill/>
        </a:ln>
      </xdr:spPr>
      <xdr:style>
        <a:lnRef idx="2">
          <a:schemeClr val="dk1">
            <a:shade val="50000"/>
          </a:schemeClr>
        </a:lnRef>
        <a:fillRef idx="1">
          <a:schemeClr val="dk1"/>
        </a:fillRef>
        <a:effectRef idx="0">
          <a:schemeClr val="dk1"/>
        </a:effectRef>
        <a:fontRef idx="minor">
          <a:schemeClr val="lt1"/>
        </a:fontRef>
      </xdr:style>
      <xdr:txBody>
        <a:bodyPr vertOverflow="clip" horzOverflow="clip" rtlCol="0" anchor="ctr"/>
        <a:lstStyle/>
        <a:p>
          <a:pPr algn="ctr"/>
          <a:r>
            <a:rPr lang="en-US" sz="1100" b="0">
              <a:ln>
                <a:noFill/>
              </a:ln>
              <a:solidFill>
                <a:schemeClr val="tx1"/>
              </a:solidFill>
              <a:latin typeface="Cambria" panose="02040503050406030204" pitchFamily="18" charset="0"/>
              <a:ea typeface="Cambria" panose="02040503050406030204" pitchFamily="18" charset="0"/>
            </a:rPr>
            <a:t>Retour Page De</a:t>
          </a:r>
          <a:r>
            <a:rPr lang="en-US" sz="1100" b="0" baseline="0">
              <a:ln>
                <a:noFill/>
              </a:ln>
              <a:solidFill>
                <a:schemeClr val="tx1"/>
              </a:solidFill>
              <a:latin typeface="Cambria" panose="02040503050406030204" pitchFamily="18" charset="0"/>
              <a:ea typeface="Cambria" panose="02040503050406030204" pitchFamily="18" charset="0"/>
            </a:rPr>
            <a:t> Navigation</a:t>
          </a:r>
          <a:endParaRPr lang="en-US" sz="1100" b="0">
            <a:ln>
              <a:noFill/>
            </a:ln>
            <a:solidFill>
              <a:schemeClr val="tx1"/>
            </a:solidFill>
            <a:latin typeface="Cambria" panose="02040503050406030204" pitchFamily="18" charset="0"/>
            <a:ea typeface="Cambria" panose="02040503050406030204" pitchFamily="18" charset="0"/>
          </a:endParaRPr>
        </a:p>
      </xdr:txBody>
    </xdr:sp>
    <xdr:clientData/>
  </xdr:twoCellAnchor>
</xdr:wsDr>
</file>

<file path=xl/drawings/drawing26.xml><?xml version="1.0" encoding="utf-8"?>
<xdr:wsDr xmlns:xdr="http://schemas.openxmlformats.org/drawingml/2006/spreadsheetDrawing" xmlns:a="http://schemas.openxmlformats.org/drawingml/2006/main">
  <xdr:twoCellAnchor>
    <xdr:from>
      <xdr:col>10</xdr:col>
      <xdr:colOff>15240</xdr:colOff>
      <xdr:row>0</xdr:row>
      <xdr:rowOff>68580</xdr:rowOff>
    </xdr:from>
    <xdr:to>
      <xdr:col>12</xdr:col>
      <xdr:colOff>469977</xdr:colOff>
      <xdr:row>2</xdr:row>
      <xdr:rowOff>41486</xdr:rowOff>
    </xdr:to>
    <xdr:sp macro="[1]!Navigation" textlink="">
      <xdr:nvSpPr>
        <xdr:cNvPr id="2" name="Rectangle à coins arrondis 2">
          <a:extLst>
            <a:ext uri="{FF2B5EF4-FFF2-40B4-BE49-F238E27FC236}">
              <a16:creationId xmlns:a16="http://schemas.microsoft.com/office/drawing/2014/main" id="{8335B78B-1F40-4E83-A583-E61232AD5A9E}"/>
            </a:ext>
          </a:extLst>
        </xdr:cNvPr>
        <xdr:cNvSpPr/>
      </xdr:nvSpPr>
      <xdr:spPr>
        <a:xfrm>
          <a:off x="12121515" y="68580"/>
          <a:ext cx="1978737" cy="353906"/>
        </a:xfrm>
        <a:prstGeom prst="roundRect">
          <a:avLst/>
        </a:prstGeom>
        <a:solidFill>
          <a:schemeClr val="bg1">
            <a:lumMod val="85000"/>
          </a:schemeClr>
        </a:solidFill>
        <a:ln>
          <a:noFill/>
        </a:ln>
      </xdr:spPr>
      <xdr:style>
        <a:lnRef idx="2">
          <a:schemeClr val="dk1">
            <a:shade val="50000"/>
          </a:schemeClr>
        </a:lnRef>
        <a:fillRef idx="1">
          <a:schemeClr val="dk1"/>
        </a:fillRef>
        <a:effectRef idx="0">
          <a:schemeClr val="dk1"/>
        </a:effectRef>
        <a:fontRef idx="minor">
          <a:schemeClr val="lt1"/>
        </a:fontRef>
      </xdr:style>
      <xdr:txBody>
        <a:bodyPr vertOverflow="clip" horzOverflow="clip" rtlCol="0" anchor="ctr"/>
        <a:lstStyle/>
        <a:p>
          <a:pPr algn="ctr"/>
          <a:r>
            <a:rPr lang="en-US" sz="1100" b="0">
              <a:ln>
                <a:noFill/>
              </a:ln>
              <a:solidFill>
                <a:schemeClr val="tx1"/>
              </a:solidFill>
              <a:latin typeface="Cambria" panose="02040503050406030204" pitchFamily="18" charset="0"/>
              <a:ea typeface="Cambria" panose="02040503050406030204" pitchFamily="18" charset="0"/>
            </a:rPr>
            <a:t>Retour Page De</a:t>
          </a:r>
          <a:r>
            <a:rPr lang="en-US" sz="1100" b="0" baseline="0">
              <a:ln>
                <a:noFill/>
              </a:ln>
              <a:solidFill>
                <a:schemeClr val="tx1"/>
              </a:solidFill>
              <a:latin typeface="Cambria" panose="02040503050406030204" pitchFamily="18" charset="0"/>
              <a:ea typeface="Cambria" panose="02040503050406030204" pitchFamily="18" charset="0"/>
            </a:rPr>
            <a:t> Navigation</a:t>
          </a:r>
          <a:endParaRPr lang="en-US" sz="1100" b="0">
            <a:ln>
              <a:noFill/>
            </a:ln>
            <a:solidFill>
              <a:schemeClr val="tx1"/>
            </a:solidFill>
            <a:latin typeface="Cambria" panose="02040503050406030204" pitchFamily="18" charset="0"/>
            <a:ea typeface="Cambria" panose="02040503050406030204" pitchFamily="18" charset="0"/>
          </a:endParaRPr>
        </a:p>
      </xdr:txBody>
    </xdr:sp>
    <xdr:clientData/>
  </xdr:twoCellAnchor>
</xdr:wsDr>
</file>

<file path=xl/drawings/drawing27.xml><?xml version="1.0" encoding="utf-8"?>
<xdr:wsDr xmlns:xdr="http://schemas.openxmlformats.org/drawingml/2006/spreadsheetDrawing" xmlns:a="http://schemas.openxmlformats.org/drawingml/2006/main">
  <xdr:twoCellAnchor>
    <xdr:from>
      <xdr:col>9</xdr:col>
      <xdr:colOff>739140</xdr:colOff>
      <xdr:row>0</xdr:row>
      <xdr:rowOff>83820</xdr:rowOff>
    </xdr:from>
    <xdr:to>
      <xdr:col>12</xdr:col>
      <xdr:colOff>401397</xdr:colOff>
      <xdr:row>2</xdr:row>
      <xdr:rowOff>56726</xdr:rowOff>
    </xdr:to>
    <xdr:sp macro="[1]!Navigation" textlink="">
      <xdr:nvSpPr>
        <xdr:cNvPr id="2" name="Rectangle à coins arrondis 2">
          <a:extLst>
            <a:ext uri="{FF2B5EF4-FFF2-40B4-BE49-F238E27FC236}">
              <a16:creationId xmlns:a16="http://schemas.microsoft.com/office/drawing/2014/main" id="{087C9C61-392A-4990-A5B4-EBF141DBEA38}"/>
            </a:ext>
          </a:extLst>
        </xdr:cNvPr>
        <xdr:cNvSpPr/>
      </xdr:nvSpPr>
      <xdr:spPr>
        <a:xfrm>
          <a:off x="10664190" y="83820"/>
          <a:ext cx="1948257" cy="353906"/>
        </a:xfrm>
        <a:prstGeom prst="roundRect">
          <a:avLst/>
        </a:prstGeom>
        <a:solidFill>
          <a:schemeClr val="bg1">
            <a:lumMod val="85000"/>
          </a:schemeClr>
        </a:solidFill>
        <a:ln>
          <a:noFill/>
        </a:ln>
      </xdr:spPr>
      <xdr:style>
        <a:lnRef idx="2">
          <a:schemeClr val="dk1">
            <a:shade val="50000"/>
          </a:schemeClr>
        </a:lnRef>
        <a:fillRef idx="1">
          <a:schemeClr val="dk1"/>
        </a:fillRef>
        <a:effectRef idx="0">
          <a:schemeClr val="dk1"/>
        </a:effectRef>
        <a:fontRef idx="minor">
          <a:schemeClr val="lt1"/>
        </a:fontRef>
      </xdr:style>
      <xdr:txBody>
        <a:bodyPr vertOverflow="clip" horzOverflow="clip" rtlCol="0" anchor="ctr"/>
        <a:lstStyle/>
        <a:p>
          <a:pPr algn="ctr"/>
          <a:r>
            <a:rPr lang="en-US" sz="1100" b="0">
              <a:ln>
                <a:noFill/>
              </a:ln>
              <a:solidFill>
                <a:schemeClr val="tx1"/>
              </a:solidFill>
              <a:latin typeface="Cambria" panose="02040503050406030204" pitchFamily="18" charset="0"/>
              <a:ea typeface="Cambria" panose="02040503050406030204" pitchFamily="18" charset="0"/>
            </a:rPr>
            <a:t>Retour Page De</a:t>
          </a:r>
          <a:r>
            <a:rPr lang="en-US" sz="1100" b="0" baseline="0">
              <a:ln>
                <a:noFill/>
              </a:ln>
              <a:solidFill>
                <a:schemeClr val="tx1"/>
              </a:solidFill>
              <a:latin typeface="Cambria" panose="02040503050406030204" pitchFamily="18" charset="0"/>
              <a:ea typeface="Cambria" panose="02040503050406030204" pitchFamily="18" charset="0"/>
            </a:rPr>
            <a:t> Navigation</a:t>
          </a:r>
          <a:endParaRPr lang="en-US" sz="1100" b="0">
            <a:ln>
              <a:noFill/>
            </a:ln>
            <a:solidFill>
              <a:schemeClr val="tx1"/>
            </a:solidFill>
            <a:latin typeface="Cambria" panose="02040503050406030204" pitchFamily="18" charset="0"/>
            <a:ea typeface="Cambria" panose="02040503050406030204" pitchFamily="18" charset="0"/>
          </a:endParaRPr>
        </a:p>
      </xdr:txBody>
    </xdr:sp>
    <xdr:clientData/>
  </xdr:twoCellAnchor>
</xdr:wsDr>
</file>

<file path=xl/drawings/drawing28.xml><?xml version="1.0" encoding="utf-8"?>
<xdr:wsDr xmlns:xdr="http://schemas.openxmlformats.org/drawingml/2006/spreadsheetDrawing" xmlns:a="http://schemas.openxmlformats.org/drawingml/2006/main">
  <xdr:twoCellAnchor>
    <xdr:from>
      <xdr:col>10</xdr:col>
      <xdr:colOff>45720</xdr:colOff>
      <xdr:row>0</xdr:row>
      <xdr:rowOff>99060</xdr:rowOff>
    </xdr:from>
    <xdr:to>
      <xdr:col>12</xdr:col>
      <xdr:colOff>500457</xdr:colOff>
      <xdr:row>2</xdr:row>
      <xdr:rowOff>71966</xdr:rowOff>
    </xdr:to>
    <xdr:sp macro="[1]!Navigation" textlink="">
      <xdr:nvSpPr>
        <xdr:cNvPr id="2" name="Rectangle à coins arrondis 2">
          <a:extLst>
            <a:ext uri="{FF2B5EF4-FFF2-40B4-BE49-F238E27FC236}">
              <a16:creationId xmlns:a16="http://schemas.microsoft.com/office/drawing/2014/main" id="{D2BD0064-B00A-45EC-903E-9532E6FADBB4}"/>
            </a:ext>
          </a:extLst>
        </xdr:cNvPr>
        <xdr:cNvSpPr/>
      </xdr:nvSpPr>
      <xdr:spPr>
        <a:xfrm>
          <a:off x="8989695" y="99060"/>
          <a:ext cx="1978737" cy="353906"/>
        </a:xfrm>
        <a:prstGeom prst="roundRect">
          <a:avLst/>
        </a:prstGeom>
        <a:solidFill>
          <a:schemeClr val="bg1">
            <a:lumMod val="85000"/>
          </a:schemeClr>
        </a:solidFill>
        <a:ln>
          <a:noFill/>
        </a:ln>
      </xdr:spPr>
      <xdr:style>
        <a:lnRef idx="2">
          <a:schemeClr val="dk1">
            <a:shade val="50000"/>
          </a:schemeClr>
        </a:lnRef>
        <a:fillRef idx="1">
          <a:schemeClr val="dk1"/>
        </a:fillRef>
        <a:effectRef idx="0">
          <a:schemeClr val="dk1"/>
        </a:effectRef>
        <a:fontRef idx="minor">
          <a:schemeClr val="lt1"/>
        </a:fontRef>
      </xdr:style>
      <xdr:txBody>
        <a:bodyPr vertOverflow="clip" horzOverflow="clip" rtlCol="0" anchor="ctr"/>
        <a:lstStyle/>
        <a:p>
          <a:pPr algn="ctr"/>
          <a:r>
            <a:rPr lang="en-US" sz="1100" b="0">
              <a:ln>
                <a:noFill/>
              </a:ln>
              <a:solidFill>
                <a:schemeClr val="tx1"/>
              </a:solidFill>
              <a:latin typeface="Cambria" panose="02040503050406030204" pitchFamily="18" charset="0"/>
              <a:ea typeface="Cambria" panose="02040503050406030204" pitchFamily="18" charset="0"/>
            </a:rPr>
            <a:t>Retour Page De</a:t>
          </a:r>
          <a:r>
            <a:rPr lang="en-US" sz="1100" b="0" baseline="0">
              <a:ln>
                <a:noFill/>
              </a:ln>
              <a:solidFill>
                <a:schemeClr val="tx1"/>
              </a:solidFill>
              <a:latin typeface="Cambria" panose="02040503050406030204" pitchFamily="18" charset="0"/>
              <a:ea typeface="Cambria" panose="02040503050406030204" pitchFamily="18" charset="0"/>
            </a:rPr>
            <a:t> Navigation</a:t>
          </a:r>
          <a:endParaRPr lang="en-US" sz="1100" b="0">
            <a:ln>
              <a:noFill/>
            </a:ln>
            <a:solidFill>
              <a:schemeClr val="tx1"/>
            </a:solidFill>
            <a:latin typeface="Cambria" panose="02040503050406030204" pitchFamily="18" charset="0"/>
            <a:ea typeface="Cambria" panose="02040503050406030204" pitchFamily="18" charset="0"/>
          </a:endParaRPr>
        </a:p>
      </xdr:txBody>
    </xdr:sp>
    <xdr:clientData/>
  </xdr:twoCellAnchor>
</xdr:wsDr>
</file>

<file path=xl/drawings/drawing29.xml><?xml version="1.0" encoding="utf-8"?>
<xdr:wsDr xmlns:xdr="http://schemas.openxmlformats.org/drawingml/2006/spreadsheetDrawing" xmlns:a="http://schemas.openxmlformats.org/drawingml/2006/main">
  <xdr:twoCellAnchor>
    <xdr:from>
      <xdr:col>11</xdr:col>
      <xdr:colOff>45720</xdr:colOff>
      <xdr:row>0</xdr:row>
      <xdr:rowOff>114300</xdr:rowOff>
    </xdr:from>
    <xdr:to>
      <xdr:col>13</xdr:col>
      <xdr:colOff>500457</xdr:colOff>
      <xdr:row>2</xdr:row>
      <xdr:rowOff>87206</xdr:rowOff>
    </xdr:to>
    <xdr:sp macro="[1]!Navigation" textlink="">
      <xdr:nvSpPr>
        <xdr:cNvPr id="2" name="Rectangle à coins arrondis 2">
          <a:extLst>
            <a:ext uri="{FF2B5EF4-FFF2-40B4-BE49-F238E27FC236}">
              <a16:creationId xmlns:a16="http://schemas.microsoft.com/office/drawing/2014/main" id="{E9C6CF78-4C35-42A3-A502-06DA4A364889}"/>
            </a:ext>
          </a:extLst>
        </xdr:cNvPr>
        <xdr:cNvSpPr/>
      </xdr:nvSpPr>
      <xdr:spPr>
        <a:xfrm>
          <a:off x="11161395" y="114300"/>
          <a:ext cx="1978737" cy="353906"/>
        </a:xfrm>
        <a:prstGeom prst="roundRect">
          <a:avLst/>
        </a:prstGeom>
        <a:solidFill>
          <a:schemeClr val="bg1">
            <a:lumMod val="85000"/>
          </a:schemeClr>
        </a:solidFill>
        <a:ln>
          <a:noFill/>
        </a:ln>
      </xdr:spPr>
      <xdr:style>
        <a:lnRef idx="2">
          <a:schemeClr val="dk1">
            <a:shade val="50000"/>
          </a:schemeClr>
        </a:lnRef>
        <a:fillRef idx="1">
          <a:schemeClr val="dk1"/>
        </a:fillRef>
        <a:effectRef idx="0">
          <a:schemeClr val="dk1"/>
        </a:effectRef>
        <a:fontRef idx="minor">
          <a:schemeClr val="lt1"/>
        </a:fontRef>
      </xdr:style>
      <xdr:txBody>
        <a:bodyPr vertOverflow="clip" horzOverflow="clip" rtlCol="0" anchor="ctr"/>
        <a:lstStyle/>
        <a:p>
          <a:pPr algn="ctr"/>
          <a:r>
            <a:rPr lang="en-US" sz="1100" b="0">
              <a:ln>
                <a:noFill/>
              </a:ln>
              <a:solidFill>
                <a:schemeClr val="tx1"/>
              </a:solidFill>
              <a:latin typeface="Cambria" panose="02040503050406030204" pitchFamily="18" charset="0"/>
              <a:ea typeface="Cambria" panose="02040503050406030204" pitchFamily="18" charset="0"/>
            </a:rPr>
            <a:t>Retour Page De</a:t>
          </a:r>
          <a:r>
            <a:rPr lang="en-US" sz="1100" b="0" baseline="0">
              <a:ln>
                <a:noFill/>
              </a:ln>
              <a:solidFill>
                <a:schemeClr val="tx1"/>
              </a:solidFill>
              <a:latin typeface="Cambria" panose="02040503050406030204" pitchFamily="18" charset="0"/>
              <a:ea typeface="Cambria" panose="02040503050406030204" pitchFamily="18" charset="0"/>
            </a:rPr>
            <a:t> Navigation</a:t>
          </a:r>
          <a:endParaRPr lang="en-US" sz="1100" b="0">
            <a:ln>
              <a:noFill/>
            </a:ln>
            <a:solidFill>
              <a:schemeClr val="tx1"/>
            </a:solidFill>
            <a:latin typeface="Cambria" panose="02040503050406030204" pitchFamily="18" charset="0"/>
            <a:ea typeface="Cambria" panose="02040503050406030204" pitchFamily="18" charset="0"/>
          </a:endParaRPr>
        </a:p>
      </xdr:txBody>
    </xdr:sp>
    <xdr:clientData/>
  </xdr:twoCellAnchor>
</xdr:wsDr>
</file>

<file path=xl/drawings/drawing30.xml><?xml version="1.0" encoding="utf-8"?>
<xdr:wsDr xmlns:xdr="http://schemas.openxmlformats.org/drawingml/2006/spreadsheetDrawing" xmlns:a="http://schemas.openxmlformats.org/drawingml/2006/main">
  <xdr:twoCellAnchor>
    <xdr:from>
      <xdr:col>11</xdr:col>
      <xdr:colOff>76200</xdr:colOff>
      <xdr:row>0</xdr:row>
      <xdr:rowOff>68580</xdr:rowOff>
    </xdr:from>
    <xdr:to>
      <xdr:col>13</xdr:col>
      <xdr:colOff>530937</xdr:colOff>
      <xdr:row>2</xdr:row>
      <xdr:rowOff>41486</xdr:rowOff>
    </xdr:to>
    <xdr:sp macro="[1]!Navigation" textlink="">
      <xdr:nvSpPr>
        <xdr:cNvPr id="2" name="Rectangle à coins arrondis 2">
          <a:extLst>
            <a:ext uri="{FF2B5EF4-FFF2-40B4-BE49-F238E27FC236}">
              <a16:creationId xmlns:a16="http://schemas.microsoft.com/office/drawing/2014/main" id="{092B0F15-3009-4B90-B594-A508BC8520D7}"/>
            </a:ext>
          </a:extLst>
        </xdr:cNvPr>
        <xdr:cNvSpPr/>
      </xdr:nvSpPr>
      <xdr:spPr>
        <a:xfrm>
          <a:off x="10458450" y="68580"/>
          <a:ext cx="1978737" cy="353906"/>
        </a:xfrm>
        <a:prstGeom prst="roundRect">
          <a:avLst/>
        </a:prstGeom>
        <a:solidFill>
          <a:schemeClr val="bg1">
            <a:lumMod val="85000"/>
          </a:schemeClr>
        </a:solidFill>
        <a:ln>
          <a:noFill/>
        </a:ln>
      </xdr:spPr>
      <xdr:style>
        <a:lnRef idx="2">
          <a:schemeClr val="dk1">
            <a:shade val="50000"/>
          </a:schemeClr>
        </a:lnRef>
        <a:fillRef idx="1">
          <a:schemeClr val="dk1"/>
        </a:fillRef>
        <a:effectRef idx="0">
          <a:schemeClr val="dk1"/>
        </a:effectRef>
        <a:fontRef idx="minor">
          <a:schemeClr val="lt1"/>
        </a:fontRef>
      </xdr:style>
      <xdr:txBody>
        <a:bodyPr vertOverflow="clip" horzOverflow="clip" rtlCol="0" anchor="ctr"/>
        <a:lstStyle/>
        <a:p>
          <a:pPr algn="ctr"/>
          <a:r>
            <a:rPr lang="en-US" sz="1100" b="0">
              <a:ln>
                <a:noFill/>
              </a:ln>
              <a:solidFill>
                <a:schemeClr val="tx1"/>
              </a:solidFill>
              <a:latin typeface="Cambria" panose="02040503050406030204" pitchFamily="18" charset="0"/>
              <a:ea typeface="Cambria" panose="02040503050406030204" pitchFamily="18" charset="0"/>
            </a:rPr>
            <a:t>Retour Page De</a:t>
          </a:r>
          <a:r>
            <a:rPr lang="en-US" sz="1100" b="0" baseline="0">
              <a:ln>
                <a:noFill/>
              </a:ln>
              <a:solidFill>
                <a:schemeClr val="tx1"/>
              </a:solidFill>
              <a:latin typeface="Cambria" panose="02040503050406030204" pitchFamily="18" charset="0"/>
              <a:ea typeface="Cambria" panose="02040503050406030204" pitchFamily="18" charset="0"/>
            </a:rPr>
            <a:t> Navigation</a:t>
          </a:r>
          <a:endParaRPr lang="en-US" sz="1100" b="0">
            <a:ln>
              <a:noFill/>
            </a:ln>
            <a:solidFill>
              <a:schemeClr val="tx1"/>
            </a:solidFill>
            <a:latin typeface="Cambria" panose="02040503050406030204" pitchFamily="18" charset="0"/>
            <a:ea typeface="Cambria" panose="02040503050406030204" pitchFamily="18" charset="0"/>
          </a:endParaRPr>
        </a:p>
      </xdr:txBody>
    </xdr:sp>
    <xdr:clientData/>
  </xdr:twoCellAnchor>
</xdr:wsDr>
</file>

<file path=xl/drawings/drawing31.xml><?xml version="1.0" encoding="utf-8"?>
<xdr:wsDr xmlns:xdr="http://schemas.openxmlformats.org/drawingml/2006/spreadsheetDrawing" xmlns:a="http://schemas.openxmlformats.org/drawingml/2006/main">
  <xdr:twoCellAnchor>
    <xdr:from>
      <xdr:col>11</xdr:col>
      <xdr:colOff>160020</xdr:colOff>
      <xdr:row>0</xdr:row>
      <xdr:rowOff>129540</xdr:rowOff>
    </xdr:from>
    <xdr:to>
      <xdr:col>13</xdr:col>
      <xdr:colOff>614757</xdr:colOff>
      <xdr:row>2</xdr:row>
      <xdr:rowOff>102446</xdr:rowOff>
    </xdr:to>
    <xdr:sp macro="[1]!Navigation" textlink="">
      <xdr:nvSpPr>
        <xdr:cNvPr id="2" name="Rectangle à coins arrondis 2">
          <a:extLst>
            <a:ext uri="{FF2B5EF4-FFF2-40B4-BE49-F238E27FC236}">
              <a16:creationId xmlns:a16="http://schemas.microsoft.com/office/drawing/2014/main" id="{78C9C67C-9BEB-4E5E-97BA-092C47A5EB6B}"/>
            </a:ext>
          </a:extLst>
        </xdr:cNvPr>
        <xdr:cNvSpPr/>
      </xdr:nvSpPr>
      <xdr:spPr>
        <a:xfrm>
          <a:off x="10237470" y="129540"/>
          <a:ext cx="1978737" cy="353906"/>
        </a:xfrm>
        <a:prstGeom prst="roundRect">
          <a:avLst/>
        </a:prstGeom>
        <a:solidFill>
          <a:schemeClr val="bg1">
            <a:lumMod val="85000"/>
          </a:schemeClr>
        </a:solidFill>
        <a:ln>
          <a:noFill/>
        </a:ln>
      </xdr:spPr>
      <xdr:style>
        <a:lnRef idx="2">
          <a:schemeClr val="dk1">
            <a:shade val="50000"/>
          </a:schemeClr>
        </a:lnRef>
        <a:fillRef idx="1">
          <a:schemeClr val="dk1"/>
        </a:fillRef>
        <a:effectRef idx="0">
          <a:schemeClr val="dk1"/>
        </a:effectRef>
        <a:fontRef idx="minor">
          <a:schemeClr val="lt1"/>
        </a:fontRef>
      </xdr:style>
      <xdr:txBody>
        <a:bodyPr vertOverflow="clip" horzOverflow="clip" rtlCol="0" anchor="ctr"/>
        <a:lstStyle/>
        <a:p>
          <a:pPr algn="ctr"/>
          <a:r>
            <a:rPr lang="en-US" sz="1100" b="0">
              <a:ln>
                <a:noFill/>
              </a:ln>
              <a:solidFill>
                <a:schemeClr val="tx1"/>
              </a:solidFill>
              <a:latin typeface="Cambria" panose="02040503050406030204" pitchFamily="18" charset="0"/>
              <a:ea typeface="Cambria" panose="02040503050406030204" pitchFamily="18" charset="0"/>
            </a:rPr>
            <a:t>Retour Page De</a:t>
          </a:r>
          <a:r>
            <a:rPr lang="en-US" sz="1100" b="0" baseline="0">
              <a:ln>
                <a:noFill/>
              </a:ln>
              <a:solidFill>
                <a:schemeClr val="tx1"/>
              </a:solidFill>
              <a:latin typeface="Cambria" panose="02040503050406030204" pitchFamily="18" charset="0"/>
              <a:ea typeface="Cambria" panose="02040503050406030204" pitchFamily="18" charset="0"/>
            </a:rPr>
            <a:t> Navigation</a:t>
          </a:r>
          <a:endParaRPr lang="en-US" sz="1100" b="0">
            <a:ln>
              <a:noFill/>
            </a:ln>
            <a:solidFill>
              <a:schemeClr val="tx1"/>
            </a:solidFill>
            <a:latin typeface="Cambria" panose="02040503050406030204" pitchFamily="18" charset="0"/>
            <a:ea typeface="Cambria" panose="02040503050406030204" pitchFamily="18" charset="0"/>
          </a:endParaRPr>
        </a:p>
      </xdr:txBody>
    </xdr:sp>
    <xdr:clientData/>
  </xdr:twoCellAnchor>
</xdr:wsDr>
</file>

<file path=xl/drawings/drawing32.xml><?xml version="1.0" encoding="utf-8"?>
<xdr:wsDr xmlns:xdr="http://schemas.openxmlformats.org/drawingml/2006/spreadsheetDrawing" xmlns:a="http://schemas.openxmlformats.org/drawingml/2006/main">
  <xdr:twoCellAnchor>
    <xdr:from>
      <xdr:col>11</xdr:col>
      <xdr:colOff>769620</xdr:colOff>
      <xdr:row>0</xdr:row>
      <xdr:rowOff>76200</xdr:rowOff>
    </xdr:from>
    <xdr:to>
      <xdr:col>14</xdr:col>
      <xdr:colOff>431877</xdr:colOff>
      <xdr:row>2</xdr:row>
      <xdr:rowOff>49106</xdr:rowOff>
    </xdr:to>
    <xdr:sp macro="[1]!Navigation" textlink="">
      <xdr:nvSpPr>
        <xdr:cNvPr id="2" name="Rectangle à coins arrondis 2">
          <a:extLst>
            <a:ext uri="{FF2B5EF4-FFF2-40B4-BE49-F238E27FC236}">
              <a16:creationId xmlns:a16="http://schemas.microsoft.com/office/drawing/2014/main" id="{B3B32080-2521-4E41-A6BC-12042813CD63}"/>
            </a:ext>
          </a:extLst>
        </xdr:cNvPr>
        <xdr:cNvSpPr/>
      </xdr:nvSpPr>
      <xdr:spPr>
        <a:xfrm>
          <a:off x="12371070" y="76200"/>
          <a:ext cx="1957782" cy="353906"/>
        </a:xfrm>
        <a:prstGeom prst="roundRect">
          <a:avLst/>
        </a:prstGeom>
        <a:solidFill>
          <a:schemeClr val="bg1">
            <a:lumMod val="85000"/>
          </a:schemeClr>
        </a:solidFill>
        <a:ln>
          <a:noFill/>
        </a:ln>
      </xdr:spPr>
      <xdr:style>
        <a:lnRef idx="2">
          <a:schemeClr val="dk1">
            <a:shade val="50000"/>
          </a:schemeClr>
        </a:lnRef>
        <a:fillRef idx="1">
          <a:schemeClr val="dk1"/>
        </a:fillRef>
        <a:effectRef idx="0">
          <a:schemeClr val="dk1"/>
        </a:effectRef>
        <a:fontRef idx="minor">
          <a:schemeClr val="lt1"/>
        </a:fontRef>
      </xdr:style>
      <xdr:txBody>
        <a:bodyPr vertOverflow="clip" horzOverflow="clip" rtlCol="0" anchor="ctr"/>
        <a:lstStyle/>
        <a:p>
          <a:pPr algn="ctr"/>
          <a:r>
            <a:rPr lang="en-US" sz="1100" b="0">
              <a:ln>
                <a:noFill/>
              </a:ln>
              <a:solidFill>
                <a:schemeClr val="tx1"/>
              </a:solidFill>
              <a:latin typeface="Cambria" panose="02040503050406030204" pitchFamily="18" charset="0"/>
              <a:ea typeface="Cambria" panose="02040503050406030204" pitchFamily="18" charset="0"/>
            </a:rPr>
            <a:t>Retour Page De</a:t>
          </a:r>
          <a:r>
            <a:rPr lang="en-US" sz="1100" b="0" baseline="0">
              <a:ln>
                <a:noFill/>
              </a:ln>
              <a:solidFill>
                <a:schemeClr val="tx1"/>
              </a:solidFill>
              <a:latin typeface="Cambria" panose="02040503050406030204" pitchFamily="18" charset="0"/>
              <a:ea typeface="Cambria" panose="02040503050406030204" pitchFamily="18" charset="0"/>
            </a:rPr>
            <a:t> Navigation</a:t>
          </a:r>
          <a:endParaRPr lang="en-US" sz="1100" b="0">
            <a:ln>
              <a:noFill/>
            </a:ln>
            <a:solidFill>
              <a:schemeClr val="tx1"/>
            </a:solidFill>
            <a:latin typeface="Cambria" panose="02040503050406030204" pitchFamily="18" charset="0"/>
            <a:ea typeface="Cambria" panose="02040503050406030204" pitchFamily="18" charset="0"/>
          </a:endParaRPr>
        </a:p>
      </xdr:txBody>
    </xdr:sp>
    <xdr:clientData/>
  </xdr:twoCellAnchor>
</xdr:wsDr>
</file>

<file path=xl/drawings/drawing33.xml><?xml version="1.0" encoding="utf-8"?>
<xdr:wsDr xmlns:xdr="http://schemas.openxmlformats.org/drawingml/2006/spreadsheetDrawing" xmlns:a="http://schemas.openxmlformats.org/drawingml/2006/main">
  <xdr:twoCellAnchor>
    <xdr:from>
      <xdr:col>11</xdr:col>
      <xdr:colOff>152400</xdr:colOff>
      <xdr:row>0</xdr:row>
      <xdr:rowOff>68580</xdr:rowOff>
    </xdr:from>
    <xdr:to>
      <xdr:col>13</xdr:col>
      <xdr:colOff>607137</xdr:colOff>
      <xdr:row>2</xdr:row>
      <xdr:rowOff>41486</xdr:rowOff>
    </xdr:to>
    <xdr:sp macro="[1]!Navigation" textlink="">
      <xdr:nvSpPr>
        <xdr:cNvPr id="2" name="Rectangle à coins arrondis 2">
          <a:extLst>
            <a:ext uri="{FF2B5EF4-FFF2-40B4-BE49-F238E27FC236}">
              <a16:creationId xmlns:a16="http://schemas.microsoft.com/office/drawing/2014/main" id="{1925928A-DFD3-4F78-B088-777A79BC64A4}"/>
            </a:ext>
          </a:extLst>
        </xdr:cNvPr>
        <xdr:cNvSpPr/>
      </xdr:nvSpPr>
      <xdr:spPr>
        <a:xfrm>
          <a:off x="11687175" y="68580"/>
          <a:ext cx="1978737" cy="353906"/>
        </a:xfrm>
        <a:prstGeom prst="roundRect">
          <a:avLst/>
        </a:prstGeom>
        <a:solidFill>
          <a:schemeClr val="bg1">
            <a:lumMod val="85000"/>
          </a:schemeClr>
        </a:solidFill>
        <a:ln>
          <a:noFill/>
        </a:ln>
      </xdr:spPr>
      <xdr:style>
        <a:lnRef idx="2">
          <a:schemeClr val="dk1">
            <a:shade val="50000"/>
          </a:schemeClr>
        </a:lnRef>
        <a:fillRef idx="1">
          <a:schemeClr val="dk1"/>
        </a:fillRef>
        <a:effectRef idx="0">
          <a:schemeClr val="dk1"/>
        </a:effectRef>
        <a:fontRef idx="minor">
          <a:schemeClr val="lt1"/>
        </a:fontRef>
      </xdr:style>
      <xdr:txBody>
        <a:bodyPr vertOverflow="clip" horzOverflow="clip" rtlCol="0" anchor="ctr"/>
        <a:lstStyle/>
        <a:p>
          <a:pPr algn="ctr"/>
          <a:r>
            <a:rPr lang="en-US" sz="1100" b="0">
              <a:ln>
                <a:noFill/>
              </a:ln>
              <a:solidFill>
                <a:schemeClr val="tx1"/>
              </a:solidFill>
              <a:latin typeface="Cambria" panose="02040503050406030204" pitchFamily="18" charset="0"/>
              <a:ea typeface="Cambria" panose="02040503050406030204" pitchFamily="18" charset="0"/>
            </a:rPr>
            <a:t>Retour Page De</a:t>
          </a:r>
          <a:r>
            <a:rPr lang="en-US" sz="1100" b="0" baseline="0">
              <a:ln>
                <a:noFill/>
              </a:ln>
              <a:solidFill>
                <a:schemeClr val="tx1"/>
              </a:solidFill>
              <a:latin typeface="Cambria" panose="02040503050406030204" pitchFamily="18" charset="0"/>
              <a:ea typeface="Cambria" panose="02040503050406030204" pitchFamily="18" charset="0"/>
            </a:rPr>
            <a:t> Navigation</a:t>
          </a:r>
          <a:endParaRPr lang="en-US" sz="1100" b="0">
            <a:ln>
              <a:noFill/>
            </a:ln>
            <a:solidFill>
              <a:schemeClr val="tx1"/>
            </a:solidFill>
            <a:latin typeface="Cambria" panose="02040503050406030204" pitchFamily="18" charset="0"/>
            <a:ea typeface="Cambria" panose="02040503050406030204" pitchFamily="18" charset="0"/>
          </a:endParaRPr>
        </a:p>
      </xdr:txBody>
    </xdr:sp>
    <xdr:clientData/>
  </xdr:twoCellAnchor>
</xdr:wsDr>
</file>

<file path=xl/drawings/drawing34.xml><?xml version="1.0" encoding="utf-8"?>
<xdr:wsDr xmlns:xdr="http://schemas.openxmlformats.org/drawingml/2006/spreadsheetDrawing" xmlns:a="http://schemas.openxmlformats.org/drawingml/2006/main">
  <xdr:twoCellAnchor>
    <xdr:from>
      <xdr:col>11</xdr:col>
      <xdr:colOff>68580</xdr:colOff>
      <xdr:row>0</xdr:row>
      <xdr:rowOff>91440</xdr:rowOff>
    </xdr:from>
    <xdr:to>
      <xdr:col>13</xdr:col>
      <xdr:colOff>523317</xdr:colOff>
      <xdr:row>2</xdr:row>
      <xdr:rowOff>64346</xdr:rowOff>
    </xdr:to>
    <xdr:sp macro="[1]!Navigation" textlink="">
      <xdr:nvSpPr>
        <xdr:cNvPr id="2" name="Rectangle à coins arrondis 2">
          <a:extLst>
            <a:ext uri="{FF2B5EF4-FFF2-40B4-BE49-F238E27FC236}">
              <a16:creationId xmlns:a16="http://schemas.microsoft.com/office/drawing/2014/main" id="{EBC8B8A8-CE1B-4E36-AEA1-86AEF653CE98}"/>
            </a:ext>
          </a:extLst>
        </xdr:cNvPr>
        <xdr:cNvSpPr/>
      </xdr:nvSpPr>
      <xdr:spPr>
        <a:xfrm>
          <a:off x="11441430" y="91440"/>
          <a:ext cx="1978737" cy="353906"/>
        </a:xfrm>
        <a:prstGeom prst="roundRect">
          <a:avLst/>
        </a:prstGeom>
        <a:solidFill>
          <a:schemeClr val="bg1">
            <a:lumMod val="85000"/>
          </a:schemeClr>
        </a:solidFill>
        <a:ln>
          <a:noFill/>
        </a:ln>
      </xdr:spPr>
      <xdr:style>
        <a:lnRef idx="2">
          <a:schemeClr val="dk1">
            <a:shade val="50000"/>
          </a:schemeClr>
        </a:lnRef>
        <a:fillRef idx="1">
          <a:schemeClr val="dk1"/>
        </a:fillRef>
        <a:effectRef idx="0">
          <a:schemeClr val="dk1"/>
        </a:effectRef>
        <a:fontRef idx="minor">
          <a:schemeClr val="lt1"/>
        </a:fontRef>
      </xdr:style>
      <xdr:txBody>
        <a:bodyPr vertOverflow="clip" horzOverflow="clip" rtlCol="0" anchor="ctr"/>
        <a:lstStyle/>
        <a:p>
          <a:pPr algn="ctr"/>
          <a:r>
            <a:rPr lang="en-US" sz="1100" b="0">
              <a:ln>
                <a:noFill/>
              </a:ln>
              <a:solidFill>
                <a:schemeClr val="tx1"/>
              </a:solidFill>
              <a:latin typeface="Cambria" panose="02040503050406030204" pitchFamily="18" charset="0"/>
              <a:ea typeface="Cambria" panose="02040503050406030204" pitchFamily="18" charset="0"/>
            </a:rPr>
            <a:t>Retour Page De</a:t>
          </a:r>
          <a:r>
            <a:rPr lang="en-US" sz="1100" b="0" baseline="0">
              <a:ln>
                <a:noFill/>
              </a:ln>
              <a:solidFill>
                <a:schemeClr val="tx1"/>
              </a:solidFill>
              <a:latin typeface="Cambria" panose="02040503050406030204" pitchFamily="18" charset="0"/>
              <a:ea typeface="Cambria" panose="02040503050406030204" pitchFamily="18" charset="0"/>
            </a:rPr>
            <a:t> Navigation</a:t>
          </a:r>
          <a:endParaRPr lang="en-US" sz="1100" b="0">
            <a:ln>
              <a:noFill/>
            </a:ln>
            <a:solidFill>
              <a:schemeClr val="tx1"/>
            </a:solidFill>
            <a:latin typeface="Cambria" panose="02040503050406030204" pitchFamily="18" charset="0"/>
            <a:ea typeface="Cambria" panose="02040503050406030204" pitchFamily="18" charset="0"/>
          </a:endParaRPr>
        </a:p>
      </xdr:txBody>
    </xdr:sp>
    <xdr:clientData/>
  </xdr:twoCellAnchor>
</xdr:wsDr>
</file>

<file path=xl/drawings/drawing35.xml><?xml version="1.0" encoding="utf-8"?>
<xdr:wsDr xmlns:xdr="http://schemas.openxmlformats.org/drawingml/2006/spreadsheetDrawing" xmlns:a="http://schemas.openxmlformats.org/drawingml/2006/main">
  <xdr:twoCellAnchor>
    <xdr:from>
      <xdr:col>11</xdr:col>
      <xdr:colOff>121920</xdr:colOff>
      <xdr:row>0</xdr:row>
      <xdr:rowOff>99060</xdr:rowOff>
    </xdr:from>
    <xdr:to>
      <xdr:col>13</xdr:col>
      <xdr:colOff>576657</xdr:colOff>
      <xdr:row>2</xdr:row>
      <xdr:rowOff>71966</xdr:rowOff>
    </xdr:to>
    <xdr:sp macro="[1]!Navigation" textlink="">
      <xdr:nvSpPr>
        <xdr:cNvPr id="2" name="Rectangle à coins arrondis 2">
          <a:extLst>
            <a:ext uri="{FF2B5EF4-FFF2-40B4-BE49-F238E27FC236}">
              <a16:creationId xmlns:a16="http://schemas.microsoft.com/office/drawing/2014/main" id="{1BF381EC-2714-464C-A72D-01D4F2D85E97}"/>
            </a:ext>
          </a:extLst>
        </xdr:cNvPr>
        <xdr:cNvSpPr/>
      </xdr:nvSpPr>
      <xdr:spPr>
        <a:xfrm>
          <a:off x="11628120" y="99060"/>
          <a:ext cx="1978737" cy="353906"/>
        </a:xfrm>
        <a:prstGeom prst="roundRect">
          <a:avLst/>
        </a:prstGeom>
        <a:solidFill>
          <a:schemeClr val="bg1">
            <a:lumMod val="85000"/>
          </a:schemeClr>
        </a:solidFill>
        <a:ln>
          <a:noFill/>
        </a:ln>
      </xdr:spPr>
      <xdr:style>
        <a:lnRef idx="2">
          <a:schemeClr val="dk1">
            <a:shade val="50000"/>
          </a:schemeClr>
        </a:lnRef>
        <a:fillRef idx="1">
          <a:schemeClr val="dk1"/>
        </a:fillRef>
        <a:effectRef idx="0">
          <a:schemeClr val="dk1"/>
        </a:effectRef>
        <a:fontRef idx="minor">
          <a:schemeClr val="lt1"/>
        </a:fontRef>
      </xdr:style>
      <xdr:txBody>
        <a:bodyPr vertOverflow="clip" horzOverflow="clip" rtlCol="0" anchor="ctr"/>
        <a:lstStyle/>
        <a:p>
          <a:pPr algn="ctr"/>
          <a:r>
            <a:rPr lang="en-US" sz="1100" b="0">
              <a:ln>
                <a:noFill/>
              </a:ln>
              <a:solidFill>
                <a:schemeClr val="tx1"/>
              </a:solidFill>
              <a:latin typeface="Cambria" panose="02040503050406030204" pitchFamily="18" charset="0"/>
              <a:ea typeface="Cambria" panose="02040503050406030204" pitchFamily="18" charset="0"/>
            </a:rPr>
            <a:t>Retour Page De</a:t>
          </a:r>
          <a:r>
            <a:rPr lang="en-US" sz="1100" b="0" baseline="0">
              <a:ln>
                <a:noFill/>
              </a:ln>
              <a:solidFill>
                <a:schemeClr val="tx1"/>
              </a:solidFill>
              <a:latin typeface="Cambria" panose="02040503050406030204" pitchFamily="18" charset="0"/>
              <a:ea typeface="Cambria" panose="02040503050406030204" pitchFamily="18" charset="0"/>
            </a:rPr>
            <a:t> Navigation</a:t>
          </a:r>
          <a:endParaRPr lang="en-US" sz="1100" b="0">
            <a:ln>
              <a:noFill/>
            </a:ln>
            <a:solidFill>
              <a:schemeClr val="tx1"/>
            </a:solidFill>
            <a:latin typeface="Cambria" panose="02040503050406030204" pitchFamily="18" charset="0"/>
            <a:ea typeface="Cambria" panose="02040503050406030204" pitchFamily="18" charset="0"/>
          </a:endParaRPr>
        </a:p>
      </xdr:txBody>
    </xdr:sp>
    <xdr:clientData/>
  </xdr:twoCellAnchor>
</xdr:wsDr>
</file>

<file path=xl/drawings/drawing36.xml><?xml version="1.0" encoding="utf-8"?>
<xdr:wsDr xmlns:xdr="http://schemas.openxmlformats.org/drawingml/2006/spreadsheetDrawing" xmlns:a="http://schemas.openxmlformats.org/drawingml/2006/main">
  <xdr:twoCellAnchor>
    <xdr:from>
      <xdr:col>11</xdr:col>
      <xdr:colOff>15240</xdr:colOff>
      <xdr:row>0</xdr:row>
      <xdr:rowOff>99060</xdr:rowOff>
    </xdr:from>
    <xdr:to>
      <xdr:col>13</xdr:col>
      <xdr:colOff>469977</xdr:colOff>
      <xdr:row>2</xdr:row>
      <xdr:rowOff>71966</xdr:rowOff>
    </xdr:to>
    <xdr:sp macro="[1]!Navigation" textlink="">
      <xdr:nvSpPr>
        <xdr:cNvPr id="2" name="Rectangle à coins arrondis 2">
          <a:extLst>
            <a:ext uri="{FF2B5EF4-FFF2-40B4-BE49-F238E27FC236}">
              <a16:creationId xmlns:a16="http://schemas.microsoft.com/office/drawing/2014/main" id="{E9B62523-7B40-4814-BDC6-09EF6686F14D}"/>
            </a:ext>
          </a:extLst>
        </xdr:cNvPr>
        <xdr:cNvSpPr/>
      </xdr:nvSpPr>
      <xdr:spPr>
        <a:xfrm>
          <a:off x="11302365" y="99060"/>
          <a:ext cx="1978737" cy="353906"/>
        </a:xfrm>
        <a:prstGeom prst="roundRect">
          <a:avLst/>
        </a:prstGeom>
        <a:solidFill>
          <a:schemeClr val="bg1">
            <a:lumMod val="85000"/>
          </a:schemeClr>
        </a:solidFill>
        <a:ln>
          <a:noFill/>
        </a:ln>
      </xdr:spPr>
      <xdr:style>
        <a:lnRef idx="2">
          <a:schemeClr val="dk1">
            <a:shade val="50000"/>
          </a:schemeClr>
        </a:lnRef>
        <a:fillRef idx="1">
          <a:schemeClr val="dk1"/>
        </a:fillRef>
        <a:effectRef idx="0">
          <a:schemeClr val="dk1"/>
        </a:effectRef>
        <a:fontRef idx="minor">
          <a:schemeClr val="lt1"/>
        </a:fontRef>
      </xdr:style>
      <xdr:txBody>
        <a:bodyPr vertOverflow="clip" horzOverflow="clip" rtlCol="0" anchor="ctr"/>
        <a:lstStyle/>
        <a:p>
          <a:pPr algn="ctr"/>
          <a:r>
            <a:rPr lang="en-US" sz="1100" b="0">
              <a:ln>
                <a:noFill/>
              </a:ln>
              <a:solidFill>
                <a:schemeClr val="tx1"/>
              </a:solidFill>
              <a:latin typeface="Cambria" panose="02040503050406030204" pitchFamily="18" charset="0"/>
              <a:ea typeface="Cambria" panose="02040503050406030204" pitchFamily="18" charset="0"/>
            </a:rPr>
            <a:t>Retour Page De</a:t>
          </a:r>
          <a:r>
            <a:rPr lang="en-US" sz="1100" b="0" baseline="0">
              <a:ln>
                <a:noFill/>
              </a:ln>
              <a:solidFill>
                <a:schemeClr val="tx1"/>
              </a:solidFill>
              <a:latin typeface="Cambria" panose="02040503050406030204" pitchFamily="18" charset="0"/>
              <a:ea typeface="Cambria" panose="02040503050406030204" pitchFamily="18" charset="0"/>
            </a:rPr>
            <a:t> Navigation</a:t>
          </a:r>
          <a:endParaRPr lang="en-US" sz="1100" b="0">
            <a:ln>
              <a:noFill/>
            </a:ln>
            <a:solidFill>
              <a:schemeClr val="tx1"/>
            </a:solidFill>
            <a:latin typeface="Cambria" panose="02040503050406030204" pitchFamily="18" charset="0"/>
            <a:ea typeface="Cambria" panose="02040503050406030204" pitchFamily="18" charset="0"/>
          </a:endParaRPr>
        </a:p>
      </xdr:txBody>
    </xdr:sp>
    <xdr:clientData/>
  </xdr:twoCellAnchor>
</xdr:wsDr>
</file>

<file path=xl/drawings/drawing37.xml><?xml version="1.0" encoding="utf-8"?>
<xdr:wsDr xmlns:xdr="http://schemas.openxmlformats.org/drawingml/2006/spreadsheetDrawing" xmlns:a="http://schemas.openxmlformats.org/drawingml/2006/main">
  <xdr:twoCellAnchor>
    <xdr:from>
      <xdr:col>10</xdr:col>
      <xdr:colOff>731520</xdr:colOff>
      <xdr:row>0</xdr:row>
      <xdr:rowOff>99060</xdr:rowOff>
    </xdr:from>
    <xdr:to>
      <xdr:col>13</xdr:col>
      <xdr:colOff>393777</xdr:colOff>
      <xdr:row>2</xdr:row>
      <xdr:rowOff>71966</xdr:rowOff>
    </xdr:to>
    <xdr:sp macro="[1]!Navigation" textlink="">
      <xdr:nvSpPr>
        <xdr:cNvPr id="2" name="Rectangle à coins arrondis 2">
          <a:extLst>
            <a:ext uri="{FF2B5EF4-FFF2-40B4-BE49-F238E27FC236}">
              <a16:creationId xmlns:a16="http://schemas.microsoft.com/office/drawing/2014/main" id="{47DDCAC9-804C-4D35-91FF-76F27AD71D9F}"/>
            </a:ext>
          </a:extLst>
        </xdr:cNvPr>
        <xdr:cNvSpPr/>
      </xdr:nvSpPr>
      <xdr:spPr>
        <a:xfrm>
          <a:off x="8742045" y="99060"/>
          <a:ext cx="1948257" cy="353906"/>
        </a:xfrm>
        <a:prstGeom prst="roundRect">
          <a:avLst/>
        </a:prstGeom>
        <a:solidFill>
          <a:schemeClr val="bg1">
            <a:lumMod val="85000"/>
          </a:schemeClr>
        </a:solidFill>
        <a:ln>
          <a:noFill/>
        </a:ln>
      </xdr:spPr>
      <xdr:style>
        <a:lnRef idx="2">
          <a:schemeClr val="dk1">
            <a:shade val="50000"/>
          </a:schemeClr>
        </a:lnRef>
        <a:fillRef idx="1">
          <a:schemeClr val="dk1"/>
        </a:fillRef>
        <a:effectRef idx="0">
          <a:schemeClr val="dk1"/>
        </a:effectRef>
        <a:fontRef idx="minor">
          <a:schemeClr val="lt1"/>
        </a:fontRef>
      </xdr:style>
      <xdr:txBody>
        <a:bodyPr vertOverflow="clip" horzOverflow="clip" rtlCol="0" anchor="ctr"/>
        <a:lstStyle/>
        <a:p>
          <a:pPr algn="ctr"/>
          <a:r>
            <a:rPr lang="en-US" sz="1100" b="0">
              <a:ln>
                <a:noFill/>
              </a:ln>
              <a:solidFill>
                <a:schemeClr val="tx1"/>
              </a:solidFill>
              <a:latin typeface="Cambria" panose="02040503050406030204" pitchFamily="18" charset="0"/>
              <a:ea typeface="Cambria" panose="02040503050406030204" pitchFamily="18" charset="0"/>
            </a:rPr>
            <a:t>Retour Page De</a:t>
          </a:r>
          <a:r>
            <a:rPr lang="en-US" sz="1100" b="0" baseline="0">
              <a:ln>
                <a:noFill/>
              </a:ln>
              <a:solidFill>
                <a:schemeClr val="tx1"/>
              </a:solidFill>
              <a:latin typeface="Cambria" panose="02040503050406030204" pitchFamily="18" charset="0"/>
              <a:ea typeface="Cambria" panose="02040503050406030204" pitchFamily="18" charset="0"/>
            </a:rPr>
            <a:t> Navigation</a:t>
          </a:r>
          <a:endParaRPr lang="en-US" sz="1100" b="0">
            <a:ln>
              <a:noFill/>
            </a:ln>
            <a:solidFill>
              <a:schemeClr val="tx1"/>
            </a:solidFill>
            <a:latin typeface="Cambria" panose="02040503050406030204" pitchFamily="18" charset="0"/>
            <a:ea typeface="Cambria" panose="02040503050406030204" pitchFamily="18" charset="0"/>
          </a:endParaRPr>
        </a:p>
      </xdr:txBody>
    </xdr:sp>
    <xdr:clientData/>
  </xdr:twoCellAnchor>
</xdr:wsDr>
</file>

<file path=xl/drawings/drawing38.xml><?xml version="1.0" encoding="utf-8"?>
<xdr:wsDr xmlns:xdr="http://schemas.openxmlformats.org/drawingml/2006/spreadsheetDrawing" xmlns:a="http://schemas.openxmlformats.org/drawingml/2006/main">
  <xdr:twoCellAnchor>
    <xdr:from>
      <xdr:col>11</xdr:col>
      <xdr:colOff>106680</xdr:colOff>
      <xdr:row>1</xdr:row>
      <xdr:rowOff>60960</xdr:rowOff>
    </xdr:from>
    <xdr:to>
      <xdr:col>13</xdr:col>
      <xdr:colOff>561417</xdr:colOff>
      <xdr:row>3</xdr:row>
      <xdr:rowOff>33866</xdr:rowOff>
    </xdr:to>
    <xdr:sp macro="[1]!Navigation" textlink="">
      <xdr:nvSpPr>
        <xdr:cNvPr id="2" name="Rectangle à coins arrondis 2">
          <a:extLst>
            <a:ext uri="{FF2B5EF4-FFF2-40B4-BE49-F238E27FC236}">
              <a16:creationId xmlns:a16="http://schemas.microsoft.com/office/drawing/2014/main" id="{32752FFA-24C7-4384-A725-3799DF3E322E}"/>
            </a:ext>
          </a:extLst>
        </xdr:cNvPr>
        <xdr:cNvSpPr/>
      </xdr:nvSpPr>
      <xdr:spPr>
        <a:xfrm>
          <a:off x="9441180" y="251460"/>
          <a:ext cx="1978737" cy="353906"/>
        </a:xfrm>
        <a:prstGeom prst="roundRect">
          <a:avLst/>
        </a:prstGeom>
        <a:solidFill>
          <a:schemeClr val="bg1">
            <a:lumMod val="85000"/>
          </a:schemeClr>
        </a:solidFill>
        <a:ln>
          <a:noFill/>
        </a:ln>
      </xdr:spPr>
      <xdr:style>
        <a:lnRef idx="2">
          <a:schemeClr val="dk1">
            <a:shade val="50000"/>
          </a:schemeClr>
        </a:lnRef>
        <a:fillRef idx="1">
          <a:schemeClr val="dk1"/>
        </a:fillRef>
        <a:effectRef idx="0">
          <a:schemeClr val="dk1"/>
        </a:effectRef>
        <a:fontRef idx="minor">
          <a:schemeClr val="lt1"/>
        </a:fontRef>
      </xdr:style>
      <xdr:txBody>
        <a:bodyPr vertOverflow="clip" horzOverflow="clip" rtlCol="0" anchor="ctr"/>
        <a:lstStyle/>
        <a:p>
          <a:pPr algn="ctr"/>
          <a:r>
            <a:rPr lang="en-US" sz="1100" b="0">
              <a:ln>
                <a:noFill/>
              </a:ln>
              <a:solidFill>
                <a:schemeClr val="tx1"/>
              </a:solidFill>
              <a:latin typeface="Cambria" panose="02040503050406030204" pitchFamily="18" charset="0"/>
              <a:ea typeface="Cambria" panose="02040503050406030204" pitchFamily="18" charset="0"/>
            </a:rPr>
            <a:t>Retour Page De</a:t>
          </a:r>
          <a:r>
            <a:rPr lang="en-US" sz="1100" b="0" baseline="0">
              <a:ln>
                <a:noFill/>
              </a:ln>
              <a:solidFill>
                <a:schemeClr val="tx1"/>
              </a:solidFill>
              <a:latin typeface="Cambria" panose="02040503050406030204" pitchFamily="18" charset="0"/>
              <a:ea typeface="Cambria" panose="02040503050406030204" pitchFamily="18" charset="0"/>
            </a:rPr>
            <a:t> Navigation</a:t>
          </a:r>
          <a:endParaRPr lang="en-US" sz="1100" b="0">
            <a:ln>
              <a:noFill/>
            </a:ln>
            <a:solidFill>
              <a:schemeClr val="tx1"/>
            </a:solidFill>
            <a:latin typeface="Cambria" panose="02040503050406030204" pitchFamily="18" charset="0"/>
            <a:ea typeface="Cambria" panose="02040503050406030204" pitchFamily="18" charset="0"/>
          </a:endParaRPr>
        </a:p>
      </xdr:txBody>
    </xdr:sp>
    <xdr:clientData/>
  </xdr:twoCellAnchor>
</xdr:wsDr>
</file>

<file path=xl/drawings/drawing39.xml><?xml version="1.0" encoding="utf-8"?>
<xdr:wsDr xmlns:xdr="http://schemas.openxmlformats.org/drawingml/2006/spreadsheetDrawing" xmlns:a="http://schemas.openxmlformats.org/drawingml/2006/main">
  <xdr:twoCellAnchor>
    <xdr:from>
      <xdr:col>11</xdr:col>
      <xdr:colOff>15240</xdr:colOff>
      <xdr:row>2</xdr:row>
      <xdr:rowOff>45720</xdr:rowOff>
    </xdr:from>
    <xdr:to>
      <xdr:col>13</xdr:col>
      <xdr:colOff>469977</xdr:colOff>
      <xdr:row>4</xdr:row>
      <xdr:rowOff>18626</xdr:rowOff>
    </xdr:to>
    <xdr:sp macro="[1]!Navigation" textlink="">
      <xdr:nvSpPr>
        <xdr:cNvPr id="2" name="Rectangle à coins arrondis 2">
          <a:extLst>
            <a:ext uri="{FF2B5EF4-FFF2-40B4-BE49-F238E27FC236}">
              <a16:creationId xmlns:a16="http://schemas.microsoft.com/office/drawing/2014/main" id="{8EE1D76D-2429-458A-91A6-2C3901726B28}"/>
            </a:ext>
          </a:extLst>
        </xdr:cNvPr>
        <xdr:cNvSpPr/>
      </xdr:nvSpPr>
      <xdr:spPr>
        <a:xfrm>
          <a:off x="10254615" y="426720"/>
          <a:ext cx="1978737" cy="353906"/>
        </a:xfrm>
        <a:prstGeom prst="roundRect">
          <a:avLst/>
        </a:prstGeom>
        <a:solidFill>
          <a:schemeClr val="bg1">
            <a:lumMod val="85000"/>
          </a:schemeClr>
        </a:solidFill>
        <a:ln>
          <a:noFill/>
        </a:ln>
      </xdr:spPr>
      <xdr:style>
        <a:lnRef idx="2">
          <a:schemeClr val="dk1">
            <a:shade val="50000"/>
          </a:schemeClr>
        </a:lnRef>
        <a:fillRef idx="1">
          <a:schemeClr val="dk1"/>
        </a:fillRef>
        <a:effectRef idx="0">
          <a:schemeClr val="dk1"/>
        </a:effectRef>
        <a:fontRef idx="minor">
          <a:schemeClr val="lt1"/>
        </a:fontRef>
      </xdr:style>
      <xdr:txBody>
        <a:bodyPr vertOverflow="clip" horzOverflow="clip" rtlCol="0" anchor="ctr"/>
        <a:lstStyle/>
        <a:p>
          <a:pPr algn="ctr"/>
          <a:r>
            <a:rPr lang="en-US" sz="1100" b="0">
              <a:ln>
                <a:noFill/>
              </a:ln>
              <a:solidFill>
                <a:schemeClr val="tx1"/>
              </a:solidFill>
              <a:latin typeface="Cambria" panose="02040503050406030204" pitchFamily="18" charset="0"/>
              <a:ea typeface="Cambria" panose="02040503050406030204" pitchFamily="18" charset="0"/>
            </a:rPr>
            <a:t>Retour Page De</a:t>
          </a:r>
          <a:r>
            <a:rPr lang="en-US" sz="1100" b="0" baseline="0">
              <a:ln>
                <a:noFill/>
              </a:ln>
              <a:solidFill>
                <a:schemeClr val="tx1"/>
              </a:solidFill>
              <a:latin typeface="Cambria" panose="02040503050406030204" pitchFamily="18" charset="0"/>
              <a:ea typeface="Cambria" panose="02040503050406030204" pitchFamily="18" charset="0"/>
            </a:rPr>
            <a:t> Navigation</a:t>
          </a:r>
          <a:endParaRPr lang="en-US" sz="1100" b="0">
            <a:ln>
              <a:noFill/>
            </a:ln>
            <a:solidFill>
              <a:schemeClr val="tx1"/>
            </a:solidFill>
            <a:latin typeface="Cambria" panose="02040503050406030204" pitchFamily="18" charset="0"/>
            <a:ea typeface="Cambria" panose="02040503050406030204" pitchFamily="18" charset="0"/>
          </a:endParaRPr>
        </a:p>
      </xdr:txBody>
    </xdr:sp>
    <xdr:clientData/>
  </xdr:twoCellAnchor>
</xdr:wsDr>
</file>

<file path=xl/drawings/drawing40.xml><?xml version="1.0" encoding="utf-8"?>
<xdr:wsDr xmlns:xdr="http://schemas.openxmlformats.org/drawingml/2006/spreadsheetDrawing" xmlns:a="http://schemas.openxmlformats.org/drawingml/2006/main">
  <xdr:twoCellAnchor>
    <xdr:from>
      <xdr:col>10</xdr:col>
      <xdr:colOff>762000</xdr:colOff>
      <xdr:row>1</xdr:row>
      <xdr:rowOff>53340</xdr:rowOff>
    </xdr:from>
    <xdr:to>
      <xdr:col>13</xdr:col>
      <xdr:colOff>424257</xdr:colOff>
      <xdr:row>3</xdr:row>
      <xdr:rowOff>26246</xdr:rowOff>
    </xdr:to>
    <xdr:sp macro="[1]!Navigation" textlink="">
      <xdr:nvSpPr>
        <xdr:cNvPr id="2" name="Rectangle à coins arrondis 2">
          <a:extLst>
            <a:ext uri="{FF2B5EF4-FFF2-40B4-BE49-F238E27FC236}">
              <a16:creationId xmlns:a16="http://schemas.microsoft.com/office/drawing/2014/main" id="{750F2D06-A58B-42A8-8073-E8811748B1A7}"/>
            </a:ext>
          </a:extLst>
        </xdr:cNvPr>
        <xdr:cNvSpPr/>
      </xdr:nvSpPr>
      <xdr:spPr>
        <a:xfrm>
          <a:off x="12296775" y="243840"/>
          <a:ext cx="1948257" cy="353906"/>
        </a:xfrm>
        <a:prstGeom prst="roundRect">
          <a:avLst/>
        </a:prstGeom>
        <a:solidFill>
          <a:schemeClr val="bg1">
            <a:lumMod val="85000"/>
          </a:schemeClr>
        </a:solidFill>
        <a:ln>
          <a:noFill/>
        </a:ln>
      </xdr:spPr>
      <xdr:style>
        <a:lnRef idx="2">
          <a:schemeClr val="dk1">
            <a:shade val="50000"/>
          </a:schemeClr>
        </a:lnRef>
        <a:fillRef idx="1">
          <a:schemeClr val="dk1"/>
        </a:fillRef>
        <a:effectRef idx="0">
          <a:schemeClr val="dk1"/>
        </a:effectRef>
        <a:fontRef idx="minor">
          <a:schemeClr val="lt1"/>
        </a:fontRef>
      </xdr:style>
      <xdr:txBody>
        <a:bodyPr vertOverflow="clip" horzOverflow="clip" rtlCol="0" anchor="ctr"/>
        <a:lstStyle/>
        <a:p>
          <a:pPr algn="ctr"/>
          <a:r>
            <a:rPr lang="en-US" sz="1100" b="0">
              <a:ln>
                <a:noFill/>
              </a:ln>
              <a:solidFill>
                <a:schemeClr val="tx1"/>
              </a:solidFill>
              <a:latin typeface="Cambria" panose="02040503050406030204" pitchFamily="18" charset="0"/>
              <a:ea typeface="Cambria" panose="02040503050406030204" pitchFamily="18" charset="0"/>
            </a:rPr>
            <a:t>Retour Page De</a:t>
          </a:r>
          <a:r>
            <a:rPr lang="en-US" sz="1100" b="0" baseline="0">
              <a:ln>
                <a:noFill/>
              </a:ln>
              <a:solidFill>
                <a:schemeClr val="tx1"/>
              </a:solidFill>
              <a:latin typeface="Cambria" panose="02040503050406030204" pitchFamily="18" charset="0"/>
              <a:ea typeface="Cambria" panose="02040503050406030204" pitchFamily="18" charset="0"/>
            </a:rPr>
            <a:t> Navigation</a:t>
          </a:r>
          <a:endParaRPr lang="en-US" sz="1100" b="0">
            <a:ln>
              <a:noFill/>
            </a:ln>
            <a:solidFill>
              <a:schemeClr val="tx1"/>
            </a:solidFill>
            <a:latin typeface="Cambria" panose="02040503050406030204" pitchFamily="18" charset="0"/>
            <a:ea typeface="Cambria" panose="02040503050406030204" pitchFamily="18" charset="0"/>
          </a:endParaRPr>
        </a:p>
      </xdr:txBody>
    </xdr:sp>
    <xdr:clientData/>
  </xdr:twoCellAnchor>
</xdr:wsDr>
</file>

<file path=xl/drawings/drawing41.xml><?xml version="1.0" encoding="utf-8"?>
<xdr:wsDr xmlns:xdr="http://schemas.openxmlformats.org/drawingml/2006/spreadsheetDrawing" xmlns:a="http://schemas.openxmlformats.org/drawingml/2006/main">
  <xdr:twoCellAnchor>
    <xdr:from>
      <xdr:col>9</xdr:col>
      <xdr:colOff>746760</xdr:colOff>
      <xdr:row>1</xdr:row>
      <xdr:rowOff>38100</xdr:rowOff>
    </xdr:from>
    <xdr:to>
      <xdr:col>12</xdr:col>
      <xdr:colOff>409017</xdr:colOff>
      <xdr:row>3</xdr:row>
      <xdr:rowOff>11006</xdr:rowOff>
    </xdr:to>
    <xdr:sp macro="[1]!Navigation" textlink="">
      <xdr:nvSpPr>
        <xdr:cNvPr id="2" name="Rectangle à coins arrondis 2">
          <a:extLst>
            <a:ext uri="{FF2B5EF4-FFF2-40B4-BE49-F238E27FC236}">
              <a16:creationId xmlns:a16="http://schemas.microsoft.com/office/drawing/2014/main" id="{7A6DE940-BA7C-4AD1-94C0-FA55DFA7FF69}"/>
            </a:ext>
          </a:extLst>
        </xdr:cNvPr>
        <xdr:cNvSpPr/>
      </xdr:nvSpPr>
      <xdr:spPr>
        <a:xfrm>
          <a:off x="11748135" y="228600"/>
          <a:ext cx="1948257" cy="353906"/>
        </a:xfrm>
        <a:prstGeom prst="roundRect">
          <a:avLst/>
        </a:prstGeom>
        <a:solidFill>
          <a:schemeClr val="bg1">
            <a:lumMod val="85000"/>
          </a:schemeClr>
        </a:solidFill>
        <a:ln>
          <a:noFill/>
        </a:ln>
      </xdr:spPr>
      <xdr:style>
        <a:lnRef idx="2">
          <a:schemeClr val="dk1">
            <a:shade val="50000"/>
          </a:schemeClr>
        </a:lnRef>
        <a:fillRef idx="1">
          <a:schemeClr val="dk1"/>
        </a:fillRef>
        <a:effectRef idx="0">
          <a:schemeClr val="dk1"/>
        </a:effectRef>
        <a:fontRef idx="minor">
          <a:schemeClr val="lt1"/>
        </a:fontRef>
      </xdr:style>
      <xdr:txBody>
        <a:bodyPr vertOverflow="clip" horzOverflow="clip" rtlCol="0" anchor="ctr"/>
        <a:lstStyle/>
        <a:p>
          <a:pPr algn="ctr"/>
          <a:r>
            <a:rPr lang="en-US" sz="1100" b="0">
              <a:ln>
                <a:noFill/>
              </a:ln>
              <a:solidFill>
                <a:schemeClr val="tx1"/>
              </a:solidFill>
              <a:latin typeface="Cambria" panose="02040503050406030204" pitchFamily="18" charset="0"/>
              <a:ea typeface="Cambria" panose="02040503050406030204" pitchFamily="18" charset="0"/>
            </a:rPr>
            <a:t>Retour Page De</a:t>
          </a:r>
          <a:r>
            <a:rPr lang="en-US" sz="1100" b="0" baseline="0">
              <a:ln>
                <a:noFill/>
              </a:ln>
              <a:solidFill>
                <a:schemeClr val="tx1"/>
              </a:solidFill>
              <a:latin typeface="Cambria" panose="02040503050406030204" pitchFamily="18" charset="0"/>
              <a:ea typeface="Cambria" panose="02040503050406030204" pitchFamily="18" charset="0"/>
            </a:rPr>
            <a:t> Navigation</a:t>
          </a:r>
          <a:endParaRPr lang="en-US" sz="1100" b="0">
            <a:ln>
              <a:noFill/>
            </a:ln>
            <a:solidFill>
              <a:schemeClr val="tx1"/>
            </a:solidFill>
            <a:latin typeface="Cambria" panose="02040503050406030204" pitchFamily="18" charset="0"/>
            <a:ea typeface="Cambria" panose="02040503050406030204" pitchFamily="18" charset="0"/>
          </a:endParaRPr>
        </a:p>
      </xdr:txBody>
    </xdr:sp>
    <xdr:clientData/>
  </xdr:twoCellAnchor>
</xdr:wsDr>
</file>

<file path=xl/drawings/drawing42.xml><?xml version="1.0" encoding="utf-8"?>
<xdr:wsDr xmlns:xdr="http://schemas.openxmlformats.org/drawingml/2006/spreadsheetDrawing" xmlns:a="http://schemas.openxmlformats.org/drawingml/2006/main">
  <xdr:twoCellAnchor>
    <xdr:from>
      <xdr:col>10</xdr:col>
      <xdr:colOff>739140</xdr:colOff>
      <xdr:row>1</xdr:row>
      <xdr:rowOff>53340</xdr:rowOff>
    </xdr:from>
    <xdr:to>
      <xdr:col>13</xdr:col>
      <xdr:colOff>401397</xdr:colOff>
      <xdr:row>3</xdr:row>
      <xdr:rowOff>26246</xdr:rowOff>
    </xdr:to>
    <xdr:sp macro="[1]!Navigation" textlink="">
      <xdr:nvSpPr>
        <xdr:cNvPr id="2" name="Rectangle à coins arrondis 2">
          <a:extLst>
            <a:ext uri="{FF2B5EF4-FFF2-40B4-BE49-F238E27FC236}">
              <a16:creationId xmlns:a16="http://schemas.microsoft.com/office/drawing/2014/main" id="{AFCCB1A7-45C7-4B75-94F3-E786DE7C4210}"/>
            </a:ext>
          </a:extLst>
        </xdr:cNvPr>
        <xdr:cNvSpPr/>
      </xdr:nvSpPr>
      <xdr:spPr>
        <a:xfrm>
          <a:off x="12997815" y="243840"/>
          <a:ext cx="1948257" cy="353906"/>
        </a:xfrm>
        <a:prstGeom prst="roundRect">
          <a:avLst/>
        </a:prstGeom>
        <a:solidFill>
          <a:schemeClr val="bg1">
            <a:lumMod val="85000"/>
          </a:schemeClr>
        </a:solidFill>
        <a:ln>
          <a:noFill/>
        </a:ln>
      </xdr:spPr>
      <xdr:style>
        <a:lnRef idx="2">
          <a:schemeClr val="dk1">
            <a:shade val="50000"/>
          </a:schemeClr>
        </a:lnRef>
        <a:fillRef idx="1">
          <a:schemeClr val="dk1"/>
        </a:fillRef>
        <a:effectRef idx="0">
          <a:schemeClr val="dk1"/>
        </a:effectRef>
        <a:fontRef idx="minor">
          <a:schemeClr val="lt1"/>
        </a:fontRef>
      </xdr:style>
      <xdr:txBody>
        <a:bodyPr vertOverflow="clip" horzOverflow="clip" rtlCol="0" anchor="ctr"/>
        <a:lstStyle/>
        <a:p>
          <a:pPr algn="ctr"/>
          <a:r>
            <a:rPr lang="en-US" sz="1100" b="0">
              <a:ln>
                <a:noFill/>
              </a:ln>
              <a:solidFill>
                <a:schemeClr val="tx1"/>
              </a:solidFill>
              <a:latin typeface="Cambria" panose="02040503050406030204" pitchFamily="18" charset="0"/>
              <a:ea typeface="Cambria" panose="02040503050406030204" pitchFamily="18" charset="0"/>
            </a:rPr>
            <a:t>Retour Page De</a:t>
          </a:r>
          <a:r>
            <a:rPr lang="en-US" sz="1100" b="0" baseline="0">
              <a:ln>
                <a:noFill/>
              </a:ln>
              <a:solidFill>
                <a:schemeClr val="tx1"/>
              </a:solidFill>
              <a:latin typeface="Cambria" panose="02040503050406030204" pitchFamily="18" charset="0"/>
              <a:ea typeface="Cambria" panose="02040503050406030204" pitchFamily="18" charset="0"/>
            </a:rPr>
            <a:t> Navigation</a:t>
          </a:r>
          <a:endParaRPr lang="en-US" sz="1100" b="0">
            <a:ln>
              <a:noFill/>
            </a:ln>
            <a:solidFill>
              <a:schemeClr val="tx1"/>
            </a:solidFill>
            <a:latin typeface="Cambria" panose="02040503050406030204" pitchFamily="18" charset="0"/>
            <a:ea typeface="Cambria" panose="02040503050406030204" pitchFamily="18" charset="0"/>
          </a:endParaRPr>
        </a:p>
      </xdr:txBody>
    </xdr:sp>
    <xdr:clientData/>
  </xdr:twoCellAnchor>
</xdr:wsDr>
</file>

<file path=xl/drawings/drawing43.xml><?xml version="1.0" encoding="utf-8"?>
<xdr:wsDr xmlns:xdr="http://schemas.openxmlformats.org/drawingml/2006/spreadsheetDrawing" xmlns:a="http://schemas.openxmlformats.org/drawingml/2006/main">
  <xdr:twoCellAnchor>
    <xdr:from>
      <xdr:col>9</xdr:col>
      <xdr:colOff>533400</xdr:colOff>
      <xdr:row>1</xdr:row>
      <xdr:rowOff>152400</xdr:rowOff>
    </xdr:from>
    <xdr:to>
      <xdr:col>11</xdr:col>
      <xdr:colOff>553797</xdr:colOff>
      <xdr:row>3</xdr:row>
      <xdr:rowOff>125306</xdr:rowOff>
    </xdr:to>
    <xdr:sp macro="[1]!Navigation" textlink="">
      <xdr:nvSpPr>
        <xdr:cNvPr id="2" name="Rectangle à coins arrondis 2">
          <a:extLst>
            <a:ext uri="{FF2B5EF4-FFF2-40B4-BE49-F238E27FC236}">
              <a16:creationId xmlns:a16="http://schemas.microsoft.com/office/drawing/2014/main" id="{BF3E47A0-A0A6-47BC-8555-B468185BD9A3}"/>
            </a:ext>
          </a:extLst>
        </xdr:cNvPr>
        <xdr:cNvSpPr/>
      </xdr:nvSpPr>
      <xdr:spPr>
        <a:xfrm>
          <a:off x="10401300" y="342900"/>
          <a:ext cx="1973022" cy="353906"/>
        </a:xfrm>
        <a:prstGeom prst="roundRect">
          <a:avLst/>
        </a:prstGeom>
        <a:solidFill>
          <a:schemeClr val="bg1">
            <a:lumMod val="85000"/>
          </a:schemeClr>
        </a:solidFill>
        <a:ln>
          <a:noFill/>
        </a:ln>
      </xdr:spPr>
      <xdr:style>
        <a:lnRef idx="2">
          <a:schemeClr val="dk1">
            <a:shade val="50000"/>
          </a:schemeClr>
        </a:lnRef>
        <a:fillRef idx="1">
          <a:schemeClr val="dk1"/>
        </a:fillRef>
        <a:effectRef idx="0">
          <a:schemeClr val="dk1"/>
        </a:effectRef>
        <a:fontRef idx="minor">
          <a:schemeClr val="lt1"/>
        </a:fontRef>
      </xdr:style>
      <xdr:txBody>
        <a:bodyPr vertOverflow="clip" horzOverflow="clip" rtlCol="0" anchor="ctr"/>
        <a:lstStyle/>
        <a:p>
          <a:pPr algn="ctr"/>
          <a:r>
            <a:rPr lang="en-US" sz="1100" b="0">
              <a:ln>
                <a:noFill/>
              </a:ln>
              <a:solidFill>
                <a:schemeClr val="tx1"/>
              </a:solidFill>
              <a:latin typeface="Cambria" panose="02040503050406030204" pitchFamily="18" charset="0"/>
              <a:ea typeface="Cambria" panose="02040503050406030204" pitchFamily="18" charset="0"/>
            </a:rPr>
            <a:t>Retour Page De</a:t>
          </a:r>
          <a:r>
            <a:rPr lang="en-US" sz="1100" b="0" baseline="0">
              <a:ln>
                <a:noFill/>
              </a:ln>
              <a:solidFill>
                <a:schemeClr val="tx1"/>
              </a:solidFill>
              <a:latin typeface="Cambria" panose="02040503050406030204" pitchFamily="18" charset="0"/>
              <a:ea typeface="Cambria" panose="02040503050406030204" pitchFamily="18" charset="0"/>
            </a:rPr>
            <a:t> Navigation</a:t>
          </a:r>
          <a:endParaRPr lang="en-US" sz="1100" b="0">
            <a:ln>
              <a:noFill/>
            </a:ln>
            <a:solidFill>
              <a:schemeClr val="tx1"/>
            </a:solidFill>
            <a:latin typeface="Cambria" panose="02040503050406030204" pitchFamily="18" charset="0"/>
            <a:ea typeface="Cambria" panose="02040503050406030204" pitchFamily="18" charset="0"/>
          </a:endParaRPr>
        </a:p>
      </xdr:txBody>
    </xdr:sp>
    <xdr:clientData/>
  </xdr:twoCellAnchor>
</xdr:wsDr>
</file>

<file path=xl/drawings/drawing44.xml><?xml version="1.0" encoding="utf-8"?>
<xdr:wsDr xmlns:xdr="http://schemas.openxmlformats.org/drawingml/2006/spreadsheetDrawing" xmlns:a="http://schemas.openxmlformats.org/drawingml/2006/main">
  <xdr:twoCellAnchor>
    <xdr:from>
      <xdr:col>11</xdr:col>
      <xdr:colOff>99060</xdr:colOff>
      <xdr:row>1</xdr:row>
      <xdr:rowOff>76200</xdr:rowOff>
    </xdr:from>
    <xdr:to>
      <xdr:col>13</xdr:col>
      <xdr:colOff>553797</xdr:colOff>
      <xdr:row>3</xdr:row>
      <xdr:rowOff>49106</xdr:rowOff>
    </xdr:to>
    <xdr:sp macro="[1]!Navigation" textlink="">
      <xdr:nvSpPr>
        <xdr:cNvPr id="2" name="Rectangle à coins arrondis 2">
          <a:extLst>
            <a:ext uri="{FF2B5EF4-FFF2-40B4-BE49-F238E27FC236}">
              <a16:creationId xmlns:a16="http://schemas.microsoft.com/office/drawing/2014/main" id="{F18D1A6C-6B4A-4F7C-89D4-0FE7EA0A1B84}"/>
            </a:ext>
          </a:extLst>
        </xdr:cNvPr>
        <xdr:cNvSpPr/>
      </xdr:nvSpPr>
      <xdr:spPr>
        <a:xfrm>
          <a:off x="12738735" y="266700"/>
          <a:ext cx="1978737" cy="353906"/>
        </a:xfrm>
        <a:prstGeom prst="roundRect">
          <a:avLst/>
        </a:prstGeom>
        <a:solidFill>
          <a:schemeClr val="bg1">
            <a:lumMod val="85000"/>
          </a:schemeClr>
        </a:solidFill>
        <a:ln>
          <a:noFill/>
        </a:ln>
      </xdr:spPr>
      <xdr:style>
        <a:lnRef idx="2">
          <a:schemeClr val="dk1">
            <a:shade val="50000"/>
          </a:schemeClr>
        </a:lnRef>
        <a:fillRef idx="1">
          <a:schemeClr val="dk1"/>
        </a:fillRef>
        <a:effectRef idx="0">
          <a:schemeClr val="dk1"/>
        </a:effectRef>
        <a:fontRef idx="minor">
          <a:schemeClr val="lt1"/>
        </a:fontRef>
      </xdr:style>
      <xdr:txBody>
        <a:bodyPr vertOverflow="clip" horzOverflow="clip" rtlCol="0" anchor="ctr"/>
        <a:lstStyle/>
        <a:p>
          <a:pPr algn="ctr"/>
          <a:r>
            <a:rPr lang="en-US" sz="1100" b="0">
              <a:ln>
                <a:noFill/>
              </a:ln>
              <a:solidFill>
                <a:schemeClr val="tx1"/>
              </a:solidFill>
              <a:latin typeface="Cambria" panose="02040503050406030204" pitchFamily="18" charset="0"/>
              <a:ea typeface="Cambria" panose="02040503050406030204" pitchFamily="18" charset="0"/>
            </a:rPr>
            <a:t>Retour Page De</a:t>
          </a:r>
          <a:r>
            <a:rPr lang="en-US" sz="1100" b="0" baseline="0">
              <a:ln>
                <a:noFill/>
              </a:ln>
              <a:solidFill>
                <a:schemeClr val="tx1"/>
              </a:solidFill>
              <a:latin typeface="Cambria" panose="02040503050406030204" pitchFamily="18" charset="0"/>
              <a:ea typeface="Cambria" panose="02040503050406030204" pitchFamily="18" charset="0"/>
            </a:rPr>
            <a:t> Navigation</a:t>
          </a:r>
          <a:endParaRPr lang="en-US" sz="1100" b="0">
            <a:ln>
              <a:noFill/>
            </a:ln>
            <a:solidFill>
              <a:schemeClr val="tx1"/>
            </a:solidFill>
            <a:latin typeface="Cambria" panose="02040503050406030204" pitchFamily="18" charset="0"/>
            <a:ea typeface="Cambria" panose="02040503050406030204" pitchFamily="18" charset="0"/>
          </a:endParaRPr>
        </a:p>
      </xdr:txBody>
    </xdr:sp>
    <xdr:clientData/>
  </xdr:twoCellAnchor>
</xdr:wsDr>
</file>

<file path=xl/drawings/drawing45.xml><?xml version="1.0" encoding="utf-8"?>
<xdr:wsDr xmlns:xdr="http://schemas.openxmlformats.org/drawingml/2006/spreadsheetDrawing" xmlns:a="http://schemas.openxmlformats.org/drawingml/2006/main">
  <xdr:twoCellAnchor>
    <xdr:from>
      <xdr:col>11</xdr:col>
      <xdr:colOff>144780</xdr:colOff>
      <xdr:row>1</xdr:row>
      <xdr:rowOff>45720</xdr:rowOff>
    </xdr:from>
    <xdr:to>
      <xdr:col>13</xdr:col>
      <xdr:colOff>599517</xdr:colOff>
      <xdr:row>3</xdr:row>
      <xdr:rowOff>18626</xdr:rowOff>
    </xdr:to>
    <xdr:sp macro="[1]!Navigation" textlink="">
      <xdr:nvSpPr>
        <xdr:cNvPr id="2" name="Rectangle à coins arrondis 2">
          <a:extLst>
            <a:ext uri="{FF2B5EF4-FFF2-40B4-BE49-F238E27FC236}">
              <a16:creationId xmlns:a16="http://schemas.microsoft.com/office/drawing/2014/main" id="{23E1630D-B623-41A8-993C-47A05F3AC4F1}"/>
            </a:ext>
          </a:extLst>
        </xdr:cNvPr>
        <xdr:cNvSpPr/>
      </xdr:nvSpPr>
      <xdr:spPr>
        <a:xfrm>
          <a:off x="12727305" y="236220"/>
          <a:ext cx="1978737" cy="353906"/>
        </a:xfrm>
        <a:prstGeom prst="roundRect">
          <a:avLst/>
        </a:prstGeom>
        <a:solidFill>
          <a:schemeClr val="bg1">
            <a:lumMod val="85000"/>
          </a:schemeClr>
        </a:solidFill>
        <a:ln>
          <a:noFill/>
        </a:ln>
      </xdr:spPr>
      <xdr:style>
        <a:lnRef idx="2">
          <a:schemeClr val="dk1">
            <a:shade val="50000"/>
          </a:schemeClr>
        </a:lnRef>
        <a:fillRef idx="1">
          <a:schemeClr val="dk1"/>
        </a:fillRef>
        <a:effectRef idx="0">
          <a:schemeClr val="dk1"/>
        </a:effectRef>
        <a:fontRef idx="minor">
          <a:schemeClr val="lt1"/>
        </a:fontRef>
      </xdr:style>
      <xdr:txBody>
        <a:bodyPr vertOverflow="clip" horzOverflow="clip" rtlCol="0" anchor="ctr"/>
        <a:lstStyle/>
        <a:p>
          <a:pPr algn="ctr"/>
          <a:r>
            <a:rPr lang="en-US" sz="1100" b="0">
              <a:ln>
                <a:noFill/>
              </a:ln>
              <a:solidFill>
                <a:schemeClr val="tx1"/>
              </a:solidFill>
              <a:latin typeface="Cambria" panose="02040503050406030204" pitchFamily="18" charset="0"/>
              <a:ea typeface="Cambria" panose="02040503050406030204" pitchFamily="18" charset="0"/>
            </a:rPr>
            <a:t>Retour Page De</a:t>
          </a:r>
          <a:r>
            <a:rPr lang="en-US" sz="1100" b="0" baseline="0">
              <a:ln>
                <a:noFill/>
              </a:ln>
              <a:solidFill>
                <a:schemeClr val="tx1"/>
              </a:solidFill>
              <a:latin typeface="Cambria" panose="02040503050406030204" pitchFamily="18" charset="0"/>
              <a:ea typeface="Cambria" panose="02040503050406030204" pitchFamily="18" charset="0"/>
            </a:rPr>
            <a:t> Navigation</a:t>
          </a:r>
          <a:endParaRPr lang="en-US" sz="1100" b="0">
            <a:ln>
              <a:noFill/>
            </a:ln>
            <a:solidFill>
              <a:schemeClr val="tx1"/>
            </a:solidFill>
            <a:latin typeface="Cambria" panose="02040503050406030204" pitchFamily="18" charset="0"/>
            <a:ea typeface="Cambria" panose="02040503050406030204" pitchFamily="18" charset="0"/>
          </a:endParaRPr>
        </a:p>
      </xdr:txBody>
    </xdr:sp>
    <xdr:clientData/>
  </xdr:twoCellAnchor>
</xdr:wsDr>
</file>

<file path=xl/drawings/drawing46.xml><?xml version="1.0" encoding="utf-8"?>
<xdr:wsDr xmlns:xdr="http://schemas.openxmlformats.org/drawingml/2006/spreadsheetDrawing" xmlns:a="http://schemas.openxmlformats.org/drawingml/2006/main">
  <xdr:twoCellAnchor>
    <xdr:from>
      <xdr:col>11</xdr:col>
      <xdr:colOff>22860</xdr:colOff>
      <xdr:row>1</xdr:row>
      <xdr:rowOff>53340</xdr:rowOff>
    </xdr:from>
    <xdr:to>
      <xdr:col>13</xdr:col>
      <xdr:colOff>477597</xdr:colOff>
      <xdr:row>3</xdr:row>
      <xdr:rowOff>26246</xdr:rowOff>
    </xdr:to>
    <xdr:sp macro="[1]!Navigation" textlink="">
      <xdr:nvSpPr>
        <xdr:cNvPr id="2" name="Rectangle à coins arrondis 2">
          <a:extLst>
            <a:ext uri="{FF2B5EF4-FFF2-40B4-BE49-F238E27FC236}">
              <a16:creationId xmlns:a16="http://schemas.microsoft.com/office/drawing/2014/main" id="{13AC3944-0B88-4519-97BD-F66287594A46}"/>
            </a:ext>
          </a:extLst>
        </xdr:cNvPr>
        <xdr:cNvSpPr/>
      </xdr:nvSpPr>
      <xdr:spPr>
        <a:xfrm>
          <a:off x="12538710" y="243840"/>
          <a:ext cx="1978737" cy="353906"/>
        </a:xfrm>
        <a:prstGeom prst="roundRect">
          <a:avLst/>
        </a:prstGeom>
        <a:solidFill>
          <a:schemeClr val="bg1">
            <a:lumMod val="85000"/>
          </a:schemeClr>
        </a:solidFill>
        <a:ln>
          <a:noFill/>
        </a:ln>
      </xdr:spPr>
      <xdr:style>
        <a:lnRef idx="2">
          <a:schemeClr val="dk1">
            <a:shade val="50000"/>
          </a:schemeClr>
        </a:lnRef>
        <a:fillRef idx="1">
          <a:schemeClr val="dk1"/>
        </a:fillRef>
        <a:effectRef idx="0">
          <a:schemeClr val="dk1"/>
        </a:effectRef>
        <a:fontRef idx="minor">
          <a:schemeClr val="lt1"/>
        </a:fontRef>
      </xdr:style>
      <xdr:txBody>
        <a:bodyPr vertOverflow="clip" horzOverflow="clip" rtlCol="0" anchor="ctr"/>
        <a:lstStyle/>
        <a:p>
          <a:pPr algn="ctr"/>
          <a:r>
            <a:rPr lang="en-US" sz="1100" b="0">
              <a:ln>
                <a:noFill/>
              </a:ln>
              <a:solidFill>
                <a:schemeClr val="tx1"/>
              </a:solidFill>
              <a:latin typeface="Cambria" panose="02040503050406030204" pitchFamily="18" charset="0"/>
              <a:ea typeface="Cambria" panose="02040503050406030204" pitchFamily="18" charset="0"/>
            </a:rPr>
            <a:t>Retour Page De</a:t>
          </a:r>
          <a:r>
            <a:rPr lang="en-US" sz="1100" b="0" baseline="0">
              <a:ln>
                <a:noFill/>
              </a:ln>
              <a:solidFill>
                <a:schemeClr val="tx1"/>
              </a:solidFill>
              <a:latin typeface="Cambria" panose="02040503050406030204" pitchFamily="18" charset="0"/>
              <a:ea typeface="Cambria" panose="02040503050406030204" pitchFamily="18" charset="0"/>
            </a:rPr>
            <a:t> Navigation</a:t>
          </a:r>
          <a:endParaRPr lang="en-US" sz="1100" b="0">
            <a:ln>
              <a:noFill/>
            </a:ln>
            <a:solidFill>
              <a:schemeClr val="tx1"/>
            </a:solidFill>
            <a:latin typeface="Cambria" panose="02040503050406030204" pitchFamily="18" charset="0"/>
            <a:ea typeface="Cambria" panose="02040503050406030204" pitchFamily="18" charset="0"/>
          </a:endParaRPr>
        </a:p>
      </xdr:txBody>
    </xdr:sp>
    <xdr:clientData/>
  </xdr:twoCellAnchor>
</xdr:wsDr>
</file>

<file path=xl/drawings/drawing47.xml><?xml version="1.0" encoding="utf-8"?>
<xdr:wsDr xmlns:xdr="http://schemas.openxmlformats.org/drawingml/2006/spreadsheetDrawing" xmlns:a="http://schemas.openxmlformats.org/drawingml/2006/main">
  <xdr:twoCellAnchor>
    <xdr:from>
      <xdr:col>10</xdr:col>
      <xdr:colOff>121920</xdr:colOff>
      <xdr:row>1</xdr:row>
      <xdr:rowOff>45720</xdr:rowOff>
    </xdr:from>
    <xdr:to>
      <xdr:col>12</xdr:col>
      <xdr:colOff>576657</xdr:colOff>
      <xdr:row>3</xdr:row>
      <xdr:rowOff>18626</xdr:rowOff>
    </xdr:to>
    <xdr:sp macro="[1]!Navigation" textlink="">
      <xdr:nvSpPr>
        <xdr:cNvPr id="2" name="Rectangle à coins arrondis 2">
          <a:extLst>
            <a:ext uri="{FF2B5EF4-FFF2-40B4-BE49-F238E27FC236}">
              <a16:creationId xmlns:a16="http://schemas.microsoft.com/office/drawing/2014/main" id="{6D0DC4CD-F999-4A9A-8ABB-E4D0E844EC6B}"/>
            </a:ext>
          </a:extLst>
        </xdr:cNvPr>
        <xdr:cNvSpPr/>
      </xdr:nvSpPr>
      <xdr:spPr>
        <a:xfrm>
          <a:off x="10523220" y="236220"/>
          <a:ext cx="1978737" cy="353906"/>
        </a:xfrm>
        <a:prstGeom prst="roundRect">
          <a:avLst/>
        </a:prstGeom>
        <a:solidFill>
          <a:schemeClr val="bg1">
            <a:lumMod val="85000"/>
          </a:schemeClr>
        </a:solidFill>
        <a:ln>
          <a:noFill/>
        </a:ln>
      </xdr:spPr>
      <xdr:style>
        <a:lnRef idx="2">
          <a:schemeClr val="dk1">
            <a:shade val="50000"/>
          </a:schemeClr>
        </a:lnRef>
        <a:fillRef idx="1">
          <a:schemeClr val="dk1"/>
        </a:fillRef>
        <a:effectRef idx="0">
          <a:schemeClr val="dk1"/>
        </a:effectRef>
        <a:fontRef idx="minor">
          <a:schemeClr val="lt1"/>
        </a:fontRef>
      </xdr:style>
      <xdr:txBody>
        <a:bodyPr vertOverflow="clip" horzOverflow="clip" rtlCol="0" anchor="ctr"/>
        <a:lstStyle/>
        <a:p>
          <a:pPr algn="ctr"/>
          <a:r>
            <a:rPr lang="en-US" sz="1100" b="0">
              <a:ln>
                <a:noFill/>
              </a:ln>
              <a:solidFill>
                <a:schemeClr val="tx1"/>
              </a:solidFill>
              <a:latin typeface="Cambria" panose="02040503050406030204" pitchFamily="18" charset="0"/>
              <a:ea typeface="Cambria" panose="02040503050406030204" pitchFamily="18" charset="0"/>
            </a:rPr>
            <a:t>Retour Page De</a:t>
          </a:r>
          <a:r>
            <a:rPr lang="en-US" sz="1100" b="0" baseline="0">
              <a:ln>
                <a:noFill/>
              </a:ln>
              <a:solidFill>
                <a:schemeClr val="tx1"/>
              </a:solidFill>
              <a:latin typeface="Cambria" panose="02040503050406030204" pitchFamily="18" charset="0"/>
              <a:ea typeface="Cambria" panose="02040503050406030204" pitchFamily="18" charset="0"/>
            </a:rPr>
            <a:t> Navigation</a:t>
          </a:r>
          <a:endParaRPr lang="en-US" sz="1100" b="0">
            <a:ln>
              <a:noFill/>
            </a:ln>
            <a:solidFill>
              <a:schemeClr val="tx1"/>
            </a:solidFill>
            <a:latin typeface="Cambria" panose="02040503050406030204" pitchFamily="18" charset="0"/>
            <a:ea typeface="Cambria" panose="02040503050406030204" pitchFamily="18" charset="0"/>
          </a:endParaRPr>
        </a:p>
      </xdr:txBody>
    </xdr:sp>
    <xdr:clientData/>
  </xdr:twoCellAnchor>
</xdr:wsDr>
</file>

<file path=xl/drawings/drawing48.xml><?xml version="1.0" encoding="utf-8"?>
<xdr:wsDr xmlns:xdr="http://schemas.openxmlformats.org/drawingml/2006/spreadsheetDrawing" xmlns:a="http://schemas.openxmlformats.org/drawingml/2006/main">
  <xdr:twoCellAnchor>
    <xdr:from>
      <xdr:col>10</xdr:col>
      <xdr:colOff>121920</xdr:colOff>
      <xdr:row>1</xdr:row>
      <xdr:rowOff>76200</xdr:rowOff>
    </xdr:from>
    <xdr:to>
      <xdr:col>12</xdr:col>
      <xdr:colOff>576657</xdr:colOff>
      <xdr:row>3</xdr:row>
      <xdr:rowOff>49106</xdr:rowOff>
    </xdr:to>
    <xdr:sp macro="[1]!Navigation" textlink="">
      <xdr:nvSpPr>
        <xdr:cNvPr id="2" name="Rectangle à coins arrondis 2">
          <a:extLst>
            <a:ext uri="{FF2B5EF4-FFF2-40B4-BE49-F238E27FC236}">
              <a16:creationId xmlns:a16="http://schemas.microsoft.com/office/drawing/2014/main" id="{49E52AF0-8F65-4A09-9149-F411083BE531}"/>
            </a:ext>
          </a:extLst>
        </xdr:cNvPr>
        <xdr:cNvSpPr/>
      </xdr:nvSpPr>
      <xdr:spPr>
        <a:xfrm>
          <a:off x="9951720" y="266700"/>
          <a:ext cx="1978737" cy="353906"/>
        </a:xfrm>
        <a:prstGeom prst="roundRect">
          <a:avLst/>
        </a:prstGeom>
        <a:solidFill>
          <a:schemeClr val="bg1">
            <a:lumMod val="85000"/>
          </a:schemeClr>
        </a:solidFill>
        <a:ln>
          <a:noFill/>
        </a:ln>
      </xdr:spPr>
      <xdr:style>
        <a:lnRef idx="2">
          <a:schemeClr val="dk1">
            <a:shade val="50000"/>
          </a:schemeClr>
        </a:lnRef>
        <a:fillRef idx="1">
          <a:schemeClr val="dk1"/>
        </a:fillRef>
        <a:effectRef idx="0">
          <a:schemeClr val="dk1"/>
        </a:effectRef>
        <a:fontRef idx="minor">
          <a:schemeClr val="lt1"/>
        </a:fontRef>
      </xdr:style>
      <xdr:txBody>
        <a:bodyPr vertOverflow="clip" horzOverflow="clip" rtlCol="0" anchor="ctr"/>
        <a:lstStyle/>
        <a:p>
          <a:pPr algn="ctr"/>
          <a:r>
            <a:rPr lang="en-US" sz="1100" b="0">
              <a:ln>
                <a:noFill/>
              </a:ln>
              <a:solidFill>
                <a:schemeClr val="tx1"/>
              </a:solidFill>
              <a:latin typeface="Cambria" panose="02040503050406030204" pitchFamily="18" charset="0"/>
              <a:ea typeface="Cambria" panose="02040503050406030204" pitchFamily="18" charset="0"/>
            </a:rPr>
            <a:t>Retour Page De</a:t>
          </a:r>
          <a:r>
            <a:rPr lang="en-US" sz="1100" b="0" baseline="0">
              <a:ln>
                <a:noFill/>
              </a:ln>
              <a:solidFill>
                <a:schemeClr val="tx1"/>
              </a:solidFill>
              <a:latin typeface="Cambria" panose="02040503050406030204" pitchFamily="18" charset="0"/>
              <a:ea typeface="Cambria" panose="02040503050406030204" pitchFamily="18" charset="0"/>
            </a:rPr>
            <a:t> Navigation</a:t>
          </a:r>
          <a:endParaRPr lang="en-US" sz="1100" b="0">
            <a:ln>
              <a:noFill/>
            </a:ln>
            <a:solidFill>
              <a:schemeClr val="tx1"/>
            </a:solidFill>
            <a:latin typeface="Cambria" panose="02040503050406030204" pitchFamily="18" charset="0"/>
            <a:ea typeface="Cambria" panose="02040503050406030204" pitchFamily="18" charset="0"/>
          </a:endParaRPr>
        </a:p>
      </xdr:txBody>
    </xdr:sp>
    <xdr:clientData/>
  </xdr:twoCellAnchor>
</xdr:wsDr>
</file>

<file path=xl/drawings/drawing49.xml><?xml version="1.0" encoding="utf-8"?>
<xdr:wsDr xmlns:xdr="http://schemas.openxmlformats.org/drawingml/2006/spreadsheetDrawing" xmlns:a="http://schemas.openxmlformats.org/drawingml/2006/main">
  <xdr:twoCellAnchor>
    <xdr:from>
      <xdr:col>10</xdr:col>
      <xdr:colOff>30480</xdr:colOff>
      <xdr:row>1</xdr:row>
      <xdr:rowOff>60960</xdr:rowOff>
    </xdr:from>
    <xdr:to>
      <xdr:col>12</xdr:col>
      <xdr:colOff>485217</xdr:colOff>
      <xdr:row>3</xdr:row>
      <xdr:rowOff>33866</xdr:rowOff>
    </xdr:to>
    <xdr:sp macro="[1]!Navigation" textlink="">
      <xdr:nvSpPr>
        <xdr:cNvPr id="2" name="Rectangle à coins arrondis 2">
          <a:extLst>
            <a:ext uri="{FF2B5EF4-FFF2-40B4-BE49-F238E27FC236}">
              <a16:creationId xmlns:a16="http://schemas.microsoft.com/office/drawing/2014/main" id="{575F64D0-8D29-4D55-A201-07842B6A2284}"/>
            </a:ext>
          </a:extLst>
        </xdr:cNvPr>
        <xdr:cNvSpPr/>
      </xdr:nvSpPr>
      <xdr:spPr>
        <a:xfrm>
          <a:off x="9955530" y="251460"/>
          <a:ext cx="1978737" cy="353906"/>
        </a:xfrm>
        <a:prstGeom prst="roundRect">
          <a:avLst/>
        </a:prstGeom>
        <a:solidFill>
          <a:schemeClr val="bg1">
            <a:lumMod val="85000"/>
          </a:schemeClr>
        </a:solidFill>
        <a:ln>
          <a:noFill/>
        </a:ln>
      </xdr:spPr>
      <xdr:style>
        <a:lnRef idx="2">
          <a:schemeClr val="dk1">
            <a:shade val="50000"/>
          </a:schemeClr>
        </a:lnRef>
        <a:fillRef idx="1">
          <a:schemeClr val="dk1"/>
        </a:fillRef>
        <a:effectRef idx="0">
          <a:schemeClr val="dk1"/>
        </a:effectRef>
        <a:fontRef idx="minor">
          <a:schemeClr val="lt1"/>
        </a:fontRef>
      </xdr:style>
      <xdr:txBody>
        <a:bodyPr vertOverflow="clip" horzOverflow="clip" rtlCol="0" anchor="ctr"/>
        <a:lstStyle/>
        <a:p>
          <a:pPr algn="ctr"/>
          <a:r>
            <a:rPr lang="en-US" sz="1100" b="0">
              <a:ln>
                <a:noFill/>
              </a:ln>
              <a:solidFill>
                <a:schemeClr val="tx1"/>
              </a:solidFill>
              <a:latin typeface="Cambria" panose="02040503050406030204" pitchFamily="18" charset="0"/>
              <a:ea typeface="Cambria" panose="02040503050406030204" pitchFamily="18" charset="0"/>
            </a:rPr>
            <a:t>Retour Page De</a:t>
          </a:r>
          <a:r>
            <a:rPr lang="en-US" sz="1100" b="0" baseline="0">
              <a:ln>
                <a:noFill/>
              </a:ln>
              <a:solidFill>
                <a:schemeClr val="tx1"/>
              </a:solidFill>
              <a:latin typeface="Cambria" panose="02040503050406030204" pitchFamily="18" charset="0"/>
              <a:ea typeface="Cambria" panose="02040503050406030204" pitchFamily="18" charset="0"/>
            </a:rPr>
            <a:t> Navigation</a:t>
          </a:r>
          <a:endParaRPr lang="en-US" sz="1100" b="0">
            <a:ln>
              <a:noFill/>
            </a:ln>
            <a:solidFill>
              <a:schemeClr val="tx1"/>
            </a:solidFill>
            <a:latin typeface="Cambria" panose="02040503050406030204" pitchFamily="18" charset="0"/>
            <a:ea typeface="Cambria" panose="02040503050406030204" pitchFamily="18" charset="0"/>
          </a:endParaRPr>
        </a:p>
      </xdr:txBody>
    </xdr:sp>
    <xdr:clientData/>
  </xdr:twoCellAnchor>
</xdr:wsDr>
</file>

<file path=xl/drawings/drawing50.xml><?xml version="1.0" encoding="utf-8"?>
<xdr:wsDr xmlns:xdr="http://schemas.openxmlformats.org/drawingml/2006/spreadsheetDrawing" xmlns:a="http://schemas.openxmlformats.org/drawingml/2006/main">
  <xdr:twoCellAnchor>
    <xdr:from>
      <xdr:col>9</xdr:col>
      <xdr:colOff>784860</xdr:colOff>
      <xdr:row>1</xdr:row>
      <xdr:rowOff>53340</xdr:rowOff>
    </xdr:from>
    <xdr:to>
      <xdr:col>12</xdr:col>
      <xdr:colOff>447117</xdr:colOff>
      <xdr:row>3</xdr:row>
      <xdr:rowOff>26246</xdr:rowOff>
    </xdr:to>
    <xdr:sp macro="[1]!Navigation" textlink="">
      <xdr:nvSpPr>
        <xdr:cNvPr id="2" name="Rectangle à coins arrondis 2">
          <a:extLst>
            <a:ext uri="{FF2B5EF4-FFF2-40B4-BE49-F238E27FC236}">
              <a16:creationId xmlns:a16="http://schemas.microsoft.com/office/drawing/2014/main" id="{2AC00A4F-C014-40DF-8218-76FF53690EC1}"/>
            </a:ext>
          </a:extLst>
        </xdr:cNvPr>
        <xdr:cNvSpPr/>
      </xdr:nvSpPr>
      <xdr:spPr>
        <a:xfrm>
          <a:off x="8309610" y="243840"/>
          <a:ext cx="1967307" cy="353906"/>
        </a:xfrm>
        <a:prstGeom prst="roundRect">
          <a:avLst/>
        </a:prstGeom>
        <a:solidFill>
          <a:schemeClr val="bg1">
            <a:lumMod val="85000"/>
          </a:schemeClr>
        </a:solidFill>
        <a:ln>
          <a:noFill/>
        </a:ln>
      </xdr:spPr>
      <xdr:style>
        <a:lnRef idx="2">
          <a:schemeClr val="dk1">
            <a:shade val="50000"/>
          </a:schemeClr>
        </a:lnRef>
        <a:fillRef idx="1">
          <a:schemeClr val="dk1"/>
        </a:fillRef>
        <a:effectRef idx="0">
          <a:schemeClr val="dk1"/>
        </a:effectRef>
        <a:fontRef idx="minor">
          <a:schemeClr val="lt1"/>
        </a:fontRef>
      </xdr:style>
      <xdr:txBody>
        <a:bodyPr vertOverflow="clip" horzOverflow="clip" rtlCol="0" anchor="ctr"/>
        <a:lstStyle/>
        <a:p>
          <a:pPr algn="ctr"/>
          <a:r>
            <a:rPr lang="en-US" sz="1100" b="0">
              <a:ln>
                <a:noFill/>
              </a:ln>
              <a:solidFill>
                <a:schemeClr val="tx1"/>
              </a:solidFill>
              <a:latin typeface="Cambria" panose="02040503050406030204" pitchFamily="18" charset="0"/>
              <a:ea typeface="Cambria" panose="02040503050406030204" pitchFamily="18" charset="0"/>
            </a:rPr>
            <a:t>Retour Page De</a:t>
          </a:r>
          <a:r>
            <a:rPr lang="en-US" sz="1100" b="0" baseline="0">
              <a:ln>
                <a:noFill/>
              </a:ln>
              <a:solidFill>
                <a:schemeClr val="tx1"/>
              </a:solidFill>
              <a:latin typeface="Cambria" panose="02040503050406030204" pitchFamily="18" charset="0"/>
              <a:ea typeface="Cambria" panose="02040503050406030204" pitchFamily="18" charset="0"/>
            </a:rPr>
            <a:t> Navigation</a:t>
          </a:r>
          <a:endParaRPr lang="en-US" sz="1100" b="0">
            <a:ln>
              <a:noFill/>
            </a:ln>
            <a:solidFill>
              <a:schemeClr val="tx1"/>
            </a:solidFill>
            <a:latin typeface="Cambria" panose="02040503050406030204" pitchFamily="18" charset="0"/>
            <a:ea typeface="Cambria" panose="02040503050406030204" pitchFamily="18" charset="0"/>
          </a:endParaRPr>
        </a:p>
      </xdr:txBody>
    </xdr:sp>
    <xdr:clientData/>
  </xdr:twoCellAnchor>
</xdr:wsDr>
</file>

<file path=xl/drawings/drawing51.xml><?xml version="1.0" encoding="utf-8"?>
<xdr:wsDr xmlns:xdr="http://schemas.openxmlformats.org/drawingml/2006/spreadsheetDrawing" xmlns:a="http://schemas.openxmlformats.org/drawingml/2006/main">
  <xdr:twoCellAnchor>
    <xdr:from>
      <xdr:col>10</xdr:col>
      <xdr:colOff>22860</xdr:colOff>
      <xdr:row>1</xdr:row>
      <xdr:rowOff>144780</xdr:rowOff>
    </xdr:from>
    <xdr:to>
      <xdr:col>12</xdr:col>
      <xdr:colOff>477597</xdr:colOff>
      <xdr:row>3</xdr:row>
      <xdr:rowOff>117686</xdr:rowOff>
    </xdr:to>
    <xdr:sp macro="[1]!Navigation" textlink="">
      <xdr:nvSpPr>
        <xdr:cNvPr id="2" name="Rectangle à coins arrondis 2">
          <a:extLst>
            <a:ext uri="{FF2B5EF4-FFF2-40B4-BE49-F238E27FC236}">
              <a16:creationId xmlns:a16="http://schemas.microsoft.com/office/drawing/2014/main" id="{2BC8B85F-50B0-4188-BC14-25A8B5423CF5}"/>
            </a:ext>
          </a:extLst>
        </xdr:cNvPr>
        <xdr:cNvSpPr/>
      </xdr:nvSpPr>
      <xdr:spPr>
        <a:xfrm>
          <a:off x="8947785" y="335280"/>
          <a:ext cx="1978737" cy="353906"/>
        </a:xfrm>
        <a:prstGeom prst="roundRect">
          <a:avLst/>
        </a:prstGeom>
        <a:solidFill>
          <a:schemeClr val="bg1">
            <a:lumMod val="85000"/>
          </a:schemeClr>
        </a:solidFill>
        <a:ln>
          <a:noFill/>
        </a:ln>
      </xdr:spPr>
      <xdr:style>
        <a:lnRef idx="2">
          <a:schemeClr val="dk1">
            <a:shade val="50000"/>
          </a:schemeClr>
        </a:lnRef>
        <a:fillRef idx="1">
          <a:schemeClr val="dk1"/>
        </a:fillRef>
        <a:effectRef idx="0">
          <a:schemeClr val="dk1"/>
        </a:effectRef>
        <a:fontRef idx="minor">
          <a:schemeClr val="lt1"/>
        </a:fontRef>
      </xdr:style>
      <xdr:txBody>
        <a:bodyPr vertOverflow="clip" horzOverflow="clip" rtlCol="0" anchor="ctr"/>
        <a:lstStyle/>
        <a:p>
          <a:pPr algn="ctr"/>
          <a:r>
            <a:rPr lang="en-US" sz="1100" b="0">
              <a:ln>
                <a:noFill/>
              </a:ln>
              <a:solidFill>
                <a:schemeClr val="tx1"/>
              </a:solidFill>
              <a:latin typeface="Cambria" panose="02040503050406030204" pitchFamily="18" charset="0"/>
              <a:ea typeface="Cambria" panose="02040503050406030204" pitchFamily="18" charset="0"/>
            </a:rPr>
            <a:t>Retour Page De</a:t>
          </a:r>
          <a:r>
            <a:rPr lang="en-US" sz="1100" b="0" baseline="0">
              <a:ln>
                <a:noFill/>
              </a:ln>
              <a:solidFill>
                <a:schemeClr val="tx1"/>
              </a:solidFill>
              <a:latin typeface="Cambria" panose="02040503050406030204" pitchFamily="18" charset="0"/>
              <a:ea typeface="Cambria" panose="02040503050406030204" pitchFamily="18" charset="0"/>
            </a:rPr>
            <a:t> Navigation</a:t>
          </a:r>
          <a:endParaRPr lang="en-US" sz="1100" b="0">
            <a:ln>
              <a:noFill/>
            </a:ln>
            <a:solidFill>
              <a:schemeClr val="tx1"/>
            </a:solidFill>
            <a:latin typeface="Cambria" panose="02040503050406030204" pitchFamily="18" charset="0"/>
            <a:ea typeface="Cambria" panose="02040503050406030204" pitchFamily="18" charset="0"/>
          </a:endParaRPr>
        </a:p>
      </xdr:txBody>
    </xdr:sp>
    <xdr:clientData/>
  </xdr:twoCellAnchor>
</xdr:wsDr>
</file>

<file path=xl/drawings/drawing52.xml><?xml version="1.0" encoding="utf-8"?>
<xdr:wsDr xmlns:xdr="http://schemas.openxmlformats.org/drawingml/2006/spreadsheetDrawing" xmlns:a="http://schemas.openxmlformats.org/drawingml/2006/main">
  <xdr:twoCellAnchor>
    <xdr:from>
      <xdr:col>10</xdr:col>
      <xdr:colOff>144780</xdr:colOff>
      <xdr:row>1</xdr:row>
      <xdr:rowOff>53340</xdr:rowOff>
    </xdr:from>
    <xdr:to>
      <xdr:col>12</xdr:col>
      <xdr:colOff>599517</xdr:colOff>
      <xdr:row>3</xdr:row>
      <xdr:rowOff>26246</xdr:rowOff>
    </xdr:to>
    <xdr:sp macro="[1]!Navigation" textlink="">
      <xdr:nvSpPr>
        <xdr:cNvPr id="2" name="Rectangle à coins arrondis 2">
          <a:extLst>
            <a:ext uri="{FF2B5EF4-FFF2-40B4-BE49-F238E27FC236}">
              <a16:creationId xmlns:a16="http://schemas.microsoft.com/office/drawing/2014/main" id="{1D9E5E40-E226-497F-97F8-43A166F643F5}"/>
            </a:ext>
          </a:extLst>
        </xdr:cNvPr>
        <xdr:cNvSpPr/>
      </xdr:nvSpPr>
      <xdr:spPr>
        <a:xfrm>
          <a:off x="9222105" y="243840"/>
          <a:ext cx="1978737" cy="353906"/>
        </a:xfrm>
        <a:prstGeom prst="roundRect">
          <a:avLst/>
        </a:prstGeom>
        <a:solidFill>
          <a:schemeClr val="bg1">
            <a:lumMod val="85000"/>
          </a:schemeClr>
        </a:solidFill>
        <a:ln>
          <a:noFill/>
        </a:ln>
      </xdr:spPr>
      <xdr:style>
        <a:lnRef idx="2">
          <a:schemeClr val="dk1">
            <a:shade val="50000"/>
          </a:schemeClr>
        </a:lnRef>
        <a:fillRef idx="1">
          <a:schemeClr val="dk1"/>
        </a:fillRef>
        <a:effectRef idx="0">
          <a:schemeClr val="dk1"/>
        </a:effectRef>
        <a:fontRef idx="minor">
          <a:schemeClr val="lt1"/>
        </a:fontRef>
      </xdr:style>
      <xdr:txBody>
        <a:bodyPr vertOverflow="clip" horzOverflow="clip" rtlCol="0" anchor="ctr"/>
        <a:lstStyle/>
        <a:p>
          <a:pPr algn="ctr"/>
          <a:r>
            <a:rPr lang="en-US" sz="1100" b="0">
              <a:ln>
                <a:noFill/>
              </a:ln>
              <a:solidFill>
                <a:schemeClr val="tx1"/>
              </a:solidFill>
              <a:latin typeface="Cambria" panose="02040503050406030204" pitchFamily="18" charset="0"/>
              <a:ea typeface="Cambria" panose="02040503050406030204" pitchFamily="18" charset="0"/>
            </a:rPr>
            <a:t>Retour Page De</a:t>
          </a:r>
          <a:r>
            <a:rPr lang="en-US" sz="1100" b="0" baseline="0">
              <a:ln>
                <a:noFill/>
              </a:ln>
              <a:solidFill>
                <a:schemeClr val="tx1"/>
              </a:solidFill>
              <a:latin typeface="Cambria" panose="02040503050406030204" pitchFamily="18" charset="0"/>
              <a:ea typeface="Cambria" panose="02040503050406030204" pitchFamily="18" charset="0"/>
            </a:rPr>
            <a:t> Navigation</a:t>
          </a:r>
          <a:endParaRPr lang="en-US" sz="1100" b="0">
            <a:ln>
              <a:noFill/>
            </a:ln>
            <a:solidFill>
              <a:schemeClr val="tx1"/>
            </a:solidFill>
            <a:latin typeface="Cambria" panose="02040503050406030204" pitchFamily="18" charset="0"/>
            <a:ea typeface="Cambria" panose="02040503050406030204" pitchFamily="18" charset="0"/>
          </a:endParaRPr>
        </a:p>
      </xdr:txBody>
    </xdr:sp>
    <xdr:clientData/>
  </xdr:twoCellAnchor>
</xdr:wsDr>
</file>

<file path=xl/drawings/drawing53.xml><?xml version="1.0" encoding="utf-8"?>
<xdr:wsDr xmlns:xdr="http://schemas.openxmlformats.org/drawingml/2006/spreadsheetDrawing" xmlns:a="http://schemas.openxmlformats.org/drawingml/2006/main">
  <xdr:twoCellAnchor>
    <xdr:from>
      <xdr:col>10</xdr:col>
      <xdr:colOff>182880</xdr:colOff>
      <xdr:row>1</xdr:row>
      <xdr:rowOff>60960</xdr:rowOff>
    </xdr:from>
    <xdr:to>
      <xdr:col>12</xdr:col>
      <xdr:colOff>637617</xdr:colOff>
      <xdr:row>3</xdr:row>
      <xdr:rowOff>33866</xdr:rowOff>
    </xdr:to>
    <xdr:sp macro="[1]!Navigation" textlink="">
      <xdr:nvSpPr>
        <xdr:cNvPr id="2" name="Rectangle à coins arrondis 2">
          <a:extLst>
            <a:ext uri="{FF2B5EF4-FFF2-40B4-BE49-F238E27FC236}">
              <a16:creationId xmlns:a16="http://schemas.microsoft.com/office/drawing/2014/main" id="{1FC5A486-C7BD-4531-B4AA-174AC203C859}"/>
            </a:ext>
          </a:extLst>
        </xdr:cNvPr>
        <xdr:cNvSpPr/>
      </xdr:nvSpPr>
      <xdr:spPr>
        <a:xfrm>
          <a:off x="10803255" y="251460"/>
          <a:ext cx="1978737" cy="353906"/>
        </a:xfrm>
        <a:prstGeom prst="roundRect">
          <a:avLst/>
        </a:prstGeom>
        <a:solidFill>
          <a:schemeClr val="bg1">
            <a:lumMod val="85000"/>
          </a:schemeClr>
        </a:solidFill>
        <a:ln>
          <a:noFill/>
        </a:ln>
      </xdr:spPr>
      <xdr:style>
        <a:lnRef idx="2">
          <a:schemeClr val="dk1">
            <a:shade val="50000"/>
          </a:schemeClr>
        </a:lnRef>
        <a:fillRef idx="1">
          <a:schemeClr val="dk1"/>
        </a:fillRef>
        <a:effectRef idx="0">
          <a:schemeClr val="dk1"/>
        </a:effectRef>
        <a:fontRef idx="minor">
          <a:schemeClr val="lt1"/>
        </a:fontRef>
      </xdr:style>
      <xdr:txBody>
        <a:bodyPr vertOverflow="clip" horzOverflow="clip" rtlCol="0" anchor="ctr"/>
        <a:lstStyle/>
        <a:p>
          <a:pPr algn="ctr"/>
          <a:r>
            <a:rPr lang="en-US" sz="1100" b="0">
              <a:ln>
                <a:noFill/>
              </a:ln>
              <a:solidFill>
                <a:schemeClr val="tx1"/>
              </a:solidFill>
              <a:latin typeface="Cambria" panose="02040503050406030204" pitchFamily="18" charset="0"/>
              <a:ea typeface="Cambria" panose="02040503050406030204" pitchFamily="18" charset="0"/>
            </a:rPr>
            <a:t>Retour Page De</a:t>
          </a:r>
          <a:r>
            <a:rPr lang="en-US" sz="1100" b="0" baseline="0">
              <a:ln>
                <a:noFill/>
              </a:ln>
              <a:solidFill>
                <a:schemeClr val="tx1"/>
              </a:solidFill>
              <a:latin typeface="Cambria" panose="02040503050406030204" pitchFamily="18" charset="0"/>
              <a:ea typeface="Cambria" panose="02040503050406030204" pitchFamily="18" charset="0"/>
            </a:rPr>
            <a:t> Navigation</a:t>
          </a:r>
          <a:endParaRPr lang="en-US" sz="1100" b="0">
            <a:ln>
              <a:noFill/>
            </a:ln>
            <a:solidFill>
              <a:schemeClr val="tx1"/>
            </a:solidFill>
            <a:latin typeface="Cambria" panose="02040503050406030204" pitchFamily="18" charset="0"/>
            <a:ea typeface="Cambria" panose="02040503050406030204" pitchFamily="18" charset="0"/>
          </a:endParaRPr>
        </a:p>
      </xdr:txBody>
    </xdr:sp>
    <xdr:clientData/>
  </xdr:twoCellAnchor>
</xdr:wsDr>
</file>

<file path=xl/drawings/drawing54.xml><?xml version="1.0" encoding="utf-8"?>
<xdr:wsDr xmlns:xdr="http://schemas.openxmlformats.org/drawingml/2006/spreadsheetDrawing" xmlns:a="http://schemas.openxmlformats.org/drawingml/2006/main">
  <xdr:twoCellAnchor>
    <xdr:from>
      <xdr:col>10</xdr:col>
      <xdr:colOff>106680</xdr:colOff>
      <xdr:row>1</xdr:row>
      <xdr:rowOff>38100</xdr:rowOff>
    </xdr:from>
    <xdr:to>
      <xdr:col>12</xdr:col>
      <xdr:colOff>561417</xdr:colOff>
      <xdr:row>3</xdr:row>
      <xdr:rowOff>11006</xdr:rowOff>
    </xdr:to>
    <xdr:sp macro="[1]!Navigation" textlink="">
      <xdr:nvSpPr>
        <xdr:cNvPr id="2" name="Rectangle à coins arrondis 2">
          <a:extLst>
            <a:ext uri="{FF2B5EF4-FFF2-40B4-BE49-F238E27FC236}">
              <a16:creationId xmlns:a16="http://schemas.microsoft.com/office/drawing/2014/main" id="{46367BF4-E669-4D19-A8D8-D0CDD8AA9345}"/>
            </a:ext>
          </a:extLst>
        </xdr:cNvPr>
        <xdr:cNvSpPr/>
      </xdr:nvSpPr>
      <xdr:spPr>
        <a:xfrm>
          <a:off x="10631805" y="228600"/>
          <a:ext cx="1978737" cy="353906"/>
        </a:xfrm>
        <a:prstGeom prst="roundRect">
          <a:avLst/>
        </a:prstGeom>
        <a:solidFill>
          <a:schemeClr val="bg1">
            <a:lumMod val="85000"/>
          </a:schemeClr>
        </a:solidFill>
        <a:ln>
          <a:noFill/>
        </a:ln>
      </xdr:spPr>
      <xdr:style>
        <a:lnRef idx="2">
          <a:schemeClr val="dk1">
            <a:shade val="50000"/>
          </a:schemeClr>
        </a:lnRef>
        <a:fillRef idx="1">
          <a:schemeClr val="dk1"/>
        </a:fillRef>
        <a:effectRef idx="0">
          <a:schemeClr val="dk1"/>
        </a:effectRef>
        <a:fontRef idx="minor">
          <a:schemeClr val="lt1"/>
        </a:fontRef>
      </xdr:style>
      <xdr:txBody>
        <a:bodyPr vertOverflow="clip" horzOverflow="clip" rtlCol="0" anchor="ctr"/>
        <a:lstStyle/>
        <a:p>
          <a:pPr algn="ctr"/>
          <a:r>
            <a:rPr lang="en-US" sz="1100" b="0">
              <a:ln>
                <a:noFill/>
              </a:ln>
              <a:solidFill>
                <a:schemeClr val="tx1"/>
              </a:solidFill>
              <a:latin typeface="Cambria" panose="02040503050406030204" pitchFamily="18" charset="0"/>
              <a:ea typeface="Cambria" panose="02040503050406030204" pitchFamily="18" charset="0"/>
            </a:rPr>
            <a:t>Retour Page De</a:t>
          </a:r>
          <a:r>
            <a:rPr lang="en-US" sz="1100" b="0" baseline="0">
              <a:ln>
                <a:noFill/>
              </a:ln>
              <a:solidFill>
                <a:schemeClr val="tx1"/>
              </a:solidFill>
              <a:latin typeface="Cambria" panose="02040503050406030204" pitchFamily="18" charset="0"/>
              <a:ea typeface="Cambria" panose="02040503050406030204" pitchFamily="18" charset="0"/>
            </a:rPr>
            <a:t> Navigation</a:t>
          </a:r>
          <a:endParaRPr lang="en-US" sz="1100" b="0">
            <a:ln>
              <a:noFill/>
            </a:ln>
            <a:solidFill>
              <a:schemeClr val="tx1"/>
            </a:solidFill>
            <a:latin typeface="Cambria" panose="02040503050406030204" pitchFamily="18" charset="0"/>
            <a:ea typeface="Cambria" panose="02040503050406030204" pitchFamily="18" charset="0"/>
          </a:endParaRPr>
        </a:p>
      </xdr:txBody>
    </xdr:sp>
    <xdr:clientData/>
  </xdr:twoCellAnchor>
</xdr:wsDr>
</file>

<file path=xl/drawings/drawing55.xml><?xml version="1.0" encoding="utf-8"?>
<xdr:wsDr xmlns:xdr="http://schemas.openxmlformats.org/drawingml/2006/spreadsheetDrawing" xmlns:a="http://schemas.openxmlformats.org/drawingml/2006/main">
  <xdr:twoCellAnchor>
    <xdr:from>
      <xdr:col>1</xdr:col>
      <xdr:colOff>0</xdr:colOff>
      <xdr:row>16</xdr:row>
      <xdr:rowOff>0</xdr:rowOff>
    </xdr:from>
    <xdr:to>
      <xdr:col>2</xdr:col>
      <xdr:colOff>9525</xdr:colOff>
      <xdr:row>20</xdr:row>
      <xdr:rowOff>0</xdr:rowOff>
    </xdr:to>
    <xdr:sp macro="" textlink="">
      <xdr:nvSpPr>
        <xdr:cNvPr id="2" name="Line 1">
          <a:extLst>
            <a:ext uri="{FF2B5EF4-FFF2-40B4-BE49-F238E27FC236}">
              <a16:creationId xmlns:a16="http://schemas.microsoft.com/office/drawing/2014/main" id="{19259752-4F92-4A02-B49D-3519365CDA38}"/>
            </a:ext>
          </a:extLst>
        </xdr:cNvPr>
        <xdr:cNvSpPr>
          <a:spLocks noChangeShapeType="1"/>
        </xdr:cNvSpPr>
      </xdr:nvSpPr>
      <xdr:spPr bwMode="auto">
        <a:xfrm>
          <a:off x="190500" y="2962275"/>
          <a:ext cx="2466975" cy="76200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18</xdr:col>
      <xdr:colOff>152400</xdr:colOff>
      <xdr:row>1</xdr:row>
      <xdr:rowOff>99060</xdr:rowOff>
    </xdr:from>
    <xdr:to>
      <xdr:col>20</xdr:col>
      <xdr:colOff>607137</xdr:colOff>
      <xdr:row>3</xdr:row>
      <xdr:rowOff>71966</xdr:rowOff>
    </xdr:to>
    <xdr:sp macro="[1]!Navigation" textlink="">
      <xdr:nvSpPr>
        <xdr:cNvPr id="3" name="Rectangle à coins arrondis 3">
          <a:extLst>
            <a:ext uri="{FF2B5EF4-FFF2-40B4-BE49-F238E27FC236}">
              <a16:creationId xmlns:a16="http://schemas.microsoft.com/office/drawing/2014/main" id="{619335F6-C936-4B68-BF51-AA0155114681}"/>
            </a:ext>
          </a:extLst>
        </xdr:cNvPr>
        <xdr:cNvSpPr/>
      </xdr:nvSpPr>
      <xdr:spPr>
        <a:xfrm>
          <a:off x="12525375" y="289560"/>
          <a:ext cx="1978737" cy="353906"/>
        </a:xfrm>
        <a:prstGeom prst="roundRect">
          <a:avLst/>
        </a:prstGeom>
        <a:solidFill>
          <a:schemeClr val="bg1">
            <a:lumMod val="85000"/>
          </a:schemeClr>
        </a:solidFill>
        <a:ln>
          <a:noFill/>
        </a:ln>
      </xdr:spPr>
      <xdr:style>
        <a:lnRef idx="2">
          <a:schemeClr val="dk1">
            <a:shade val="50000"/>
          </a:schemeClr>
        </a:lnRef>
        <a:fillRef idx="1">
          <a:schemeClr val="dk1"/>
        </a:fillRef>
        <a:effectRef idx="0">
          <a:schemeClr val="dk1"/>
        </a:effectRef>
        <a:fontRef idx="minor">
          <a:schemeClr val="lt1"/>
        </a:fontRef>
      </xdr:style>
      <xdr:txBody>
        <a:bodyPr vertOverflow="clip" horzOverflow="clip" rtlCol="0" anchor="ctr"/>
        <a:lstStyle/>
        <a:p>
          <a:pPr algn="ctr"/>
          <a:r>
            <a:rPr lang="en-US" sz="1100" b="0">
              <a:ln>
                <a:noFill/>
              </a:ln>
              <a:solidFill>
                <a:schemeClr val="tx1"/>
              </a:solidFill>
              <a:latin typeface="Cambria" panose="02040503050406030204" pitchFamily="18" charset="0"/>
              <a:ea typeface="Cambria" panose="02040503050406030204" pitchFamily="18" charset="0"/>
            </a:rPr>
            <a:t>Retour Page De</a:t>
          </a:r>
          <a:r>
            <a:rPr lang="en-US" sz="1100" b="0" baseline="0">
              <a:ln>
                <a:noFill/>
              </a:ln>
              <a:solidFill>
                <a:schemeClr val="tx1"/>
              </a:solidFill>
              <a:latin typeface="Cambria" panose="02040503050406030204" pitchFamily="18" charset="0"/>
              <a:ea typeface="Cambria" panose="02040503050406030204" pitchFamily="18" charset="0"/>
            </a:rPr>
            <a:t> Navigation</a:t>
          </a:r>
          <a:endParaRPr lang="en-US" sz="1100" b="0">
            <a:ln>
              <a:noFill/>
            </a:ln>
            <a:solidFill>
              <a:schemeClr val="tx1"/>
            </a:solidFill>
            <a:latin typeface="Cambria" panose="02040503050406030204" pitchFamily="18" charset="0"/>
            <a:ea typeface="Cambria" panose="02040503050406030204" pitchFamily="18" charset="0"/>
          </a:endParaRPr>
        </a:p>
      </xdr:txBody>
    </xdr:sp>
    <xdr:clientData/>
  </xdr:twoCellAnchor>
</xdr:wsDr>
</file>

<file path=xl/drawings/drawing56.xml><?xml version="1.0" encoding="utf-8"?>
<xdr:wsDr xmlns:xdr="http://schemas.openxmlformats.org/drawingml/2006/spreadsheetDrawing" xmlns:a="http://schemas.openxmlformats.org/drawingml/2006/main">
  <xdr:twoCellAnchor>
    <xdr:from>
      <xdr:col>11</xdr:col>
      <xdr:colOff>213360</xdr:colOff>
      <xdr:row>1</xdr:row>
      <xdr:rowOff>68580</xdr:rowOff>
    </xdr:from>
    <xdr:to>
      <xdr:col>13</xdr:col>
      <xdr:colOff>668097</xdr:colOff>
      <xdr:row>3</xdr:row>
      <xdr:rowOff>41486</xdr:rowOff>
    </xdr:to>
    <xdr:sp macro="[1]!Navigation" textlink="">
      <xdr:nvSpPr>
        <xdr:cNvPr id="2" name="Rectangle à coins arrondis 2">
          <a:extLst>
            <a:ext uri="{FF2B5EF4-FFF2-40B4-BE49-F238E27FC236}">
              <a16:creationId xmlns:a16="http://schemas.microsoft.com/office/drawing/2014/main" id="{48E74838-9585-4986-9E1D-3B8C472916A8}"/>
            </a:ext>
          </a:extLst>
        </xdr:cNvPr>
        <xdr:cNvSpPr/>
      </xdr:nvSpPr>
      <xdr:spPr>
        <a:xfrm>
          <a:off x="14148435" y="259080"/>
          <a:ext cx="1978737" cy="353906"/>
        </a:xfrm>
        <a:prstGeom prst="roundRect">
          <a:avLst/>
        </a:prstGeom>
        <a:solidFill>
          <a:schemeClr val="bg1">
            <a:lumMod val="85000"/>
          </a:schemeClr>
        </a:solidFill>
        <a:ln>
          <a:noFill/>
        </a:ln>
      </xdr:spPr>
      <xdr:style>
        <a:lnRef idx="2">
          <a:schemeClr val="dk1">
            <a:shade val="50000"/>
          </a:schemeClr>
        </a:lnRef>
        <a:fillRef idx="1">
          <a:schemeClr val="dk1"/>
        </a:fillRef>
        <a:effectRef idx="0">
          <a:schemeClr val="dk1"/>
        </a:effectRef>
        <a:fontRef idx="minor">
          <a:schemeClr val="lt1"/>
        </a:fontRef>
      </xdr:style>
      <xdr:txBody>
        <a:bodyPr vertOverflow="clip" horzOverflow="clip" rtlCol="0" anchor="ctr"/>
        <a:lstStyle/>
        <a:p>
          <a:pPr algn="ctr"/>
          <a:r>
            <a:rPr lang="en-US" sz="1100" b="0">
              <a:ln>
                <a:noFill/>
              </a:ln>
              <a:solidFill>
                <a:schemeClr val="tx1"/>
              </a:solidFill>
              <a:latin typeface="Cambria" panose="02040503050406030204" pitchFamily="18" charset="0"/>
              <a:ea typeface="Cambria" panose="02040503050406030204" pitchFamily="18" charset="0"/>
            </a:rPr>
            <a:t>Retour Page De</a:t>
          </a:r>
          <a:r>
            <a:rPr lang="en-US" sz="1100" b="0" baseline="0">
              <a:ln>
                <a:noFill/>
              </a:ln>
              <a:solidFill>
                <a:schemeClr val="tx1"/>
              </a:solidFill>
              <a:latin typeface="Cambria" panose="02040503050406030204" pitchFamily="18" charset="0"/>
              <a:ea typeface="Cambria" panose="02040503050406030204" pitchFamily="18" charset="0"/>
            </a:rPr>
            <a:t> Navigation</a:t>
          </a:r>
          <a:endParaRPr lang="en-US" sz="1100" b="0">
            <a:ln>
              <a:noFill/>
            </a:ln>
            <a:solidFill>
              <a:schemeClr val="tx1"/>
            </a:solidFill>
            <a:latin typeface="Cambria" panose="02040503050406030204" pitchFamily="18" charset="0"/>
            <a:ea typeface="Cambria" panose="02040503050406030204" pitchFamily="18" charset="0"/>
          </a:endParaRPr>
        </a:p>
      </xdr:txBody>
    </xdr:sp>
    <xdr:clientData/>
  </xdr:twoCellAnchor>
</xdr:wsDr>
</file>

<file path=xl/drawings/drawing57.xml><?xml version="1.0" encoding="utf-8"?>
<xdr:wsDr xmlns:xdr="http://schemas.openxmlformats.org/drawingml/2006/spreadsheetDrawing" xmlns:a="http://schemas.openxmlformats.org/drawingml/2006/main">
  <xdr:twoCellAnchor>
    <xdr:from>
      <xdr:col>9</xdr:col>
      <xdr:colOff>777240</xdr:colOff>
      <xdr:row>1</xdr:row>
      <xdr:rowOff>99060</xdr:rowOff>
    </xdr:from>
    <xdr:to>
      <xdr:col>12</xdr:col>
      <xdr:colOff>439497</xdr:colOff>
      <xdr:row>3</xdr:row>
      <xdr:rowOff>71966</xdr:rowOff>
    </xdr:to>
    <xdr:sp macro="[1]!Navigation" textlink="">
      <xdr:nvSpPr>
        <xdr:cNvPr id="2" name="Rectangle à coins arrondis 2">
          <a:extLst>
            <a:ext uri="{FF2B5EF4-FFF2-40B4-BE49-F238E27FC236}">
              <a16:creationId xmlns:a16="http://schemas.microsoft.com/office/drawing/2014/main" id="{A82D33FA-9AAA-410D-A3D7-8E1F3FE3FB5F}"/>
            </a:ext>
          </a:extLst>
        </xdr:cNvPr>
        <xdr:cNvSpPr/>
      </xdr:nvSpPr>
      <xdr:spPr>
        <a:xfrm>
          <a:off x="9502140" y="289560"/>
          <a:ext cx="1967307" cy="353906"/>
        </a:xfrm>
        <a:prstGeom prst="roundRect">
          <a:avLst/>
        </a:prstGeom>
        <a:solidFill>
          <a:schemeClr val="bg1">
            <a:lumMod val="85000"/>
          </a:schemeClr>
        </a:solidFill>
        <a:ln>
          <a:noFill/>
        </a:ln>
      </xdr:spPr>
      <xdr:style>
        <a:lnRef idx="2">
          <a:schemeClr val="dk1">
            <a:shade val="50000"/>
          </a:schemeClr>
        </a:lnRef>
        <a:fillRef idx="1">
          <a:schemeClr val="dk1"/>
        </a:fillRef>
        <a:effectRef idx="0">
          <a:schemeClr val="dk1"/>
        </a:effectRef>
        <a:fontRef idx="minor">
          <a:schemeClr val="lt1"/>
        </a:fontRef>
      </xdr:style>
      <xdr:txBody>
        <a:bodyPr vertOverflow="clip" horzOverflow="clip" rtlCol="0" anchor="ctr"/>
        <a:lstStyle/>
        <a:p>
          <a:pPr algn="ctr"/>
          <a:r>
            <a:rPr lang="en-US" sz="1100" b="0">
              <a:ln>
                <a:noFill/>
              </a:ln>
              <a:solidFill>
                <a:schemeClr val="tx1"/>
              </a:solidFill>
              <a:latin typeface="Cambria" panose="02040503050406030204" pitchFamily="18" charset="0"/>
              <a:ea typeface="Cambria" panose="02040503050406030204" pitchFamily="18" charset="0"/>
            </a:rPr>
            <a:t>Retour Page De</a:t>
          </a:r>
          <a:r>
            <a:rPr lang="en-US" sz="1100" b="0" baseline="0">
              <a:ln>
                <a:noFill/>
              </a:ln>
              <a:solidFill>
                <a:schemeClr val="tx1"/>
              </a:solidFill>
              <a:latin typeface="Cambria" panose="02040503050406030204" pitchFamily="18" charset="0"/>
              <a:ea typeface="Cambria" panose="02040503050406030204" pitchFamily="18" charset="0"/>
            </a:rPr>
            <a:t> Navigation</a:t>
          </a:r>
          <a:endParaRPr lang="en-US" sz="1100" b="0">
            <a:ln>
              <a:noFill/>
            </a:ln>
            <a:solidFill>
              <a:schemeClr val="tx1"/>
            </a:solidFill>
            <a:latin typeface="Cambria" panose="02040503050406030204" pitchFamily="18" charset="0"/>
            <a:ea typeface="Cambria" panose="02040503050406030204" pitchFamily="18" charset="0"/>
          </a:endParaRPr>
        </a:p>
      </xdr:txBody>
    </xdr:sp>
    <xdr:clientData/>
  </xdr:twoCellAnchor>
</xdr:wsDr>
</file>

<file path=xl/drawings/drawing58.xml><?xml version="1.0" encoding="utf-8"?>
<xdr:wsDr xmlns:xdr="http://schemas.openxmlformats.org/drawingml/2006/spreadsheetDrawing" xmlns:a="http://schemas.openxmlformats.org/drawingml/2006/main">
  <xdr:twoCellAnchor>
    <xdr:from>
      <xdr:col>10</xdr:col>
      <xdr:colOff>30480</xdr:colOff>
      <xdr:row>1</xdr:row>
      <xdr:rowOff>76200</xdr:rowOff>
    </xdr:from>
    <xdr:to>
      <xdr:col>12</xdr:col>
      <xdr:colOff>485217</xdr:colOff>
      <xdr:row>3</xdr:row>
      <xdr:rowOff>49106</xdr:rowOff>
    </xdr:to>
    <xdr:sp macro="[1]!Navigation" textlink="">
      <xdr:nvSpPr>
        <xdr:cNvPr id="2" name="Rectangle à coins arrondis 2">
          <a:extLst>
            <a:ext uri="{FF2B5EF4-FFF2-40B4-BE49-F238E27FC236}">
              <a16:creationId xmlns:a16="http://schemas.microsoft.com/office/drawing/2014/main" id="{4C234031-EC35-4B90-A887-E6A11178DFA9}"/>
            </a:ext>
          </a:extLst>
        </xdr:cNvPr>
        <xdr:cNvSpPr/>
      </xdr:nvSpPr>
      <xdr:spPr>
        <a:xfrm>
          <a:off x="10841355" y="266700"/>
          <a:ext cx="1978737" cy="353906"/>
        </a:xfrm>
        <a:prstGeom prst="roundRect">
          <a:avLst/>
        </a:prstGeom>
        <a:solidFill>
          <a:schemeClr val="bg1">
            <a:lumMod val="85000"/>
          </a:schemeClr>
        </a:solidFill>
        <a:ln>
          <a:noFill/>
        </a:ln>
      </xdr:spPr>
      <xdr:style>
        <a:lnRef idx="2">
          <a:schemeClr val="dk1">
            <a:shade val="50000"/>
          </a:schemeClr>
        </a:lnRef>
        <a:fillRef idx="1">
          <a:schemeClr val="dk1"/>
        </a:fillRef>
        <a:effectRef idx="0">
          <a:schemeClr val="dk1"/>
        </a:effectRef>
        <a:fontRef idx="minor">
          <a:schemeClr val="lt1"/>
        </a:fontRef>
      </xdr:style>
      <xdr:txBody>
        <a:bodyPr vertOverflow="clip" horzOverflow="clip" rtlCol="0" anchor="ctr"/>
        <a:lstStyle/>
        <a:p>
          <a:pPr algn="ctr"/>
          <a:r>
            <a:rPr lang="en-US" sz="1100" b="0">
              <a:ln>
                <a:noFill/>
              </a:ln>
              <a:solidFill>
                <a:schemeClr val="tx1"/>
              </a:solidFill>
              <a:latin typeface="Cambria" panose="02040503050406030204" pitchFamily="18" charset="0"/>
              <a:ea typeface="Cambria" panose="02040503050406030204" pitchFamily="18" charset="0"/>
            </a:rPr>
            <a:t>Retour Page De</a:t>
          </a:r>
          <a:r>
            <a:rPr lang="en-US" sz="1100" b="0" baseline="0">
              <a:ln>
                <a:noFill/>
              </a:ln>
              <a:solidFill>
                <a:schemeClr val="tx1"/>
              </a:solidFill>
              <a:latin typeface="Cambria" panose="02040503050406030204" pitchFamily="18" charset="0"/>
              <a:ea typeface="Cambria" panose="02040503050406030204" pitchFamily="18" charset="0"/>
            </a:rPr>
            <a:t> Navigation</a:t>
          </a:r>
          <a:endParaRPr lang="en-US" sz="1100" b="0">
            <a:ln>
              <a:noFill/>
            </a:ln>
            <a:solidFill>
              <a:schemeClr val="tx1"/>
            </a:solidFill>
            <a:latin typeface="Cambria" panose="02040503050406030204" pitchFamily="18" charset="0"/>
            <a:ea typeface="Cambria" panose="02040503050406030204" pitchFamily="18" charset="0"/>
          </a:endParaRPr>
        </a:p>
      </xdr:txBody>
    </xdr:sp>
    <xdr:clientData/>
  </xdr:twoCellAnchor>
</xdr:wsDr>
</file>

<file path=xl/drawings/drawing59.xml><?xml version="1.0" encoding="utf-8"?>
<xdr:wsDr xmlns:xdr="http://schemas.openxmlformats.org/drawingml/2006/spreadsheetDrawing" xmlns:a="http://schemas.openxmlformats.org/drawingml/2006/main">
  <xdr:twoCellAnchor>
    <xdr:from>
      <xdr:col>10</xdr:col>
      <xdr:colOff>15240</xdr:colOff>
      <xdr:row>1</xdr:row>
      <xdr:rowOff>53340</xdr:rowOff>
    </xdr:from>
    <xdr:to>
      <xdr:col>12</xdr:col>
      <xdr:colOff>469977</xdr:colOff>
      <xdr:row>3</xdr:row>
      <xdr:rowOff>26246</xdr:rowOff>
    </xdr:to>
    <xdr:sp macro="[1]!Navigation" textlink="">
      <xdr:nvSpPr>
        <xdr:cNvPr id="2" name="Rectangle à coins arrondis 2">
          <a:extLst>
            <a:ext uri="{FF2B5EF4-FFF2-40B4-BE49-F238E27FC236}">
              <a16:creationId xmlns:a16="http://schemas.microsoft.com/office/drawing/2014/main" id="{9336E6D7-7B79-47A1-BDB6-998EA70B7DB4}"/>
            </a:ext>
          </a:extLst>
        </xdr:cNvPr>
        <xdr:cNvSpPr/>
      </xdr:nvSpPr>
      <xdr:spPr>
        <a:xfrm>
          <a:off x="9645015" y="243840"/>
          <a:ext cx="1978737" cy="353906"/>
        </a:xfrm>
        <a:prstGeom prst="roundRect">
          <a:avLst/>
        </a:prstGeom>
        <a:solidFill>
          <a:schemeClr val="bg1">
            <a:lumMod val="85000"/>
          </a:schemeClr>
        </a:solidFill>
        <a:ln>
          <a:noFill/>
        </a:ln>
      </xdr:spPr>
      <xdr:style>
        <a:lnRef idx="2">
          <a:schemeClr val="dk1">
            <a:shade val="50000"/>
          </a:schemeClr>
        </a:lnRef>
        <a:fillRef idx="1">
          <a:schemeClr val="dk1"/>
        </a:fillRef>
        <a:effectRef idx="0">
          <a:schemeClr val="dk1"/>
        </a:effectRef>
        <a:fontRef idx="minor">
          <a:schemeClr val="lt1"/>
        </a:fontRef>
      </xdr:style>
      <xdr:txBody>
        <a:bodyPr vertOverflow="clip" horzOverflow="clip" rtlCol="0" anchor="ctr"/>
        <a:lstStyle/>
        <a:p>
          <a:pPr algn="ctr"/>
          <a:r>
            <a:rPr lang="en-US" sz="1100" b="0">
              <a:ln>
                <a:noFill/>
              </a:ln>
              <a:solidFill>
                <a:schemeClr val="tx1"/>
              </a:solidFill>
              <a:latin typeface="Cambria" panose="02040503050406030204" pitchFamily="18" charset="0"/>
              <a:ea typeface="Cambria" panose="02040503050406030204" pitchFamily="18" charset="0"/>
            </a:rPr>
            <a:t>Retour Page De</a:t>
          </a:r>
          <a:r>
            <a:rPr lang="en-US" sz="1100" b="0" baseline="0">
              <a:ln>
                <a:noFill/>
              </a:ln>
              <a:solidFill>
                <a:schemeClr val="tx1"/>
              </a:solidFill>
              <a:latin typeface="Cambria" panose="02040503050406030204" pitchFamily="18" charset="0"/>
              <a:ea typeface="Cambria" panose="02040503050406030204" pitchFamily="18" charset="0"/>
            </a:rPr>
            <a:t> Navigation</a:t>
          </a:r>
          <a:endParaRPr lang="en-US" sz="1100" b="0">
            <a:ln>
              <a:noFill/>
            </a:ln>
            <a:solidFill>
              <a:schemeClr val="tx1"/>
            </a:solidFill>
            <a:latin typeface="Cambria" panose="02040503050406030204" pitchFamily="18" charset="0"/>
            <a:ea typeface="Cambria" panose="02040503050406030204" pitchFamily="18" charset="0"/>
          </a:endParaRPr>
        </a:p>
      </xdr:txBody>
    </xdr:sp>
    <xdr:clientData/>
  </xdr:twoCellAnchor>
</xdr:wsDr>
</file>

<file path=xl/drawings/drawing60.xml><?xml version="1.0" encoding="utf-8"?>
<xdr:wsDr xmlns:xdr="http://schemas.openxmlformats.org/drawingml/2006/spreadsheetDrawing" xmlns:a="http://schemas.openxmlformats.org/drawingml/2006/main">
  <xdr:twoCellAnchor>
    <xdr:from>
      <xdr:col>10</xdr:col>
      <xdr:colOff>7620</xdr:colOff>
      <xdr:row>1</xdr:row>
      <xdr:rowOff>76200</xdr:rowOff>
    </xdr:from>
    <xdr:to>
      <xdr:col>12</xdr:col>
      <xdr:colOff>462357</xdr:colOff>
      <xdr:row>3</xdr:row>
      <xdr:rowOff>49106</xdr:rowOff>
    </xdr:to>
    <xdr:sp macro="[1]!Navigation" textlink="">
      <xdr:nvSpPr>
        <xdr:cNvPr id="2" name="Rectangle à coins arrondis 2">
          <a:extLst>
            <a:ext uri="{FF2B5EF4-FFF2-40B4-BE49-F238E27FC236}">
              <a16:creationId xmlns:a16="http://schemas.microsoft.com/office/drawing/2014/main" id="{EB08DC62-E3B0-41EA-AE8B-8AFC2A180A0D}"/>
            </a:ext>
          </a:extLst>
        </xdr:cNvPr>
        <xdr:cNvSpPr/>
      </xdr:nvSpPr>
      <xdr:spPr>
        <a:xfrm>
          <a:off x="10427970" y="266700"/>
          <a:ext cx="1978737" cy="353906"/>
        </a:xfrm>
        <a:prstGeom prst="roundRect">
          <a:avLst/>
        </a:prstGeom>
        <a:solidFill>
          <a:schemeClr val="bg1">
            <a:lumMod val="85000"/>
          </a:schemeClr>
        </a:solidFill>
        <a:ln>
          <a:noFill/>
        </a:ln>
      </xdr:spPr>
      <xdr:style>
        <a:lnRef idx="2">
          <a:schemeClr val="dk1">
            <a:shade val="50000"/>
          </a:schemeClr>
        </a:lnRef>
        <a:fillRef idx="1">
          <a:schemeClr val="dk1"/>
        </a:fillRef>
        <a:effectRef idx="0">
          <a:schemeClr val="dk1"/>
        </a:effectRef>
        <a:fontRef idx="minor">
          <a:schemeClr val="lt1"/>
        </a:fontRef>
      </xdr:style>
      <xdr:txBody>
        <a:bodyPr vertOverflow="clip" horzOverflow="clip" rtlCol="0" anchor="ctr"/>
        <a:lstStyle/>
        <a:p>
          <a:pPr algn="ctr"/>
          <a:r>
            <a:rPr lang="en-US" sz="1100" b="0">
              <a:ln>
                <a:noFill/>
              </a:ln>
              <a:solidFill>
                <a:schemeClr val="tx1"/>
              </a:solidFill>
              <a:latin typeface="Cambria" panose="02040503050406030204" pitchFamily="18" charset="0"/>
              <a:ea typeface="Cambria" panose="02040503050406030204" pitchFamily="18" charset="0"/>
            </a:rPr>
            <a:t>Retour Page De</a:t>
          </a:r>
          <a:r>
            <a:rPr lang="en-US" sz="1100" b="0" baseline="0">
              <a:ln>
                <a:noFill/>
              </a:ln>
              <a:solidFill>
                <a:schemeClr val="tx1"/>
              </a:solidFill>
              <a:latin typeface="Cambria" panose="02040503050406030204" pitchFamily="18" charset="0"/>
              <a:ea typeface="Cambria" panose="02040503050406030204" pitchFamily="18" charset="0"/>
            </a:rPr>
            <a:t> Navigation</a:t>
          </a:r>
          <a:endParaRPr lang="en-US" sz="1100" b="0">
            <a:ln>
              <a:noFill/>
            </a:ln>
            <a:solidFill>
              <a:schemeClr val="tx1"/>
            </a:solidFill>
            <a:latin typeface="Cambria" panose="02040503050406030204" pitchFamily="18" charset="0"/>
            <a:ea typeface="Cambria" panose="02040503050406030204" pitchFamily="18" charset="0"/>
          </a:endParaRPr>
        </a:p>
      </xdr:txBody>
    </xdr:sp>
    <xdr:clientData/>
  </xdr:twoCellAnchor>
</xdr:wsDr>
</file>

<file path=xl/drawings/drawing61.xml><?xml version="1.0" encoding="utf-8"?>
<xdr:wsDr xmlns:xdr="http://schemas.openxmlformats.org/drawingml/2006/spreadsheetDrawing" xmlns:a="http://schemas.openxmlformats.org/drawingml/2006/main">
  <xdr:twoCellAnchor>
    <xdr:from>
      <xdr:col>10</xdr:col>
      <xdr:colOff>83820</xdr:colOff>
      <xdr:row>1</xdr:row>
      <xdr:rowOff>22860</xdr:rowOff>
    </xdr:from>
    <xdr:to>
      <xdr:col>12</xdr:col>
      <xdr:colOff>538557</xdr:colOff>
      <xdr:row>2</xdr:row>
      <xdr:rowOff>178646</xdr:rowOff>
    </xdr:to>
    <xdr:sp macro="[1]!Navigation" textlink="">
      <xdr:nvSpPr>
        <xdr:cNvPr id="2" name="Rectangle à coins arrondis 2">
          <a:extLst>
            <a:ext uri="{FF2B5EF4-FFF2-40B4-BE49-F238E27FC236}">
              <a16:creationId xmlns:a16="http://schemas.microsoft.com/office/drawing/2014/main" id="{9CA21228-B9F7-48B2-92BB-3CF406B3EF70}"/>
            </a:ext>
          </a:extLst>
        </xdr:cNvPr>
        <xdr:cNvSpPr/>
      </xdr:nvSpPr>
      <xdr:spPr>
        <a:xfrm>
          <a:off x="11085195" y="213360"/>
          <a:ext cx="1978737" cy="346286"/>
        </a:xfrm>
        <a:prstGeom prst="roundRect">
          <a:avLst/>
        </a:prstGeom>
        <a:solidFill>
          <a:schemeClr val="bg1">
            <a:lumMod val="85000"/>
          </a:schemeClr>
        </a:solidFill>
        <a:ln>
          <a:noFill/>
        </a:ln>
      </xdr:spPr>
      <xdr:style>
        <a:lnRef idx="2">
          <a:schemeClr val="dk1">
            <a:shade val="50000"/>
          </a:schemeClr>
        </a:lnRef>
        <a:fillRef idx="1">
          <a:schemeClr val="dk1"/>
        </a:fillRef>
        <a:effectRef idx="0">
          <a:schemeClr val="dk1"/>
        </a:effectRef>
        <a:fontRef idx="minor">
          <a:schemeClr val="lt1"/>
        </a:fontRef>
      </xdr:style>
      <xdr:txBody>
        <a:bodyPr vertOverflow="clip" horzOverflow="clip" rtlCol="0" anchor="ctr"/>
        <a:lstStyle/>
        <a:p>
          <a:pPr algn="ctr"/>
          <a:r>
            <a:rPr lang="en-US" sz="1100" b="0">
              <a:ln>
                <a:noFill/>
              </a:ln>
              <a:solidFill>
                <a:schemeClr val="tx1"/>
              </a:solidFill>
              <a:latin typeface="Cambria" panose="02040503050406030204" pitchFamily="18" charset="0"/>
              <a:ea typeface="Cambria" panose="02040503050406030204" pitchFamily="18" charset="0"/>
            </a:rPr>
            <a:t>Retour Page De</a:t>
          </a:r>
          <a:r>
            <a:rPr lang="en-US" sz="1100" b="0" baseline="0">
              <a:ln>
                <a:noFill/>
              </a:ln>
              <a:solidFill>
                <a:schemeClr val="tx1"/>
              </a:solidFill>
              <a:latin typeface="Cambria" panose="02040503050406030204" pitchFamily="18" charset="0"/>
              <a:ea typeface="Cambria" panose="02040503050406030204" pitchFamily="18" charset="0"/>
            </a:rPr>
            <a:t> Navigation</a:t>
          </a:r>
          <a:endParaRPr lang="en-US" sz="1100" b="0">
            <a:ln>
              <a:noFill/>
            </a:ln>
            <a:solidFill>
              <a:schemeClr val="tx1"/>
            </a:solidFill>
            <a:latin typeface="Cambria" panose="02040503050406030204" pitchFamily="18" charset="0"/>
            <a:ea typeface="Cambria" panose="02040503050406030204" pitchFamily="18" charset="0"/>
          </a:endParaRPr>
        </a:p>
      </xdr:txBody>
    </xdr:sp>
    <xdr:clientData/>
  </xdr:twoCellAnchor>
</xdr:wsDr>
</file>

<file path=xl/drawings/drawing62.xml><?xml version="1.0" encoding="utf-8"?>
<xdr:wsDr xmlns:xdr="http://schemas.openxmlformats.org/drawingml/2006/spreadsheetDrawing" xmlns:a="http://schemas.openxmlformats.org/drawingml/2006/main">
  <xdr:twoCellAnchor>
    <xdr:from>
      <xdr:col>9</xdr:col>
      <xdr:colOff>112395</xdr:colOff>
      <xdr:row>1</xdr:row>
      <xdr:rowOff>7620</xdr:rowOff>
    </xdr:from>
    <xdr:to>
      <xdr:col>11</xdr:col>
      <xdr:colOff>593802</xdr:colOff>
      <xdr:row>2</xdr:row>
      <xdr:rowOff>169121</xdr:rowOff>
    </xdr:to>
    <xdr:sp macro="[1]!Navigation" textlink="">
      <xdr:nvSpPr>
        <xdr:cNvPr id="2" name="Rectangle à coins arrondis 2">
          <a:extLst>
            <a:ext uri="{FF2B5EF4-FFF2-40B4-BE49-F238E27FC236}">
              <a16:creationId xmlns:a16="http://schemas.microsoft.com/office/drawing/2014/main" id="{B2BC6E8C-8EF5-4B72-9E86-A591C2BF9511}"/>
            </a:ext>
          </a:extLst>
        </xdr:cNvPr>
        <xdr:cNvSpPr/>
      </xdr:nvSpPr>
      <xdr:spPr>
        <a:xfrm>
          <a:off x="8999220" y="217170"/>
          <a:ext cx="2005407" cy="352001"/>
        </a:xfrm>
        <a:prstGeom prst="roundRect">
          <a:avLst/>
        </a:prstGeom>
        <a:solidFill>
          <a:schemeClr val="bg1">
            <a:lumMod val="85000"/>
          </a:schemeClr>
        </a:solidFill>
        <a:ln>
          <a:noFill/>
        </a:ln>
      </xdr:spPr>
      <xdr:style>
        <a:lnRef idx="2">
          <a:schemeClr val="dk1">
            <a:shade val="50000"/>
          </a:schemeClr>
        </a:lnRef>
        <a:fillRef idx="1">
          <a:schemeClr val="dk1"/>
        </a:fillRef>
        <a:effectRef idx="0">
          <a:schemeClr val="dk1"/>
        </a:effectRef>
        <a:fontRef idx="minor">
          <a:schemeClr val="lt1"/>
        </a:fontRef>
      </xdr:style>
      <xdr:txBody>
        <a:bodyPr vertOverflow="clip" horzOverflow="clip" rtlCol="0" anchor="ctr"/>
        <a:lstStyle/>
        <a:p>
          <a:pPr algn="ctr"/>
          <a:r>
            <a:rPr lang="en-US" sz="1100" b="0">
              <a:ln>
                <a:noFill/>
              </a:ln>
              <a:solidFill>
                <a:schemeClr val="tx1"/>
              </a:solidFill>
              <a:latin typeface="Cambria" panose="02040503050406030204" pitchFamily="18" charset="0"/>
              <a:ea typeface="Cambria" panose="02040503050406030204" pitchFamily="18" charset="0"/>
            </a:rPr>
            <a:t>Retour Page De</a:t>
          </a:r>
          <a:r>
            <a:rPr lang="en-US" sz="1100" b="0" baseline="0">
              <a:ln>
                <a:noFill/>
              </a:ln>
              <a:solidFill>
                <a:schemeClr val="tx1"/>
              </a:solidFill>
              <a:latin typeface="Cambria" panose="02040503050406030204" pitchFamily="18" charset="0"/>
              <a:ea typeface="Cambria" panose="02040503050406030204" pitchFamily="18" charset="0"/>
            </a:rPr>
            <a:t> Navigation</a:t>
          </a:r>
          <a:endParaRPr lang="en-US" sz="1100" b="0">
            <a:ln>
              <a:noFill/>
            </a:ln>
            <a:solidFill>
              <a:schemeClr val="tx1"/>
            </a:solidFill>
            <a:latin typeface="Cambria" panose="02040503050406030204" pitchFamily="18" charset="0"/>
            <a:ea typeface="Cambria" panose="02040503050406030204" pitchFamily="18" charset="0"/>
          </a:endParaRPr>
        </a:p>
      </xdr:txBody>
    </xdr:sp>
    <xdr:clientData/>
  </xdr:twoCellAnchor>
  <xdr:twoCellAnchor>
    <xdr:from>
      <xdr:col>9</xdr:col>
      <xdr:colOff>112395</xdr:colOff>
      <xdr:row>1</xdr:row>
      <xdr:rowOff>7620</xdr:rowOff>
    </xdr:from>
    <xdr:to>
      <xdr:col>11</xdr:col>
      <xdr:colOff>593802</xdr:colOff>
      <xdr:row>2</xdr:row>
      <xdr:rowOff>169121</xdr:rowOff>
    </xdr:to>
    <xdr:sp macro="[1]!Navigation" textlink="">
      <xdr:nvSpPr>
        <xdr:cNvPr id="3" name="Rectangle à coins arrondis 2">
          <a:extLst>
            <a:ext uri="{FF2B5EF4-FFF2-40B4-BE49-F238E27FC236}">
              <a16:creationId xmlns:a16="http://schemas.microsoft.com/office/drawing/2014/main" id="{5B228C80-BF6B-459A-8732-E0F0985A62CC}"/>
            </a:ext>
          </a:extLst>
        </xdr:cNvPr>
        <xdr:cNvSpPr/>
      </xdr:nvSpPr>
      <xdr:spPr>
        <a:xfrm>
          <a:off x="8999220" y="217170"/>
          <a:ext cx="2005407" cy="352001"/>
        </a:xfrm>
        <a:prstGeom prst="roundRect">
          <a:avLst/>
        </a:prstGeom>
        <a:solidFill>
          <a:schemeClr val="bg1">
            <a:lumMod val="85000"/>
          </a:schemeClr>
        </a:solidFill>
        <a:ln>
          <a:noFill/>
        </a:ln>
      </xdr:spPr>
      <xdr:style>
        <a:lnRef idx="2">
          <a:schemeClr val="dk1">
            <a:shade val="50000"/>
          </a:schemeClr>
        </a:lnRef>
        <a:fillRef idx="1">
          <a:schemeClr val="dk1"/>
        </a:fillRef>
        <a:effectRef idx="0">
          <a:schemeClr val="dk1"/>
        </a:effectRef>
        <a:fontRef idx="minor">
          <a:schemeClr val="lt1"/>
        </a:fontRef>
      </xdr:style>
      <xdr:txBody>
        <a:bodyPr vertOverflow="clip" horzOverflow="clip" rtlCol="0" anchor="ctr"/>
        <a:lstStyle/>
        <a:p>
          <a:pPr algn="ctr"/>
          <a:r>
            <a:rPr lang="en-US" sz="1100" b="0">
              <a:ln>
                <a:noFill/>
              </a:ln>
              <a:solidFill>
                <a:schemeClr val="tx1"/>
              </a:solidFill>
              <a:latin typeface="Cambria" panose="02040503050406030204" pitchFamily="18" charset="0"/>
              <a:ea typeface="Cambria" panose="02040503050406030204" pitchFamily="18" charset="0"/>
            </a:rPr>
            <a:t>Retour Page De</a:t>
          </a:r>
          <a:r>
            <a:rPr lang="en-US" sz="1100" b="0" baseline="0">
              <a:ln>
                <a:noFill/>
              </a:ln>
              <a:solidFill>
                <a:schemeClr val="tx1"/>
              </a:solidFill>
              <a:latin typeface="Cambria" panose="02040503050406030204" pitchFamily="18" charset="0"/>
              <a:ea typeface="Cambria" panose="02040503050406030204" pitchFamily="18" charset="0"/>
            </a:rPr>
            <a:t> Navigation</a:t>
          </a:r>
          <a:endParaRPr lang="en-US" sz="1100" b="0">
            <a:ln>
              <a:noFill/>
            </a:ln>
            <a:solidFill>
              <a:schemeClr val="tx1"/>
            </a:solidFill>
            <a:latin typeface="Cambria" panose="02040503050406030204" pitchFamily="18" charset="0"/>
            <a:ea typeface="Cambria" panose="02040503050406030204" pitchFamily="18" charset="0"/>
          </a:endParaRPr>
        </a:p>
      </xdr:txBody>
    </xdr:sp>
    <xdr:clientData/>
  </xdr:twoCellAnchor>
</xdr:wsDr>
</file>

<file path=xl/drawings/drawing63.xml><?xml version="1.0" encoding="utf-8"?>
<xdr:wsDr xmlns:xdr="http://schemas.openxmlformats.org/drawingml/2006/spreadsheetDrawing" xmlns:a="http://schemas.openxmlformats.org/drawingml/2006/main">
  <xdr:twoCellAnchor>
    <xdr:from>
      <xdr:col>14</xdr:col>
      <xdr:colOff>0</xdr:colOff>
      <xdr:row>1</xdr:row>
      <xdr:rowOff>0</xdr:rowOff>
    </xdr:from>
    <xdr:to>
      <xdr:col>16</xdr:col>
      <xdr:colOff>481407</xdr:colOff>
      <xdr:row>2</xdr:row>
      <xdr:rowOff>171026</xdr:rowOff>
    </xdr:to>
    <xdr:sp macro="[1]!Navigation" textlink="">
      <xdr:nvSpPr>
        <xdr:cNvPr id="2" name="Rectangle à coins arrondis 2">
          <a:extLst>
            <a:ext uri="{FF2B5EF4-FFF2-40B4-BE49-F238E27FC236}">
              <a16:creationId xmlns:a16="http://schemas.microsoft.com/office/drawing/2014/main" id="{30DFE8AF-49AD-439E-ACBF-C145408A4FF0}"/>
            </a:ext>
          </a:extLst>
        </xdr:cNvPr>
        <xdr:cNvSpPr/>
      </xdr:nvSpPr>
      <xdr:spPr>
        <a:xfrm>
          <a:off x="10620375" y="114300"/>
          <a:ext cx="2005407" cy="352001"/>
        </a:xfrm>
        <a:prstGeom prst="roundRect">
          <a:avLst/>
        </a:prstGeom>
        <a:solidFill>
          <a:schemeClr val="bg1">
            <a:lumMod val="85000"/>
          </a:schemeClr>
        </a:solidFill>
        <a:ln>
          <a:noFill/>
        </a:ln>
      </xdr:spPr>
      <xdr:style>
        <a:lnRef idx="2">
          <a:schemeClr val="dk1">
            <a:shade val="50000"/>
          </a:schemeClr>
        </a:lnRef>
        <a:fillRef idx="1">
          <a:schemeClr val="dk1"/>
        </a:fillRef>
        <a:effectRef idx="0">
          <a:schemeClr val="dk1"/>
        </a:effectRef>
        <a:fontRef idx="minor">
          <a:schemeClr val="lt1"/>
        </a:fontRef>
      </xdr:style>
      <xdr:txBody>
        <a:bodyPr vertOverflow="clip" horzOverflow="clip" rtlCol="0" anchor="ctr"/>
        <a:lstStyle/>
        <a:p>
          <a:pPr algn="ctr"/>
          <a:r>
            <a:rPr lang="en-US" sz="1100" b="0">
              <a:ln>
                <a:noFill/>
              </a:ln>
              <a:solidFill>
                <a:schemeClr val="tx1"/>
              </a:solidFill>
              <a:latin typeface="Cambria" panose="02040503050406030204" pitchFamily="18" charset="0"/>
              <a:ea typeface="Cambria" panose="02040503050406030204" pitchFamily="18" charset="0"/>
            </a:rPr>
            <a:t>Retour Page De</a:t>
          </a:r>
          <a:r>
            <a:rPr lang="en-US" sz="1100" b="0" baseline="0">
              <a:ln>
                <a:noFill/>
              </a:ln>
              <a:solidFill>
                <a:schemeClr val="tx1"/>
              </a:solidFill>
              <a:latin typeface="Cambria" panose="02040503050406030204" pitchFamily="18" charset="0"/>
              <a:ea typeface="Cambria" panose="02040503050406030204" pitchFamily="18" charset="0"/>
            </a:rPr>
            <a:t> Navigation</a:t>
          </a:r>
          <a:endParaRPr lang="en-US" sz="1100" b="0">
            <a:ln>
              <a:noFill/>
            </a:ln>
            <a:solidFill>
              <a:schemeClr val="tx1"/>
            </a:solidFill>
            <a:latin typeface="Cambria" panose="02040503050406030204" pitchFamily="18" charset="0"/>
            <a:ea typeface="Cambria" panose="02040503050406030204" pitchFamily="18" charset="0"/>
          </a:endParaRPr>
        </a:p>
      </xdr:txBody>
    </xdr:sp>
    <xdr:clientData/>
  </xdr:twoCellAnchor>
</xdr:wsDr>
</file>

<file path=xl/drawings/drawing64.xml><?xml version="1.0" encoding="utf-8"?>
<xdr:wsDr xmlns:xdr="http://schemas.openxmlformats.org/drawingml/2006/spreadsheetDrawing" xmlns:a="http://schemas.openxmlformats.org/drawingml/2006/main">
  <xdr:twoCellAnchor>
    <xdr:from>
      <xdr:col>13</xdr:col>
      <xdr:colOff>723900</xdr:colOff>
      <xdr:row>1</xdr:row>
      <xdr:rowOff>0</xdr:rowOff>
    </xdr:from>
    <xdr:to>
      <xdr:col>16</xdr:col>
      <xdr:colOff>420447</xdr:colOff>
      <xdr:row>3</xdr:row>
      <xdr:rowOff>3386</xdr:rowOff>
    </xdr:to>
    <xdr:sp macro="[1]!Navigation" textlink="">
      <xdr:nvSpPr>
        <xdr:cNvPr id="2" name="Rectangle à coins arrondis 2">
          <a:extLst>
            <a:ext uri="{FF2B5EF4-FFF2-40B4-BE49-F238E27FC236}">
              <a16:creationId xmlns:a16="http://schemas.microsoft.com/office/drawing/2014/main" id="{25A611EF-0186-4CD1-8B4D-7218060BCE35}"/>
            </a:ext>
          </a:extLst>
        </xdr:cNvPr>
        <xdr:cNvSpPr/>
      </xdr:nvSpPr>
      <xdr:spPr>
        <a:xfrm>
          <a:off x="10791825" y="142875"/>
          <a:ext cx="1982547" cy="365336"/>
        </a:xfrm>
        <a:prstGeom prst="roundRect">
          <a:avLst/>
        </a:prstGeom>
        <a:solidFill>
          <a:schemeClr val="bg1">
            <a:lumMod val="85000"/>
          </a:schemeClr>
        </a:solidFill>
        <a:ln>
          <a:noFill/>
        </a:ln>
      </xdr:spPr>
      <xdr:style>
        <a:lnRef idx="2">
          <a:schemeClr val="dk1">
            <a:shade val="50000"/>
          </a:schemeClr>
        </a:lnRef>
        <a:fillRef idx="1">
          <a:schemeClr val="dk1"/>
        </a:fillRef>
        <a:effectRef idx="0">
          <a:schemeClr val="dk1"/>
        </a:effectRef>
        <a:fontRef idx="minor">
          <a:schemeClr val="lt1"/>
        </a:fontRef>
      </xdr:style>
      <xdr:txBody>
        <a:bodyPr vertOverflow="clip" horzOverflow="clip" rtlCol="0" anchor="ctr"/>
        <a:lstStyle/>
        <a:p>
          <a:pPr algn="ctr"/>
          <a:r>
            <a:rPr lang="en-US" sz="1100" b="0">
              <a:ln>
                <a:noFill/>
              </a:ln>
              <a:solidFill>
                <a:schemeClr val="tx1"/>
              </a:solidFill>
              <a:latin typeface="Cambria" panose="02040503050406030204" pitchFamily="18" charset="0"/>
              <a:ea typeface="Cambria" panose="02040503050406030204" pitchFamily="18" charset="0"/>
            </a:rPr>
            <a:t>Retour Page De</a:t>
          </a:r>
          <a:r>
            <a:rPr lang="en-US" sz="1100" b="0" baseline="0">
              <a:ln>
                <a:noFill/>
              </a:ln>
              <a:solidFill>
                <a:schemeClr val="tx1"/>
              </a:solidFill>
              <a:latin typeface="Cambria" panose="02040503050406030204" pitchFamily="18" charset="0"/>
              <a:ea typeface="Cambria" panose="02040503050406030204" pitchFamily="18" charset="0"/>
            </a:rPr>
            <a:t> Navigation</a:t>
          </a:r>
          <a:endParaRPr lang="en-US" sz="1100" b="0">
            <a:ln>
              <a:noFill/>
            </a:ln>
            <a:solidFill>
              <a:schemeClr val="tx1"/>
            </a:solidFill>
            <a:latin typeface="Cambria" panose="02040503050406030204" pitchFamily="18" charset="0"/>
            <a:ea typeface="Cambria" panose="02040503050406030204" pitchFamily="18" charset="0"/>
          </a:endParaRPr>
        </a:p>
      </xdr:txBody>
    </xdr:sp>
    <xdr:clientData/>
  </xdr:twoCellAnchor>
</xdr:wsDr>
</file>

<file path=xl/drawings/drawing65.xml><?xml version="1.0" encoding="utf-8"?>
<xdr:wsDr xmlns:xdr="http://schemas.openxmlformats.org/drawingml/2006/spreadsheetDrawing" xmlns:a="http://schemas.openxmlformats.org/drawingml/2006/main">
  <xdr:twoCellAnchor>
    <xdr:from>
      <xdr:col>13</xdr:col>
      <xdr:colOff>415636</xdr:colOff>
      <xdr:row>0</xdr:row>
      <xdr:rowOff>136547</xdr:rowOff>
    </xdr:from>
    <xdr:to>
      <xdr:col>16</xdr:col>
      <xdr:colOff>111864</xdr:colOff>
      <xdr:row>2</xdr:row>
      <xdr:rowOff>114582</xdr:rowOff>
    </xdr:to>
    <xdr:sp macro="[1]!Navigation" textlink="">
      <xdr:nvSpPr>
        <xdr:cNvPr id="2" name="Rectangle à coins arrondis 2">
          <a:extLst>
            <a:ext uri="{FF2B5EF4-FFF2-40B4-BE49-F238E27FC236}">
              <a16:creationId xmlns:a16="http://schemas.microsoft.com/office/drawing/2014/main" id="{5D970621-4F8B-42F4-A811-A5D02A54A89E}"/>
            </a:ext>
          </a:extLst>
        </xdr:cNvPr>
        <xdr:cNvSpPr/>
      </xdr:nvSpPr>
      <xdr:spPr>
        <a:xfrm>
          <a:off x="9683461" y="136547"/>
          <a:ext cx="1982228" cy="349510"/>
        </a:xfrm>
        <a:prstGeom prst="roundRect">
          <a:avLst/>
        </a:prstGeom>
        <a:solidFill>
          <a:schemeClr val="bg1">
            <a:lumMod val="85000"/>
          </a:schemeClr>
        </a:solidFill>
        <a:ln>
          <a:noFill/>
        </a:ln>
      </xdr:spPr>
      <xdr:style>
        <a:lnRef idx="2">
          <a:schemeClr val="dk1">
            <a:shade val="50000"/>
          </a:schemeClr>
        </a:lnRef>
        <a:fillRef idx="1">
          <a:schemeClr val="dk1"/>
        </a:fillRef>
        <a:effectRef idx="0">
          <a:schemeClr val="dk1"/>
        </a:effectRef>
        <a:fontRef idx="minor">
          <a:schemeClr val="lt1"/>
        </a:fontRef>
      </xdr:style>
      <xdr:txBody>
        <a:bodyPr vertOverflow="clip" horzOverflow="clip" rtlCol="0" anchor="ctr"/>
        <a:lstStyle/>
        <a:p>
          <a:pPr algn="ctr"/>
          <a:r>
            <a:rPr lang="en-US" sz="1100" b="0">
              <a:ln>
                <a:noFill/>
              </a:ln>
              <a:solidFill>
                <a:schemeClr val="tx1"/>
              </a:solidFill>
              <a:latin typeface="Cambria" panose="02040503050406030204" pitchFamily="18" charset="0"/>
              <a:ea typeface="Cambria" panose="02040503050406030204" pitchFamily="18" charset="0"/>
            </a:rPr>
            <a:t>Retour Page De</a:t>
          </a:r>
          <a:r>
            <a:rPr lang="en-US" sz="1100" b="0" baseline="0">
              <a:ln>
                <a:noFill/>
              </a:ln>
              <a:solidFill>
                <a:schemeClr val="tx1"/>
              </a:solidFill>
              <a:latin typeface="Cambria" panose="02040503050406030204" pitchFamily="18" charset="0"/>
              <a:ea typeface="Cambria" panose="02040503050406030204" pitchFamily="18" charset="0"/>
            </a:rPr>
            <a:t> Navigation</a:t>
          </a:r>
          <a:endParaRPr lang="en-US" sz="1100" b="0">
            <a:ln>
              <a:noFill/>
            </a:ln>
            <a:solidFill>
              <a:schemeClr val="tx1"/>
            </a:solidFill>
            <a:latin typeface="Cambria" panose="02040503050406030204" pitchFamily="18" charset="0"/>
            <a:ea typeface="Cambria" panose="02040503050406030204" pitchFamily="18" charset="0"/>
          </a:endParaRPr>
        </a:p>
      </xdr:txBody>
    </xdr:sp>
    <xdr:clientData/>
  </xdr:twoCellAnchor>
</xdr:wsDr>
</file>

<file path=xl/drawings/drawing66.xml><?xml version="1.0" encoding="utf-8"?>
<xdr:wsDr xmlns:xdr="http://schemas.openxmlformats.org/drawingml/2006/spreadsheetDrawing" xmlns:a="http://schemas.openxmlformats.org/drawingml/2006/main">
  <xdr:twoCellAnchor>
    <xdr:from>
      <xdr:col>14</xdr:col>
      <xdr:colOff>0</xdr:colOff>
      <xdr:row>1</xdr:row>
      <xdr:rowOff>0</xdr:rowOff>
    </xdr:from>
    <xdr:to>
      <xdr:col>16</xdr:col>
      <xdr:colOff>481407</xdr:colOff>
      <xdr:row>2</xdr:row>
      <xdr:rowOff>161501</xdr:rowOff>
    </xdr:to>
    <xdr:sp macro="[1]!Navigation" textlink="">
      <xdr:nvSpPr>
        <xdr:cNvPr id="2" name="Rectangle à coins arrondis 2">
          <a:extLst>
            <a:ext uri="{FF2B5EF4-FFF2-40B4-BE49-F238E27FC236}">
              <a16:creationId xmlns:a16="http://schemas.microsoft.com/office/drawing/2014/main" id="{66DE1999-662F-4DE7-9D14-7E84286CAC0B}"/>
            </a:ext>
          </a:extLst>
        </xdr:cNvPr>
        <xdr:cNvSpPr/>
      </xdr:nvSpPr>
      <xdr:spPr>
        <a:xfrm>
          <a:off x="10125075" y="133350"/>
          <a:ext cx="2005407" cy="352001"/>
        </a:xfrm>
        <a:prstGeom prst="roundRect">
          <a:avLst/>
        </a:prstGeom>
        <a:solidFill>
          <a:schemeClr val="bg1">
            <a:lumMod val="85000"/>
          </a:schemeClr>
        </a:solidFill>
        <a:ln>
          <a:noFill/>
        </a:ln>
      </xdr:spPr>
      <xdr:style>
        <a:lnRef idx="2">
          <a:schemeClr val="dk1">
            <a:shade val="50000"/>
          </a:schemeClr>
        </a:lnRef>
        <a:fillRef idx="1">
          <a:schemeClr val="dk1"/>
        </a:fillRef>
        <a:effectRef idx="0">
          <a:schemeClr val="dk1"/>
        </a:effectRef>
        <a:fontRef idx="minor">
          <a:schemeClr val="lt1"/>
        </a:fontRef>
      </xdr:style>
      <xdr:txBody>
        <a:bodyPr vertOverflow="clip" horzOverflow="clip" rtlCol="0" anchor="ctr"/>
        <a:lstStyle/>
        <a:p>
          <a:pPr algn="ctr"/>
          <a:r>
            <a:rPr lang="en-US" sz="1100" b="0">
              <a:ln>
                <a:noFill/>
              </a:ln>
              <a:solidFill>
                <a:schemeClr val="tx1"/>
              </a:solidFill>
              <a:latin typeface="Cambria" panose="02040503050406030204" pitchFamily="18" charset="0"/>
              <a:ea typeface="Cambria" panose="02040503050406030204" pitchFamily="18" charset="0"/>
            </a:rPr>
            <a:t>Retour Page De</a:t>
          </a:r>
          <a:r>
            <a:rPr lang="en-US" sz="1100" b="0" baseline="0">
              <a:ln>
                <a:noFill/>
              </a:ln>
              <a:solidFill>
                <a:schemeClr val="tx1"/>
              </a:solidFill>
              <a:latin typeface="Cambria" panose="02040503050406030204" pitchFamily="18" charset="0"/>
              <a:ea typeface="Cambria" panose="02040503050406030204" pitchFamily="18" charset="0"/>
            </a:rPr>
            <a:t> Navigation</a:t>
          </a:r>
          <a:endParaRPr lang="en-US" sz="1100" b="0">
            <a:ln>
              <a:noFill/>
            </a:ln>
            <a:solidFill>
              <a:schemeClr val="tx1"/>
            </a:solidFill>
            <a:latin typeface="Cambria" panose="02040503050406030204" pitchFamily="18" charset="0"/>
            <a:ea typeface="Cambria" panose="02040503050406030204" pitchFamily="18" charset="0"/>
          </a:endParaRPr>
        </a:p>
      </xdr:txBody>
    </xdr:sp>
    <xdr:clientData/>
  </xdr:twoCellAnchor>
</xdr:wsDr>
</file>

<file path=xl/drawings/drawing67.xml><?xml version="1.0" encoding="utf-8"?>
<xdr:wsDr xmlns:xdr="http://schemas.openxmlformats.org/drawingml/2006/spreadsheetDrawing" xmlns:a="http://schemas.openxmlformats.org/drawingml/2006/main">
  <xdr:twoCellAnchor>
    <xdr:from>
      <xdr:col>12</xdr:col>
      <xdr:colOff>771525</xdr:colOff>
      <xdr:row>1</xdr:row>
      <xdr:rowOff>85725</xdr:rowOff>
    </xdr:from>
    <xdr:to>
      <xdr:col>15</xdr:col>
      <xdr:colOff>468072</xdr:colOff>
      <xdr:row>3</xdr:row>
      <xdr:rowOff>68156</xdr:rowOff>
    </xdr:to>
    <xdr:sp macro="[1]!Navigation" textlink="">
      <xdr:nvSpPr>
        <xdr:cNvPr id="2" name="Rectangle à coins arrondis 2">
          <a:extLst>
            <a:ext uri="{FF2B5EF4-FFF2-40B4-BE49-F238E27FC236}">
              <a16:creationId xmlns:a16="http://schemas.microsoft.com/office/drawing/2014/main" id="{9E4E8975-468F-40E4-A08F-5F2DA15F2DC5}"/>
            </a:ext>
          </a:extLst>
        </xdr:cNvPr>
        <xdr:cNvSpPr/>
      </xdr:nvSpPr>
      <xdr:spPr>
        <a:xfrm>
          <a:off x="10020300" y="133350"/>
          <a:ext cx="1992072" cy="363431"/>
        </a:xfrm>
        <a:prstGeom prst="roundRect">
          <a:avLst/>
        </a:prstGeom>
        <a:solidFill>
          <a:schemeClr val="bg1">
            <a:lumMod val="85000"/>
          </a:schemeClr>
        </a:solidFill>
        <a:ln>
          <a:noFill/>
        </a:ln>
      </xdr:spPr>
      <xdr:style>
        <a:lnRef idx="2">
          <a:schemeClr val="dk1">
            <a:shade val="50000"/>
          </a:schemeClr>
        </a:lnRef>
        <a:fillRef idx="1">
          <a:schemeClr val="dk1"/>
        </a:fillRef>
        <a:effectRef idx="0">
          <a:schemeClr val="dk1"/>
        </a:effectRef>
        <a:fontRef idx="minor">
          <a:schemeClr val="lt1"/>
        </a:fontRef>
      </xdr:style>
      <xdr:txBody>
        <a:bodyPr vertOverflow="clip" horzOverflow="clip" rtlCol="0" anchor="ctr"/>
        <a:lstStyle/>
        <a:p>
          <a:pPr algn="ctr"/>
          <a:r>
            <a:rPr lang="en-US" sz="1100" b="0">
              <a:ln>
                <a:noFill/>
              </a:ln>
              <a:solidFill>
                <a:schemeClr val="tx1"/>
              </a:solidFill>
              <a:latin typeface="Cambria" panose="02040503050406030204" pitchFamily="18" charset="0"/>
              <a:ea typeface="Cambria" panose="02040503050406030204" pitchFamily="18" charset="0"/>
            </a:rPr>
            <a:t>Retour Page De</a:t>
          </a:r>
          <a:r>
            <a:rPr lang="en-US" sz="1100" b="0" baseline="0">
              <a:ln>
                <a:noFill/>
              </a:ln>
              <a:solidFill>
                <a:schemeClr val="tx1"/>
              </a:solidFill>
              <a:latin typeface="Cambria" panose="02040503050406030204" pitchFamily="18" charset="0"/>
              <a:ea typeface="Cambria" panose="02040503050406030204" pitchFamily="18" charset="0"/>
            </a:rPr>
            <a:t> Navigation</a:t>
          </a:r>
          <a:endParaRPr lang="en-US" sz="1100" b="0">
            <a:ln>
              <a:noFill/>
            </a:ln>
            <a:solidFill>
              <a:schemeClr val="tx1"/>
            </a:solidFill>
            <a:latin typeface="Cambria" panose="02040503050406030204" pitchFamily="18" charset="0"/>
            <a:ea typeface="Cambria" panose="02040503050406030204" pitchFamily="18" charset="0"/>
          </a:endParaRPr>
        </a:p>
      </xdr:txBody>
    </xdr:sp>
    <xdr:clientData/>
  </xdr:twoCellAnchor>
</xdr:wsDr>
</file>

<file path=xl/drawings/drawing68.xml><?xml version="1.0" encoding="utf-8"?>
<xdr:wsDr xmlns:xdr="http://schemas.openxmlformats.org/drawingml/2006/spreadsheetDrawing" xmlns:a="http://schemas.openxmlformats.org/drawingml/2006/main">
  <xdr:twoCellAnchor>
    <xdr:from>
      <xdr:col>13</xdr:col>
      <xdr:colOff>409575</xdr:colOff>
      <xdr:row>0</xdr:row>
      <xdr:rowOff>114300</xdr:rowOff>
    </xdr:from>
    <xdr:to>
      <xdr:col>16</xdr:col>
      <xdr:colOff>106122</xdr:colOff>
      <xdr:row>2</xdr:row>
      <xdr:rowOff>144356</xdr:rowOff>
    </xdr:to>
    <xdr:sp macro="[1]!Navigation" textlink="">
      <xdr:nvSpPr>
        <xdr:cNvPr id="2" name="Rectangle à coins arrondis 2">
          <a:extLst>
            <a:ext uri="{FF2B5EF4-FFF2-40B4-BE49-F238E27FC236}">
              <a16:creationId xmlns:a16="http://schemas.microsoft.com/office/drawing/2014/main" id="{99C7F721-19CD-4B9E-8D12-B14FC06E8703}"/>
            </a:ext>
          </a:extLst>
        </xdr:cNvPr>
        <xdr:cNvSpPr/>
      </xdr:nvSpPr>
      <xdr:spPr>
        <a:xfrm>
          <a:off x="10467975" y="114300"/>
          <a:ext cx="1982547" cy="353906"/>
        </a:xfrm>
        <a:prstGeom prst="roundRect">
          <a:avLst/>
        </a:prstGeom>
        <a:solidFill>
          <a:schemeClr val="bg1">
            <a:lumMod val="85000"/>
          </a:schemeClr>
        </a:solidFill>
        <a:ln>
          <a:noFill/>
        </a:ln>
      </xdr:spPr>
      <xdr:style>
        <a:lnRef idx="2">
          <a:schemeClr val="dk1">
            <a:shade val="50000"/>
          </a:schemeClr>
        </a:lnRef>
        <a:fillRef idx="1">
          <a:schemeClr val="dk1"/>
        </a:fillRef>
        <a:effectRef idx="0">
          <a:schemeClr val="dk1"/>
        </a:effectRef>
        <a:fontRef idx="minor">
          <a:schemeClr val="lt1"/>
        </a:fontRef>
      </xdr:style>
      <xdr:txBody>
        <a:bodyPr vertOverflow="clip" horzOverflow="clip" rtlCol="0" anchor="ctr"/>
        <a:lstStyle/>
        <a:p>
          <a:pPr algn="ctr"/>
          <a:r>
            <a:rPr lang="en-US" sz="1100" b="0">
              <a:ln>
                <a:noFill/>
              </a:ln>
              <a:solidFill>
                <a:schemeClr val="tx1"/>
              </a:solidFill>
              <a:latin typeface="Cambria" panose="02040503050406030204" pitchFamily="18" charset="0"/>
              <a:ea typeface="Cambria" panose="02040503050406030204" pitchFamily="18" charset="0"/>
            </a:rPr>
            <a:t>Retour Page De</a:t>
          </a:r>
          <a:r>
            <a:rPr lang="en-US" sz="1100" b="0" baseline="0">
              <a:ln>
                <a:noFill/>
              </a:ln>
              <a:solidFill>
                <a:schemeClr val="tx1"/>
              </a:solidFill>
              <a:latin typeface="Cambria" panose="02040503050406030204" pitchFamily="18" charset="0"/>
              <a:ea typeface="Cambria" panose="02040503050406030204" pitchFamily="18" charset="0"/>
            </a:rPr>
            <a:t> Navigation</a:t>
          </a:r>
          <a:endParaRPr lang="en-US" sz="1100" b="0">
            <a:ln>
              <a:noFill/>
            </a:ln>
            <a:solidFill>
              <a:schemeClr val="tx1"/>
            </a:solidFill>
            <a:latin typeface="Cambria" panose="02040503050406030204" pitchFamily="18" charset="0"/>
            <a:ea typeface="Cambria" panose="02040503050406030204" pitchFamily="18" charset="0"/>
          </a:endParaRPr>
        </a:p>
      </xdr:txBody>
    </xdr:sp>
    <xdr:clientData/>
  </xdr:twoCellAnchor>
</xdr:wsDr>
</file>

<file path=xl/drawings/drawing69.xml><?xml version="1.0" encoding="utf-8"?>
<xdr:wsDr xmlns:xdr="http://schemas.openxmlformats.org/drawingml/2006/spreadsheetDrawing" xmlns:a="http://schemas.openxmlformats.org/drawingml/2006/main">
  <xdr:twoCellAnchor>
    <xdr:from>
      <xdr:col>13</xdr:col>
      <xdr:colOff>0</xdr:colOff>
      <xdr:row>1</xdr:row>
      <xdr:rowOff>0</xdr:rowOff>
    </xdr:from>
    <xdr:to>
      <xdr:col>15</xdr:col>
      <xdr:colOff>481407</xdr:colOff>
      <xdr:row>2</xdr:row>
      <xdr:rowOff>161501</xdr:rowOff>
    </xdr:to>
    <xdr:sp macro="[1]!Navigation" textlink="">
      <xdr:nvSpPr>
        <xdr:cNvPr id="2" name="Rectangle à coins arrondis 2">
          <a:extLst>
            <a:ext uri="{FF2B5EF4-FFF2-40B4-BE49-F238E27FC236}">
              <a16:creationId xmlns:a16="http://schemas.microsoft.com/office/drawing/2014/main" id="{80AF1CEB-94C1-4BFE-8A5B-0671BB48C76F}"/>
            </a:ext>
          </a:extLst>
        </xdr:cNvPr>
        <xdr:cNvSpPr/>
      </xdr:nvSpPr>
      <xdr:spPr>
        <a:xfrm>
          <a:off x="10610850" y="142875"/>
          <a:ext cx="2005407" cy="352001"/>
        </a:xfrm>
        <a:prstGeom prst="roundRect">
          <a:avLst/>
        </a:prstGeom>
        <a:solidFill>
          <a:schemeClr val="bg1">
            <a:lumMod val="85000"/>
          </a:schemeClr>
        </a:solidFill>
        <a:ln>
          <a:noFill/>
        </a:ln>
      </xdr:spPr>
      <xdr:style>
        <a:lnRef idx="2">
          <a:schemeClr val="dk1">
            <a:shade val="50000"/>
          </a:schemeClr>
        </a:lnRef>
        <a:fillRef idx="1">
          <a:schemeClr val="dk1"/>
        </a:fillRef>
        <a:effectRef idx="0">
          <a:schemeClr val="dk1"/>
        </a:effectRef>
        <a:fontRef idx="minor">
          <a:schemeClr val="lt1"/>
        </a:fontRef>
      </xdr:style>
      <xdr:txBody>
        <a:bodyPr vertOverflow="clip" horzOverflow="clip" rtlCol="0" anchor="ctr"/>
        <a:lstStyle/>
        <a:p>
          <a:pPr algn="ctr"/>
          <a:r>
            <a:rPr lang="en-US" sz="1100" b="0">
              <a:ln>
                <a:noFill/>
              </a:ln>
              <a:solidFill>
                <a:schemeClr val="tx1"/>
              </a:solidFill>
              <a:latin typeface="Cambria" panose="02040503050406030204" pitchFamily="18" charset="0"/>
              <a:ea typeface="Cambria" panose="02040503050406030204" pitchFamily="18" charset="0"/>
            </a:rPr>
            <a:t>Retour Page De</a:t>
          </a:r>
          <a:r>
            <a:rPr lang="en-US" sz="1100" b="0" baseline="0">
              <a:ln>
                <a:noFill/>
              </a:ln>
              <a:solidFill>
                <a:schemeClr val="tx1"/>
              </a:solidFill>
              <a:latin typeface="Cambria" panose="02040503050406030204" pitchFamily="18" charset="0"/>
              <a:ea typeface="Cambria" panose="02040503050406030204" pitchFamily="18" charset="0"/>
            </a:rPr>
            <a:t> Navigation</a:t>
          </a:r>
          <a:endParaRPr lang="en-US" sz="1100" b="0">
            <a:ln>
              <a:noFill/>
            </a:ln>
            <a:solidFill>
              <a:schemeClr val="tx1"/>
            </a:solidFill>
            <a:latin typeface="Cambria" panose="02040503050406030204" pitchFamily="18" charset="0"/>
            <a:ea typeface="Cambria" panose="02040503050406030204" pitchFamily="18" charset="0"/>
          </a:endParaRPr>
        </a:p>
      </xdr:txBody>
    </xdr:sp>
    <xdr:clientData/>
  </xdr:twoCellAnchor>
</xdr:wsDr>
</file>

<file path=xl/drawings/drawing70.xml><?xml version="1.0" encoding="utf-8"?>
<xdr:wsDr xmlns:xdr="http://schemas.openxmlformats.org/drawingml/2006/spreadsheetDrawing" xmlns:a="http://schemas.openxmlformats.org/drawingml/2006/main">
  <xdr:twoCellAnchor>
    <xdr:from>
      <xdr:col>13</xdr:col>
      <xdr:colOff>295275</xdr:colOff>
      <xdr:row>1</xdr:row>
      <xdr:rowOff>0</xdr:rowOff>
    </xdr:from>
    <xdr:to>
      <xdr:col>15</xdr:col>
      <xdr:colOff>772872</xdr:colOff>
      <xdr:row>2</xdr:row>
      <xdr:rowOff>163406</xdr:rowOff>
    </xdr:to>
    <xdr:sp macro="[1]!Navigation" textlink="">
      <xdr:nvSpPr>
        <xdr:cNvPr id="2" name="Rectangle à coins arrondis 2">
          <a:extLst>
            <a:ext uri="{FF2B5EF4-FFF2-40B4-BE49-F238E27FC236}">
              <a16:creationId xmlns:a16="http://schemas.microsoft.com/office/drawing/2014/main" id="{1E4D117C-3610-4007-A6C6-A97D6A55BBFD}"/>
            </a:ext>
          </a:extLst>
        </xdr:cNvPr>
        <xdr:cNvSpPr/>
      </xdr:nvSpPr>
      <xdr:spPr>
        <a:xfrm>
          <a:off x="10496550" y="133350"/>
          <a:ext cx="1992072" cy="353906"/>
        </a:xfrm>
        <a:prstGeom prst="roundRect">
          <a:avLst/>
        </a:prstGeom>
        <a:solidFill>
          <a:schemeClr val="bg1">
            <a:lumMod val="85000"/>
          </a:schemeClr>
        </a:solidFill>
        <a:ln>
          <a:noFill/>
        </a:ln>
      </xdr:spPr>
      <xdr:style>
        <a:lnRef idx="2">
          <a:schemeClr val="dk1">
            <a:shade val="50000"/>
          </a:schemeClr>
        </a:lnRef>
        <a:fillRef idx="1">
          <a:schemeClr val="dk1"/>
        </a:fillRef>
        <a:effectRef idx="0">
          <a:schemeClr val="dk1"/>
        </a:effectRef>
        <a:fontRef idx="minor">
          <a:schemeClr val="lt1"/>
        </a:fontRef>
      </xdr:style>
      <xdr:txBody>
        <a:bodyPr vertOverflow="clip" horzOverflow="clip" rtlCol="0" anchor="ctr"/>
        <a:lstStyle/>
        <a:p>
          <a:pPr algn="ctr"/>
          <a:r>
            <a:rPr lang="en-US" sz="1100" b="0">
              <a:ln>
                <a:noFill/>
              </a:ln>
              <a:solidFill>
                <a:schemeClr val="tx1"/>
              </a:solidFill>
              <a:latin typeface="Cambria" panose="02040503050406030204" pitchFamily="18" charset="0"/>
              <a:ea typeface="Cambria" panose="02040503050406030204" pitchFamily="18" charset="0"/>
            </a:rPr>
            <a:t>Retour Page De</a:t>
          </a:r>
          <a:r>
            <a:rPr lang="en-US" sz="1100" b="0" baseline="0">
              <a:ln>
                <a:noFill/>
              </a:ln>
              <a:solidFill>
                <a:schemeClr val="tx1"/>
              </a:solidFill>
              <a:latin typeface="Cambria" panose="02040503050406030204" pitchFamily="18" charset="0"/>
              <a:ea typeface="Cambria" panose="02040503050406030204" pitchFamily="18" charset="0"/>
            </a:rPr>
            <a:t> Navigation</a:t>
          </a:r>
          <a:endParaRPr lang="en-US" sz="1100" b="0">
            <a:ln>
              <a:noFill/>
            </a:ln>
            <a:solidFill>
              <a:schemeClr val="tx1"/>
            </a:solidFill>
            <a:latin typeface="Cambria" panose="02040503050406030204" pitchFamily="18" charset="0"/>
            <a:ea typeface="Cambria" panose="02040503050406030204" pitchFamily="18" charset="0"/>
          </a:endParaRPr>
        </a:p>
      </xdr:txBody>
    </xdr:sp>
    <xdr:clientData/>
  </xdr:twoCellAnchor>
</xdr:wsDr>
</file>

<file path=xl/drawings/drawing71.xml><?xml version="1.0" encoding="utf-8"?>
<xdr:wsDr xmlns:xdr="http://schemas.openxmlformats.org/drawingml/2006/spreadsheetDrawing" xmlns:a="http://schemas.openxmlformats.org/drawingml/2006/main">
  <xdr:twoCellAnchor>
    <xdr:from>
      <xdr:col>17</xdr:col>
      <xdr:colOff>236220</xdr:colOff>
      <xdr:row>1</xdr:row>
      <xdr:rowOff>26670</xdr:rowOff>
    </xdr:from>
    <xdr:to>
      <xdr:col>19</xdr:col>
      <xdr:colOff>713817</xdr:colOff>
      <xdr:row>2</xdr:row>
      <xdr:rowOff>178646</xdr:rowOff>
    </xdr:to>
    <xdr:sp macro="[1]!Navigation" textlink="">
      <xdr:nvSpPr>
        <xdr:cNvPr id="2" name="Rectangle à coins arrondis 2">
          <a:extLst>
            <a:ext uri="{FF2B5EF4-FFF2-40B4-BE49-F238E27FC236}">
              <a16:creationId xmlns:a16="http://schemas.microsoft.com/office/drawing/2014/main" id="{3DEC9FE9-4AEE-406C-81B8-4B0D7A9FE645}"/>
            </a:ext>
          </a:extLst>
        </xdr:cNvPr>
        <xdr:cNvSpPr/>
      </xdr:nvSpPr>
      <xdr:spPr>
        <a:xfrm>
          <a:off x="11199495" y="160020"/>
          <a:ext cx="2001597" cy="342476"/>
        </a:xfrm>
        <a:prstGeom prst="roundRect">
          <a:avLst/>
        </a:prstGeom>
        <a:solidFill>
          <a:schemeClr val="bg1">
            <a:lumMod val="85000"/>
          </a:schemeClr>
        </a:solidFill>
        <a:ln>
          <a:noFill/>
        </a:ln>
      </xdr:spPr>
      <xdr:style>
        <a:lnRef idx="2">
          <a:schemeClr val="dk1">
            <a:shade val="50000"/>
          </a:schemeClr>
        </a:lnRef>
        <a:fillRef idx="1">
          <a:schemeClr val="dk1"/>
        </a:fillRef>
        <a:effectRef idx="0">
          <a:schemeClr val="dk1"/>
        </a:effectRef>
        <a:fontRef idx="minor">
          <a:schemeClr val="lt1"/>
        </a:fontRef>
      </xdr:style>
      <xdr:txBody>
        <a:bodyPr vertOverflow="clip" horzOverflow="clip" rtlCol="0" anchor="ctr"/>
        <a:lstStyle/>
        <a:p>
          <a:pPr algn="ctr"/>
          <a:r>
            <a:rPr lang="en-US" sz="1100" b="0">
              <a:ln>
                <a:noFill/>
              </a:ln>
              <a:solidFill>
                <a:schemeClr val="tx1"/>
              </a:solidFill>
              <a:latin typeface="Cambria" panose="02040503050406030204" pitchFamily="18" charset="0"/>
              <a:ea typeface="Cambria" panose="02040503050406030204" pitchFamily="18" charset="0"/>
            </a:rPr>
            <a:t>Retour Page De</a:t>
          </a:r>
          <a:r>
            <a:rPr lang="en-US" sz="1100" b="0" baseline="0">
              <a:ln>
                <a:noFill/>
              </a:ln>
              <a:solidFill>
                <a:schemeClr val="tx1"/>
              </a:solidFill>
              <a:latin typeface="Cambria" panose="02040503050406030204" pitchFamily="18" charset="0"/>
              <a:ea typeface="Cambria" panose="02040503050406030204" pitchFamily="18" charset="0"/>
            </a:rPr>
            <a:t> Navigation</a:t>
          </a:r>
          <a:endParaRPr lang="en-US" sz="1100" b="0">
            <a:ln>
              <a:noFill/>
            </a:ln>
            <a:solidFill>
              <a:schemeClr val="tx1"/>
            </a:solidFill>
            <a:latin typeface="Cambria" panose="02040503050406030204" pitchFamily="18" charset="0"/>
            <a:ea typeface="Cambria" panose="02040503050406030204" pitchFamily="18" charset="0"/>
          </a:endParaRPr>
        </a:p>
      </xdr:txBody>
    </xdr:sp>
    <xdr:clientData/>
  </xdr:twoCellAnchor>
</xdr:wsDr>
</file>

<file path=xl/drawings/drawing72.xml><?xml version="1.0" encoding="utf-8"?>
<xdr:wsDr xmlns:xdr="http://schemas.openxmlformats.org/drawingml/2006/spreadsheetDrawing" xmlns:a="http://schemas.openxmlformats.org/drawingml/2006/main">
  <xdr:twoCellAnchor>
    <xdr:from>
      <xdr:col>18</xdr:col>
      <xdr:colOff>104775</xdr:colOff>
      <xdr:row>0</xdr:row>
      <xdr:rowOff>81915</xdr:rowOff>
    </xdr:from>
    <xdr:to>
      <xdr:col>20</xdr:col>
      <xdr:colOff>582372</xdr:colOff>
      <xdr:row>2</xdr:row>
      <xdr:rowOff>104351</xdr:rowOff>
    </xdr:to>
    <xdr:sp macro="[1]!Navigation" textlink="">
      <xdr:nvSpPr>
        <xdr:cNvPr id="2" name="Rectangle à coins arrondis 2">
          <a:extLst>
            <a:ext uri="{FF2B5EF4-FFF2-40B4-BE49-F238E27FC236}">
              <a16:creationId xmlns:a16="http://schemas.microsoft.com/office/drawing/2014/main" id="{A8774D26-D39B-45C8-9E99-3DA6E0FA5E99}"/>
            </a:ext>
          </a:extLst>
        </xdr:cNvPr>
        <xdr:cNvSpPr/>
      </xdr:nvSpPr>
      <xdr:spPr>
        <a:xfrm>
          <a:off x="13963650" y="81915"/>
          <a:ext cx="2001597" cy="346286"/>
        </a:xfrm>
        <a:prstGeom prst="roundRect">
          <a:avLst/>
        </a:prstGeom>
        <a:solidFill>
          <a:schemeClr val="bg1">
            <a:lumMod val="85000"/>
          </a:schemeClr>
        </a:solidFill>
        <a:ln>
          <a:noFill/>
        </a:ln>
      </xdr:spPr>
      <xdr:style>
        <a:lnRef idx="2">
          <a:schemeClr val="dk1">
            <a:shade val="50000"/>
          </a:schemeClr>
        </a:lnRef>
        <a:fillRef idx="1">
          <a:schemeClr val="dk1"/>
        </a:fillRef>
        <a:effectRef idx="0">
          <a:schemeClr val="dk1"/>
        </a:effectRef>
        <a:fontRef idx="minor">
          <a:schemeClr val="lt1"/>
        </a:fontRef>
      </xdr:style>
      <xdr:txBody>
        <a:bodyPr vertOverflow="clip" horzOverflow="clip" rtlCol="0" anchor="ctr"/>
        <a:lstStyle/>
        <a:p>
          <a:pPr algn="ctr"/>
          <a:r>
            <a:rPr lang="en-US" sz="1100" b="0">
              <a:ln>
                <a:noFill/>
              </a:ln>
              <a:solidFill>
                <a:schemeClr val="tx1"/>
              </a:solidFill>
              <a:latin typeface="Cambria" panose="02040503050406030204" pitchFamily="18" charset="0"/>
              <a:ea typeface="Cambria" panose="02040503050406030204" pitchFamily="18" charset="0"/>
            </a:rPr>
            <a:t>Retour Page De</a:t>
          </a:r>
          <a:r>
            <a:rPr lang="en-US" sz="1100" b="0" baseline="0">
              <a:ln>
                <a:noFill/>
              </a:ln>
              <a:solidFill>
                <a:schemeClr val="tx1"/>
              </a:solidFill>
              <a:latin typeface="Cambria" panose="02040503050406030204" pitchFamily="18" charset="0"/>
              <a:ea typeface="Cambria" panose="02040503050406030204" pitchFamily="18" charset="0"/>
            </a:rPr>
            <a:t> Navigation</a:t>
          </a:r>
          <a:endParaRPr lang="en-US" sz="1100" b="0">
            <a:ln>
              <a:noFill/>
            </a:ln>
            <a:solidFill>
              <a:schemeClr val="tx1"/>
            </a:solidFill>
            <a:latin typeface="Cambria" panose="02040503050406030204" pitchFamily="18" charset="0"/>
            <a:ea typeface="Cambria" panose="02040503050406030204" pitchFamily="18" charset="0"/>
          </a:endParaRPr>
        </a:p>
      </xdr:txBody>
    </xdr:sp>
    <xdr:clientData/>
  </xdr:twoCellAnchor>
</xdr:wsDr>
</file>

<file path=xl/drawings/drawing73.xml><?xml version="1.0" encoding="utf-8"?>
<xdr:wsDr xmlns:xdr="http://schemas.openxmlformats.org/drawingml/2006/spreadsheetDrawing" xmlns:a="http://schemas.openxmlformats.org/drawingml/2006/main">
  <xdr:twoCellAnchor>
    <xdr:from>
      <xdr:col>14</xdr:col>
      <xdr:colOff>609600</xdr:colOff>
      <xdr:row>1</xdr:row>
      <xdr:rowOff>47625</xdr:rowOff>
    </xdr:from>
    <xdr:to>
      <xdr:col>17</xdr:col>
      <xdr:colOff>306147</xdr:colOff>
      <xdr:row>3</xdr:row>
      <xdr:rowOff>20531</xdr:rowOff>
    </xdr:to>
    <xdr:sp macro="[1]!Navigation" textlink="">
      <xdr:nvSpPr>
        <xdr:cNvPr id="2" name="Rectangle à coins arrondis 2">
          <a:extLst>
            <a:ext uri="{FF2B5EF4-FFF2-40B4-BE49-F238E27FC236}">
              <a16:creationId xmlns:a16="http://schemas.microsoft.com/office/drawing/2014/main" id="{F0564EEE-5124-44FE-9E55-24AE0AD5F770}"/>
            </a:ext>
          </a:extLst>
        </xdr:cNvPr>
        <xdr:cNvSpPr/>
      </xdr:nvSpPr>
      <xdr:spPr>
        <a:xfrm>
          <a:off x="11953875" y="114300"/>
          <a:ext cx="1982547" cy="353906"/>
        </a:xfrm>
        <a:prstGeom prst="roundRect">
          <a:avLst/>
        </a:prstGeom>
        <a:solidFill>
          <a:schemeClr val="bg1">
            <a:lumMod val="85000"/>
          </a:schemeClr>
        </a:solidFill>
        <a:ln>
          <a:noFill/>
        </a:ln>
      </xdr:spPr>
      <xdr:style>
        <a:lnRef idx="2">
          <a:schemeClr val="dk1">
            <a:shade val="50000"/>
          </a:schemeClr>
        </a:lnRef>
        <a:fillRef idx="1">
          <a:schemeClr val="dk1"/>
        </a:fillRef>
        <a:effectRef idx="0">
          <a:schemeClr val="dk1"/>
        </a:effectRef>
        <a:fontRef idx="minor">
          <a:schemeClr val="lt1"/>
        </a:fontRef>
      </xdr:style>
      <xdr:txBody>
        <a:bodyPr vertOverflow="clip" horzOverflow="clip" rtlCol="0" anchor="ctr"/>
        <a:lstStyle/>
        <a:p>
          <a:pPr algn="ctr"/>
          <a:r>
            <a:rPr lang="en-US" sz="1100" b="0">
              <a:ln>
                <a:noFill/>
              </a:ln>
              <a:solidFill>
                <a:schemeClr val="tx1"/>
              </a:solidFill>
              <a:latin typeface="Cambria" panose="02040503050406030204" pitchFamily="18" charset="0"/>
              <a:ea typeface="Cambria" panose="02040503050406030204" pitchFamily="18" charset="0"/>
            </a:rPr>
            <a:t>Retour Page De</a:t>
          </a:r>
          <a:r>
            <a:rPr lang="en-US" sz="1100" b="0" baseline="0">
              <a:ln>
                <a:noFill/>
              </a:ln>
              <a:solidFill>
                <a:schemeClr val="tx1"/>
              </a:solidFill>
              <a:latin typeface="Cambria" panose="02040503050406030204" pitchFamily="18" charset="0"/>
              <a:ea typeface="Cambria" panose="02040503050406030204" pitchFamily="18" charset="0"/>
            </a:rPr>
            <a:t> Navigation</a:t>
          </a:r>
          <a:endParaRPr lang="en-US" sz="1100" b="0">
            <a:ln>
              <a:noFill/>
            </a:ln>
            <a:solidFill>
              <a:schemeClr val="tx1"/>
            </a:solidFill>
            <a:latin typeface="Cambria" panose="02040503050406030204" pitchFamily="18" charset="0"/>
            <a:ea typeface="Cambria" panose="02040503050406030204" pitchFamily="18" charset="0"/>
          </a:endParaRPr>
        </a:p>
      </xdr:txBody>
    </xdr:sp>
    <xdr:clientData/>
  </xdr:twoCellAnchor>
</xdr:wsDr>
</file>

<file path=xl/drawings/drawing74.xml><?xml version="1.0" encoding="utf-8"?>
<xdr:wsDr xmlns:xdr="http://schemas.openxmlformats.org/drawingml/2006/spreadsheetDrawing" xmlns:a="http://schemas.openxmlformats.org/drawingml/2006/main">
  <xdr:twoCellAnchor>
    <xdr:from>
      <xdr:col>13</xdr:col>
      <xdr:colOff>466725</xdr:colOff>
      <xdr:row>0</xdr:row>
      <xdr:rowOff>114300</xdr:rowOff>
    </xdr:from>
    <xdr:to>
      <xdr:col>16</xdr:col>
      <xdr:colOff>159462</xdr:colOff>
      <xdr:row>2</xdr:row>
      <xdr:rowOff>146261</xdr:rowOff>
    </xdr:to>
    <xdr:sp macro="[1]!Navigation" textlink="">
      <xdr:nvSpPr>
        <xdr:cNvPr id="2" name="Rectangle à coins arrondis 2">
          <a:extLst>
            <a:ext uri="{FF2B5EF4-FFF2-40B4-BE49-F238E27FC236}">
              <a16:creationId xmlns:a16="http://schemas.microsoft.com/office/drawing/2014/main" id="{3D2FC441-E0C8-4811-869D-22FDF2C792CA}"/>
            </a:ext>
          </a:extLst>
        </xdr:cNvPr>
        <xdr:cNvSpPr/>
      </xdr:nvSpPr>
      <xdr:spPr>
        <a:xfrm>
          <a:off x="9810750" y="114300"/>
          <a:ext cx="1978737" cy="355811"/>
        </a:xfrm>
        <a:prstGeom prst="roundRect">
          <a:avLst/>
        </a:prstGeom>
        <a:solidFill>
          <a:schemeClr val="bg1">
            <a:lumMod val="85000"/>
          </a:schemeClr>
        </a:solidFill>
        <a:ln>
          <a:noFill/>
        </a:ln>
      </xdr:spPr>
      <xdr:style>
        <a:lnRef idx="2">
          <a:schemeClr val="dk1">
            <a:shade val="50000"/>
          </a:schemeClr>
        </a:lnRef>
        <a:fillRef idx="1">
          <a:schemeClr val="dk1"/>
        </a:fillRef>
        <a:effectRef idx="0">
          <a:schemeClr val="dk1"/>
        </a:effectRef>
        <a:fontRef idx="minor">
          <a:schemeClr val="lt1"/>
        </a:fontRef>
      </xdr:style>
      <xdr:txBody>
        <a:bodyPr vertOverflow="clip" horzOverflow="clip" rtlCol="0" anchor="ctr"/>
        <a:lstStyle/>
        <a:p>
          <a:pPr algn="ctr"/>
          <a:r>
            <a:rPr lang="en-US" sz="1100" b="0">
              <a:ln>
                <a:noFill/>
              </a:ln>
              <a:solidFill>
                <a:schemeClr val="tx1"/>
              </a:solidFill>
              <a:latin typeface="Cambria" panose="02040503050406030204" pitchFamily="18" charset="0"/>
              <a:ea typeface="Cambria" panose="02040503050406030204" pitchFamily="18" charset="0"/>
            </a:rPr>
            <a:t>Retour Page De</a:t>
          </a:r>
          <a:r>
            <a:rPr lang="en-US" sz="1100" b="0" baseline="0">
              <a:ln>
                <a:noFill/>
              </a:ln>
              <a:solidFill>
                <a:schemeClr val="tx1"/>
              </a:solidFill>
              <a:latin typeface="Cambria" panose="02040503050406030204" pitchFamily="18" charset="0"/>
              <a:ea typeface="Cambria" panose="02040503050406030204" pitchFamily="18" charset="0"/>
            </a:rPr>
            <a:t> Navigation</a:t>
          </a:r>
          <a:endParaRPr lang="en-US" sz="1100" b="0">
            <a:ln>
              <a:noFill/>
            </a:ln>
            <a:solidFill>
              <a:schemeClr val="tx1"/>
            </a:solidFill>
            <a:latin typeface="Cambria" panose="02040503050406030204" pitchFamily="18" charset="0"/>
            <a:ea typeface="Cambria" panose="02040503050406030204" pitchFamily="18" charset="0"/>
          </a:endParaRPr>
        </a:p>
      </xdr:txBody>
    </xdr:sp>
    <xdr:clientData/>
  </xdr:twoCellAnchor>
</xdr:wsDr>
</file>

<file path=xl/drawings/drawing75.xml><?xml version="1.0" encoding="utf-8"?>
<xdr:wsDr xmlns:xdr="http://schemas.openxmlformats.org/drawingml/2006/spreadsheetDrawing" xmlns:a="http://schemas.openxmlformats.org/drawingml/2006/main">
  <xdr:twoCellAnchor>
    <xdr:from>
      <xdr:col>14</xdr:col>
      <xdr:colOff>114300</xdr:colOff>
      <xdr:row>1</xdr:row>
      <xdr:rowOff>19050</xdr:rowOff>
    </xdr:from>
    <xdr:to>
      <xdr:col>16</xdr:col>
      <xdr:colOff>591897</xdr:colOff>
      <xdr:row>2</xdr:row>
      <xdr:rowOff>182456</xdr:rowOff>
    </xdr:to>
    <xdr:sp macro="[1]!Navigation" textlink="">
      <xdr:nvSpPr>
        <xdr:cNvPr id="2" name="Rectangle à coins arrondis 2">
          <a:extLst>
            <a:ext uri="{FF2B5EF4-FFF2-40B4-BE49-F238E27FC236}">
              <a16:creationId xmlns:a16="http://schemas.microsoft.com/office/drawing/2014/main" id="{5DDAF492-55CF-4D32-B669-DB3359620136}"/>
            </a:ext>
          </a:extLst>
        </xdr:cNvPr>
        <xdr:cNvSpPr/>
      </xdr:nvSpPr>
      <xdr:spPr>
        <a:xfrm>
          <a:off x="11020425" y="152400"/>
          <a:ext cx="2001597" cy="353906"/>
        </a:xfrm>
        <a:prstGeom prst="roundRect">
          <a:avLst/>
        </a:prstGeom>
        <a:solidFill>
          <a:schemeClr val="bg1">
            <a:lumMod val="85000"/>
          </a:schemeClr>
        </a:solidFill>
        <a:ln>
          <a:noFill/>
        </a:ln>
      </xdr:spPr>
      <xdr:style>
        <a:lnRef idx="2">
          <a:schemeClr val="dk1">
            <a:shade val="50000"/>
          </a:schemeClr>
        </a:lnRef>
        <a:fillRef idx="1">
          <a:schemeClr val="dk1"/>
        </a:fillRef>
        <a:effectRef idx="0">
          <a:schemeClr val="dk1"/>
        </a:effectRef>
        <a:fontRef idx="minor">
          <a:schemeClr val="lt1"/>
        </a:fontRef>
      </xdr:style>
      <xdr:txBody>
        <a:bodyPr vertOverflow="clip" horzOverflow="clip" rtlCol="0" anchor="ctr"/>
        <a:lstStyle/>
        <a:p>
          <a:pPr algn="ctr"/>
          <a:r>
            <a:rPr lang="en-US" sz="1100" b="0">
              <a:ln>
                <a:noFill/>
              </a:ln>
              <a:solidFill>
                <a:schemeClr val="tx1"/>
              </a:solidFill>
              <a:latin typeface="Cambria" panose="02040503050406030204" pitchFamily="18" charset="0"/>
              <a:ea typeface="Cambria" panose="02040503050406030204" pitchFamily="18" charset="0"/>
            </a:rPr>
            <a:t>Retour Page De</a:t>
          </a:r>
          <a:r>
            <a:rPr lang="en-US" sz="1100" b="0" baseline="0">
              <a:ln>
                <a:noFill/>
              </a:ln>
              <a:solidFill>
                <a:schemeClr val="tx1"/>
              </a:solidFill>
              <a:latin typeface="Cambria" panose="02040503050406030204" pitchFamily="18" charset="0"/>
              <a:ea typeface="Cambria" panose="02040503050406030204" pitchFamily="18" charset="0"/>
            </a:rPr>
            <a:t> Navigation</a:t>
          </a:r>
          <a:endParaRPr lang="en-US" sz="1100" b="0">
            <a:ln>
              <a:noFill/>
            </a:ln>
            <a:solidFill>
              <a:schemeClr val="tx1"/>
            </a:solidFill>
            <a:latin typeface="Cambria" panose="02040503050406030204" pitchFamily="18" charset="0"/>
            <a:ea typeface="Cambria" panose="02040503050406030204" pitchFamily="18" charset="0"/>
          </a:endParaRPr>
        </a:p>
      </xdr:txBody>
    </xdr:sp>
    <xdr:clientData/>
  </xdr:twoCellAnchor>
</xdr:wsDr>
</file>

<file path=xl/drawings/drawing76.xml><?xml version="1.0" encoding="utf-8"?>
<xdr:wsDr xmlns:xdr="http://schemas.openxmlformats.org/drawingml/2006/spreadsheetDrawing" xmlns:a="http://schemas.openxmlformats.org/drawingml/2006/main">
  <xdr:twoCellAnchor>
    <xdr:from>
      <xdr:col>13</xdr:col>
      <xdr:colOff>255270</xdr:colOff>
      <xdr:row>0</xdr:row>
      <xdr:rowOff>116205</xdr:rowOff>
    </xdr:from>
    <xdr:to>
      <xdr:col>15</xdr:col>
      <xdr:colOff>732867</xdr:colOff>
      <xdr:row>2</xdr:row>
      <xdr:rowOff>94826</xdr:rowOff>
    </xdr:to>
    <xdr:sp macro="[1]!Navigation" textlink="">
      <xdr:nvSpPr>
        <xdr:cNvPr id="2" name="Rectangle à coins arrondis 2">
          <a:extLst>
            <a:ext uri="{FF2B5EF4-FFF2-40B4-BE49-F238E27FC236}">
              <a16:creationId xmlns:a16="http://schemas.microsoft.com/office/drawing/2014/main" id="{F32A72BC-6021-468C-BF77-9D339DB35C02}"/>
            </a:ext>
          </a:extLst>
        </xdr:cNvPr>
        <xdr:cNvSpPr/>
      </xdr:nvSpPr>
      <xdr:spPr>
        <a:xfrm>
          <a:off x="10599420" y="116205"/>
          <a:ext cx="2001597" cy="359621"/>
        </a:xfrm>
        <a:prstGeom prst="roundRect">
          <a:avLst/>
        </a:prstGeom>
        <a:solidFill>
          <a:schemeClr val="bg1">
            <a:lumMod val="85000"/>
          </a:schemeClr>
        </a:solidFill>
        <a:ln>
          <a:noFill/>
        </a:ln>
      </xdr:spPr>
      <xdr:style>
        <a:lnRef idx="2">
          <a:schemeClr val="dk1">
            <a:shade val="50000"/>
          </a:schemeClr>
        </a:lnRef>
        <a:fillRef idx="1">
          <a:schemeClr val="dk1"/>
        </a:fillRef>
        <a:effectRef idx="0">
          <a:schemeClr val="dk1"/>
        </a:effectRef>
        <a:fontRef idx="minor">
          <a:schemeClr val="lt1"/>
        </a:fontRef>
      </xdr:style>
      <xdr:txBody>
        <a:bodyPr vertOverflow="clip" horzOverflow="clip" rtlCol="0" anchor="ctr"/>
        <a:lstStyle/>
        <a:p>
          <a:pPr algn="ctr"/>
          <a:r>
            <a:rPr lang="en-US" sz="1100" b="0">
              <a:ln>
                <a:noFill/>
              </a:ln>
              <a:solidFill>
                <a:schemeClr val="tx1"/>
              </a:solidFill>
              <a:latin typeface="Cambria" panose="02040503050406030204" pitchFamily="18" charset="0"/>
              <a:ea typeface="Cambria" panose="02040503050406030204" pitchFamily="18" charset="0"/>
            </a:rPr>
            <a:t>Retour Page De</a:t>
          </a:r>
          <a:r>
            <a:rPr lang="en-US" sz="1100" b="0" baseline="0">
              <a:ln>
                <a:noFill/>
              </a:ln>
              <a:solidFill>
                <a:schemeClr val="tx1"/>
              </a:solidFill>
              <a:latin typeface="Cambria" panose="02040503050406030204" pitchFamily="18" charset="0"/>
              <a:ea typeface="Cambria" panose="02040503050406030204" pitchFamily="18" charset="0"/>
            </a:rPr>
            <a:t> Navigation</a:t>
          </a:r>
          <a:endParaRPr lang="en-US" sz="1100" b="0">
            <a:ln>
              <a:noFill/>
            </a:ln>
            <a:solidFill>
              <a:schemeClr val="tx1"/>
            </a:solidFill>
            <a:latin typeface="Cambria" panose="02040503050406030204" pitchFamily="18" charset="0"/>
            <a:ea typeface="Cambria" panose="02040503050406030204" pitchFamily="18" charset="0"/>
          </a:endParaRPr>
        </a:p>
      </xdr:txBody>
    </xdr:sp>
    <xdr:clientData/>
  </xdr:twoCellAnchor>
</xdr:wsDr>
</file>

<file path=xl/drawings/drawing77.xml><?xml version="1.0" encoding="utf-8"?>
<xdr:wsDr xmlns:xdr="http://schemas.openxmlformats.org/drawingml/2006/spreadsheetDrawing" xmlns:a="http://schemas.openxmlformats.org/drawingml/2006/main">
  <xdr:twoCellAnchor>
    <xdr:from>
      <xdr:col>13</xdr:col>
      <xdr:colOff>647700</xdr:colOff>
      <xdr:row>1</xdr:row>
      <xdr:rowOff>38100</xdr:rowOff>
    </xdr:from>
    <xdr:to>
      <xdr:col>16</xdr:col>
      <xdr:colOff>344247</xdr:colOff>
      <xdr:row>3</xdr:row>
      <xdr:rowOff>20531</xdr:rowOff>
    </xdr:to>
    <xdr:sp macro="[1]!Navigation" textlink="">
      <xdr:nvSpPr>
        <xdr:cNvPr id="2" name="Rectangle à coins arrondis 2">
          <a:extLst>
            <a:ext uri="{FF2B5EF4-FFF2-40B4-BE49-F238E27FC236}">
              <a16:creationId xmlns:a16="http://schemas.microsoft.com/office/drawing/2014/main" id="{9CB0619B-E1D5-44B1-9D11-C765D05830B4}"/>
            </a:ext>
          </a:extLst>
        </xdr:cNvPr>
        <xdr:cNvSpPr/>
      </xdr:nvSpPr>
      <xdr:spPr>
        <a:xfrm>
          <a:off x="10725150" y="123825"/>
          <a:ext cx="1982547" cy="363431"/>
        </a:xfrm>
        <a:prstGeom prst="roundRect">
          <a:avLst/>
        </a:prstGeom>
        <a:solidFill>
          <a:schemeClr val="bg1">
            <a:lumMod val="85000"/>
          </a:schemeClr>
        </a:solidFill>
        <a:ln>
          <a:noFill/>
        </a:ln>
      </xdr:spPr>
      <xdr:style>
        <a:lnRef idx="2">
          <a:schemeClr val="dk1">
            <a:shade val="50000"/>
          </a:schemeClr>
        </a:lnRef>
        <a:fillRef idx="1">
          <a:schemeClr val="dk1"/>
        </a:fillRef>
        <a:effectRef idx="0">
          <a:schemeClr val="dk1"/>
        </a:effectRef>
        <a:fontRef idx="minor">
          <a:schemeClr val="lt1"/>
        </a:fontRef>
      </xdr:style>
      <xdr:txBody>
        <a:bodyPr vertOverflow="clip" horzOverflow="clip" rtlCol="0" anchor="ctr"/>
        <a:lstStyle/>
        <a:p>
          <a:pPr algn="ctr"/>
          <a:r>
            <a:rPr lang="en-US" sz="1100" b="0">
              <a:ln>
                <a:noFill/>
              </a:ln>
              <a:solidFill>
                <a:schemeClr val="tx1"/>
              </a:solidFill>
              <a:latin typeface="Cambria" panose="02040503050406030204" pitchFamily="18" charset="0"/>
              <a:ea typeface="Cambria" panose="02040503050406030204" pitchFamily="18" charset="0"/>
            </a:rPr>
            <a:t>Retour Page De</a:t>
          </a:r>
          <a:r>
            <a:rPr lang="en-US" sz="1100" b="0" baseline="0">
              <a:ln>
                <a:noFill/>
              </a:ln>
              <a:solidFill>
                <a:schemeClr val="tx1"/>
              </a:solidFill>
              <a:latin typeface="Cambria" panose="02040503050406030204" pitchFamily="18" charset="0"/>
              <a:ea typeface="Cambria" panose="02040503050406030204" pitchFamily="18" charset="0"/>
            </a:rPr>
            <a:t> Navigation</a:t>
          </a:r>
          <a:endParaRPr lang="en-US" sz="1100" b="0">
            <a:ln>
              <a:noFill/>
            </a:ln>
            <a:solidFill>
              <a:schemeClr val="tx1"/>
            </a:solidFill>
            <a:latin typeface="Cambria" panose="02040503050406030204" pitchFamily="18" charset="0"/>
            <a:ea typeface="Cambria" panose="02040503050406030204" pitchFamily="18" charset="0"/>
          </a:endParaRPr>
        </a:p>
      </xdr:txBody>
    </xdr:sp>
    <xdr:clientData/>
  </xdr:twoCellAnchor>
</xdr:wsDr>
</file>

<file path=xl/drawings/drawing78.xml><?xml version="1.0" encoding="utf-8"?>
<xdr:wsDr xmlns:xdr="http://schemas.openxmlformats.org/drawingml/2006/spreadsheetDrawing" xmlns:a="http://schemas.openxmlformats.org/drawingml/2006/main">
  <xdr:twoCellAnchor>
    <xdr:from>
      <xdr:col>14</xdr:col>
      <xdr:colOff>276225</xdr:colOff>
      <xdr:row>1</xdr:row>
      <xdr:rowOff>47625</xdr:rowOff>
    </xdr:from>
    <xdr:to>
      <xdr:col>16</xdr:col>
      <xdr:colOff>753822</xdr:colOff>
      <xdr:row>3</xdr:row>
      <xdr:rowOff>30056</xdr:rowOff>
    </xdr:to>
    <xdr:sp macro="[1]!Navigation" textlink="">
      <xdr:nvSpPr>
        <xdr:cNvPr id="2" name="Rectangle à coins arrondis 2">
          <a:extLst>
            <a:ext uri="{FF2B5EF4-FFF2-40B4-BE49-F238E27FC236}">
              <a16:creationId xmlns:a16="http://schemas.microsoft.com/office/drawing/2014/main" id="{0B798FDF-EC3B-4A76-BC3F-3304D54C0173}"/>
            </a:ext>
          </a:extLst>
        </xdr:cNvPr>
        <xdr:cNvSpPr/>
      </xdr:nvSpPr>
      <xdr:spPr>
        <a:xfrm>
          <a:off x="11449050" y="142875"/>
          <a:ext cx="2001597" cy="363431"/>
        </a:xfrm>
        <a:prstGeom prst="roundRect">
          <a:avLst/>
        </a:prstGeom>
        <a:solidFill>
          <a:schemeClr val="bg1">
            <a:lumMod val="85000"/>
          </a:schemeClr>
        </a:solidFill>
        <a:ln>
          <a:noFill/>
        </a:ln>
      </xdr:spPr>
      <xdr:style>
        <a:lnRef idx="2">
          <a:schemeClr val="dk1">
            <a:shade val="50000"/>
          </a:schemeClr>
        </a:lnRef>
        <a:fillRef idx="1">
          <a:schemeClr val="dk1"/>
        </a:fillRef>
        <a:effectRef idx="0">
          <a:schemeClr val="dk1"/>
        </a:effectRef>
        <a:fontRef idx="minor">
          <a:schemeClr val="lt1"/>
        </a:fontRef>
      </xdr:style>
      <xdr:txBody>
        <a:bodyPr vertOverflow="clip" horzOverflow="clip" rtlCol="0" anchor="ctr"/>
        <a:lstStyle/>
        <a:p>
          <a:pPr algn="ctr"/>
          <a:r>
            <a:rPr lang="en-US" sz="1100" b="0">
              <a:ln>
                <a:noFill/>
              </a:ln>
              <a:solidFill>
                <a:schemeClr val="tx1"/>
              </a:solidFill>
              <a:latin typeface="Cambria" panose="02040503050406030204" pitchFamily="18" charset="0"/>
              <a:ea typeface="Cambria" panose="02040503050406030204" pitchFamily="18" charset="0"/>
            </a:rPr>
            <a:t>Retour Page De</a:t>
          </a:r>
          <a:r>
            <a:rPr lang="en-US" sz="1100" b="0" baseline="0">
              <a:ln>
                <a:noFill/>
              </a:ln>
              <a:solidFill>
                <a:schemeClr val="tx1"/>
              </a:solidFill>
              <a:latin typeface="Cambria" panose="02040503050406030204" pitchFamily="18" charset="0"/>
              <a:ea typeface="Cambria" panose="02040503050406030204" pitchFamily="18" charset="0"/>
            </a:rPr>
            <a:t> Navigation</a:t>
          </a:r>
          <a:endParaRPr lang="en-US" sz="1100" b="0">
            <a:ln>
              <a:noFill/>
            </a:ln>
            <a:solidFill>
              <a:schemeClr val="tx1"/>
            </a:solidFill>
            <a:latin typeface="Cambria" panose="02040503050406030204" pitchFamily="18" charset="0"/>
            <a:ea typeface="Cambria" panose="02040503050406030204" pitchFamily="18" charset="0"/>
          </a:endParaRPr>
        </a:p>
      </xdr:txBody>
    </xdr:sp>
    <xdr:clientData/>
  </xdr:twoCellAnchor>
</xdr:wsDr>
</file>

<file path=xl/drawings/drawing79.xml><?xml version="1.0" encoding="utf-8"?>
<xdr:wsDr xmlns:xdr="http://schemas.openxmlformats.org/drawingml/2006/spreadsheetDrawing" xmlns:a="http://schemas.openxmlformats.org/drawingml/2006/main">
  <xdr:twoCellAnchor>
    <xdr:from>
      <xdr:col>15</xdr:col>
      <xdr:colOff>419100</xdr:colOff>
      <xdr:row>1</xdr:row>
      <xdr:rowOff>19050</xdr:rowOff>
    </xdr:from>
    <xdr:to>
      <xdr:col>18</xdr:col>
      <xdr:colOff>115647</xdr:colOff>
      <xdr:row>2</xdr:row>
      <xdr:rowOff>171026</xdr:rowOff>
    </xdr:to>
    <xdr:sp macro="[1]!Navigation" textlink="">
      <xdr:nvSpPr>
        <xdr:cNvPr id="2" name="Rectangle à coins arrondis 2">
          <a:extLst>
            <a:ext uri="{FF2B5EF4-FFF2-40B4-BE49-F238E27FC236}">
              <a16:creationId xmlns:a16="http://schemas.microsoft.com/office/drawing/2014/main" id="{64783DC1-1D6B-4648-9C33-B1AA0809F9F1}"/>
            </a:ext>
          </a:extLst>
        </xdr:cNvPr>
        <xdr:cNvSpPr/>
      </xdr:nvSpPr>
      <xdr:spPr>
        <a:xfrm>
          <a:off x="12534900" y="152400"/>
          <a:ext cx="1982547" cy="342476"/>
        </a:xfrm>
        <a:prstGeom prst="roundRect">
          <a:avLst/>
        </a:prstGeom>
        <a:solidFill>
          <a:schemeClr val="bg1">
            <a:lumMod val="85000"/>
          </a:schemeClr>
        </a:solidFill>
        <a:ln>
          <a:noFill/>
        </a:ln>
      </xdr:spPr>
      <xdr:style>
        <a:lnRef idx="2">
          <a:schemeClr val="dk1">
            <a:shade val="50000"/>
          </a:schemeClr>
        </a:lnRef>
        <a:fillRef idx="1">
          <a:schemeClr val="dk1"/>
        </a:fillRef>
        <a:effectRef idx="0">
          <a:schemeClr val="dk1"/>
        </a:effectRef>
        <a:fontRef idx="minor">
          <a:schemeClr val="lt1"/>
        </a:fontRef>
      </xdr:style>
      <xdr:txBody>
        <a:bodyPr vertOverflow="clip" horzOverflow="clip" rtlCol="0" anchor="ctr"/>
        <a:lstStyle/>
        <a:p>
          <a:pPr algn="ctr"/>
          <a:r>
            <a:rPr lang="en-US" sz="1100" b="0">
              <a:ln>
                <a:noFill/>
              </a:ln>
              <a:solidFill>
                <a:schemeClr val="tx1"/>
              </a:solidFill>
              <a:latin typeface="Cambria" panose="02040503050406030204" pitchFamily="18" charset="0"/>
              <a:ea typeface="Cambria" panose="02040503050406030204" pitchFamily="18" charset="0"/>
            </a:rPr>
            <a:t>Retour Page De</a:t>
          </a:r>
          <a:r>
            <a:rPr lang="en-US" sz="1100" b="0" baseline="0">
              <a:ln>
                <a:noFill/>
              </a:ln>
              <a:solidFill>
                <a:schemeClr val="tx1"/>
              </a:solidFill>
              <a:latin typeface="Cambria" panose="02040503050406030204" pitchFamily="18" charset="0"/>
              <a:ea typeface="Cambria" panose="02040503050406030204" pitchFamily="18" charset="0"/>
            </a:rPr>
            <a:t> Navigation</a:t>
          </a:r>
          <a:endParaRPr lang="en-US" sz="1100" b="0">
            <a:ln>
              <a:noFill/>
            </a:ln>
            <a:solidFill>
              <a:schemeClr val="tx1"/>
            </a:solidFill>
            <a:latin typeface="Cambria" panose="02040503050406030204" pitchFamily="18" charset="0"/>
            <a:ea typeface="Cambria" panose="02040503050406030204" pitchFamily="18" charset="0"/>
          </a:endParaRPr>
        </a:p>
      </xdr:txBody>
    </xdr:sp>
    <xdr:clientData/>
  </xdr:twoCellAnchor>
</xdr:wsDr>
</file>

<file path=xl/drawings/drawing80.xml><?xml version="1.0" encoding="utf-8"?>
<xdr:wsDr xmlns:xdr="http://schemas.openxmlformats.org/drawingml/2006/spreadsheetDrawing" xmlns:a="http://schemas.openxmlformats.org/drawingml/2006/main">
  <xdr:twoCellAnchor>
    <xdr:from>
      <xdr:col>15</xdr:col>
      <xdr:colOff>95250</xdr:colOff>
      <xdr:row>1</xdr:row>
      <xdr:rowOff>57150</xdr:rowOff>
    </xdr:from>
    <xdr:to>
      <xdr:col>17</xdr:col>
      <xdr:colOff>572847</xdr:colOff>
      <xdr:row>3</xdr:row>
      <xdr:rowOff>18626</xdr:rowOff>
    </xdr:to>
    <xdr:sp macro="[1]!Navigation" textlink="">
      <xdr:nvSpPr>
        <xdr:cNvPr id="2" name="Rectangle à coins arrondis 2">
          <a:extLst>
            <a:ext uri="{FF2B5EF4-FFF2-40B4-BE49-F238E27FC236}">
              <a16:creationId xmlns:a16="http://schemas.microsoft.com/office/drawing/2014/main" id="{E6537636-A959-49CD-98C1-DB0F625CC5CC}"/>
            </a:ext>
          </a:extLst>
        </xdr:cNvPr>
        <xdr:cNvSpPr/>
      </xdr:nvSpPr>
      <xdr:spPr>
        <a:xfrm>
          <a:off x="11972925" y="142875"/>
          <a:ext cx="2001597" cy="342476"/>
        </a:xfrm>
        <a:prstGeom prst="roundRect">
          <a:avLst/>
        </a:prstGeom>
        <a:solidFill>
          <a:schemeClr val="bg1">
            <a:lumMod val="85000"/>
          </a:schemeClr>
        </a:solidFill>
        <a:ln>
          <a:noFill/>
        </a:ln>
      </xdr:spPr>
      <xdr:style>
        <a:lnRef idx="2">
          <a:schemeClr val="dk1">
            <a:shade val="50000"/>
          </a:schemeClr>
        </a:lnRef>
        <a:fillRef idx="1">
          <a:schemeClr val="dk1"/>
        </a:fillRef>
        <a:effectRef idx="0">
          <a:schemeClr val="dk1"/>
        </a:effectRef>
        <a:fontRef idx="minor">
          <a:schemeClr val="lt1"/>
        </a:fontRef>
      </xdr:style>
      <xdr:txBody>
        <a:bodyPr vertOverflow="clip" horzOverflow="clip" rtlCol="0" anchor="ctr"/>
        <a:lstStyle/>
        <a:p>
          <a:pPr algn="ctr"/>
          <a:r>
            <a:rPr lang="en-US" sz="1100" b="0">
              <a:ln>
                <a:noFill/>
              </a:ln>
              <a:solidFill>
                <a:schemeClr val="tx1"/>
              </a:solidFill>
              <a:latin typeface="Cambria" panose="02040503050406030204" pitchFamily="18" charset="0"/>
              <a:ea typeface="Cambria" panose="02040503050406030204" pitchFamily="18" charset="0"/>
            </a:rPr>
            <a:t>Retour Page De</a:t>
          </a:r>
          <a:r>
            <a:rPr lang="en-US" sz="1100" b="0" baseline="0">
              <a:ln>
                <a:noFill/>
              </a:ln>
              <a:solidFill>
                <a:schemeClr val="tx1"/>
              </a:solidFill>
              <a:latin typeface="Cambria" panose="02040503050406030204" pitchFamily="18" charset="0"/>
              <a:ea typeface="Cambria" panose="02040503050406030204" pitchFamily="18" charset="0"/>
            </a:rPr>
            <a:t> Navigation</a:t>
          </a:r>
          <a:endParaRPr lang="en-US" sz="1100" b="0">
            <a:ln>
              <a:noFill/>
            </a:ln>
            <a:solidFill>
              <a:schemeClr val="tx1"/>
            </a:solidFill>
            <a:latin typeface="Cambria" panose="02040503050406030204" pitchFamily="18" charset="0"/>
            <a:ea typeface="Cambria" panose="02040503050406030204" pitchFamily="18" charset="0"/>
          </a:endParaRPr>
        </a:p>
      </xdr:txBody>
    </xdr:sp>
    <xdr:clientData/>
  </xdr:twoCellAnchor>
</xdr:wsDr>
</file>

<file path=xl/drawings/drawing81.xml><?xml version="1.0" encoding="utf-8"?>
<xdr:wsDr xmlns:xdr="http://schemas.openxmlformats.org/drawingml/2006/spreadsheetDrawing" xmlns:a="http://schemas.openxmlformats.org/drawingml/2006/main">
  <xdr:twoCellAnchor>
    <xdr:from>
      <xdr:col>14</xdr:col>
      <xdr:colOff>371475</xdr:colOff>
      <xdr:row>1</xdr:row>
      <xdr:rowOff>57150</xdr:rowOff>
    </xdr:from>
    <xdr:to>
      <xdr:col>17</xdr:col>
      <xdr:colOff>68022</xdr:colOff>
      <xdr:row>3</xdr:row>
      <xdr:rowOff>18626</xdr:rowOff>
    </xdr:to>
    <xdr:sp macro="[1]!Navigation" textlink="">
      <xdr:nvSpPr>
        <xdr:cNvPr id="2" name="Rectangle à coins arrondis 2">
          <a:extLst>
            <a:ext uri="{FF2B5EF4-FFF2-40B4-BE49-F238E27FC236}">
              <a16:creationId xmlns:a16="http://schemas.microsoft.com/office/drawing/2014/main" id="{3DD54E34-F1C9-495F-AB2A-3513122C88D7}"/>
            </a:ext>
          </a:extLst>
        </xdr:cNvPr>
        <xdr:cNvSpPr/>
      </xdr:nvSpPr>
      <xdr:spPr>
        <a:xfrm>
          <a:off x="11153775" y="142875"/>
          <a:ext cx="1982547" cy="342476"/>
        </a:xfrm>
        <a:prstGeom prst="roundRect">
          <a:avLst/>
        </a:prstGeom>
        <a:solidFill>
          <a:schemeClr val="bg1">
            <a:lumMod val="85000"/>
          </a:schemeClr>
        </a:solidFill>
        <a:ln>
          <a:noFill/>
        </a:ln>
      </xdr:spPr>
      <xdr:style>
        <a:lnRef idx="2">
          <a:schemeClr val="dk1">
            <a:shade val="50000"/>
          </a:schemeClr>
        </a:lnRef>
        <a:fillRef idx="1">
          <a:schemeClr val="dk1"/>
        </a:fillRef>
        <a:effectRef idx="0">
          <a:schemeClr val="dk1"/>
        </a:effectRef>
        <a:fontRef idx="minor">
          <a:schemeClr val="lt1"/>
        </a:fontRef>
      </xdr:style>
      <xdr:txBody>
        <a:bodyPr vertOverflow="clip" horzOverflow="clip" rtlCol="0" anchor="ctr"/>
        <a:lstStyle/>
        <a:p>
          <a:pPr algn="ctr"/>
          <a:r>
            <a:rPr lang="en-US" sz="1100" b="0">
              <a:ln>
                <a:noFill/>
              </a:ln>
              <a:solidFill>
                <a:schemeClr val="tx1"/>
              </a:solidFill>
              <a:latin typeface="Cambria" panose="02040503050406030204" pitchFamily="18" charset="0"/>
              <a:ea typeface="Cambria" panose="02040503050406030204" pitchFamily="18" charset="0"/>
            </a:rPr>
            <a:t>Retour Page De</a:t>
          </a:r>
          <a:r>
            <a:rPr lang="en-US" sz="1100" b="0" baseline="0">
              <a:ln>
                <a:noFill/>
              </a:ln>
              <a:solidFill>
                <a:schemeClr val="tx1"/>
              </a:solidFill>
              <a:latin typeface="Cambria" panose="02040503050406030204" pitchFamily="18" charset="0"/>
              <a:ea typeface="Cambria" panose="02040503050406030204" pitchFamily="18" charset="0"/>
            </a:rPr>
            <a:t> Navigation</a:t>
          </a:r>
          <a:endParaRPr lang="en-US" sz="1100" b="0">
            <a:ln>
              <a:noFill/>
            </a:ln>
            <a:solidFill>
              <a:schemeClr val="tx1"/>
            </a:solidFill>
            <a:latin typeface="Cambria" panose="02040503050406030204" pitchFamily="18" charset="0"/>
            <a:ea typeface="Cambria" panose="02040503050406030204" pitchFamily="18" charset="0"/>
          </a:endParaRPr>
        </a:p>
      </xdr:txBody>
    </xdr:sp>
    <xdr:clientData/>
  </xdr:twoCellAnchor>
</xdr:wsDr>
</file>

<file path=xl/drawings/drawing82.xml><?xml version="1.0" encoding="utf-8"?>
<xdr:wsDr xmlns:xdr="http://schemas.openxmlformats.org/drawingml/2006/spreadsheetDrawing" xmlns:a="http://schemas.openxmlformats.org/drawingml/2006/main">
  <xdr:twoCellAnchor>
    <xdr:from>
      <xdr:col>13</xdr:col>
      <xdr:colOff>38100</xdr:colOff>
      <xdr:row>1</xdr:row>
      <xdr:rowOff>9525</xdr:rowOff>
    </xdr:from>
    <xdr:to>
      <xdr:col>15</xdr:col>
      <xdr:colOff>515697</xdr:colOff>
      <xdr:row>2</xdr:row>
      <xdr:rowOff>161501</xdr:rowOff>
    </xdr:to>
    <xdr:sp macro="[1]!Navigation" textlink="">
      <xdr:nvSpPr>
        <xdr:cNvPr id="2" name="Rectangle à coins arrondis 2">
          <a:extLst>
            <a:ext uri="{FF2B5EF4-FFF2-40B4-BE49-F238E27FC236}">
              <a16:creationId xmlns:a16="http://schemas.microsoft.com/office/drawing/2014/main" id="{0C2C2114-7968-4B64-B089-E8EB74F01054}"/>
            </a:ext>
          </a:extLst>
        </xdr:cNvPr>
        <xdr:cNvSpPr/>
      </xdr:nvSpPr>
      <xdr:spPr>
        <a:xfrm>
          <a:off x="11372850" y="142875"/>
          <a:ext cx="2001597" cy="342476"/>
        </a:xfrm>
        <a:prstGeom prst="roundRect">
          <a:avLst/>
        </a:prstGeom>
        <a:solidFill>
          <a:schemeClr val="bg1">
            <a:lumMod val="85000"/>
          </a:schemeClr>
        </a:solidFill>
        <a:ln>
          <a:noFill/>
        </a:ln>
      </xdr:spPr>
      <xdr:style>
        <a:lnRef idx="2">
          <a:schemeClr val="dk1">
            <a:shade val="50000"/>
          </a:schemeClr>
        </a:lnRef>
        <a:fillRef idx="1">
          <a:schemeClr val="dk1"/>
        </a:fillRef>
        <a:effectRef idx="0">
          <a:schemeClr val="dk1"/>
        </a:effectRef>
        <a:fontRef idx="minor">
          <a:schemeClr val="lt1"/>
        </a:fontRef>
      </xdr:style>
      <xdr:txBody>
        <a:bodyPr vertOverflow="clip" horzOverflow="clip" rtlCol="0" anchor="ctr"/>
        <a:lstStyle/>
        <a:p>
          <a:pPr algn="ctr"/>
          <a:r>
            <a:rPr lang="en-US" sz="1100" b="0">
              <a:ln>
                <a:noFill/>
              </a:ln>
              <a:solidFill>
                <a:schemeClr val="tx1"/>
              </a:solidFill>
              <a:latin typeface="Cambria" panose="02040503050406030204" pitchFamily="18" charset="0"/>
              <a:ea typeface="Cambria" panose="02040503050406030204" pitchFamily="18" charset="0"/>
            </a:rPr>
            <a:t>Retour Page De</a:t>
          </a:r>
          <a:r>
            <a:rPr lang="en-US" sz="1100" b="0" baseline="0">
              <a:ln>
                <a:noFill/>
              </a:ln>
              <a:solidFill>
                <a:schemeClr val="tx1"/>
              </a:solidFill>
              <a:latin typeface="Cambria" panose="02040503050406030204" pitchFamily="18" charset="0"/>
              <a:ea typeface="Cambria" panose="02040503050406030204" pitchFamily="18" charset="0"/>
            </a:rPr>
            <a:t> Navigation</a:t>
          </a:r>
          <a:endParaRPr lang="en-US" sz="1100" b="0">
            <a:ln>
              <a:noFill/>
            </a:ln>
            <a:solidFill>
              <a:schemeClr val="tx1"/>
            </a:solidFill>
            <a:latin typeface="Cambria" panose="02040503050406030204" pitchFamily="18" charset="0"/>
            <a:ea typeface="Cambria" panose="02040503050406030204" pitchFamily="18" charset="0"/>
          </a:endParaRPr>
        </a:p>
      </xdr:txBody>
    </xdr:sp>
    <xdr:clientData/>
  </xdr:twoCellAnchor>
</xdr:wsDr>
</file>

<file path=xl/drawings/drawing83.xml><?xml version="1.0" encoding="utf-8"?>
<xdr:wsDr xmlns:xdr="http://schemas.openxmlformats.org/drawingml/2006/spreadsheetDrawing" xmlns:a="http://schemas.openxmlformats.org/drawingml/2006/main">
  <xdr:twoCellAnchor>
    <xdr:from>
      <xdr:col>14</xdr:col>
      <xdr:colOff>381000</xdr:colOff>
      <xdr:row>1</xdr:row>
      <xdr:rowOff>28575</xdr:rowOff>
    </xdr:from>
    <xdr:to>
      <xdr:col>17</xdr:col>
      <xdr:colOff>77547</xdr:colOff>
      <xdr:row>2</xdr:row>
      <xdr:rowOff>180551</xdr:rowOff>
    </xdr:to>
    <xdr:sp macro="[1]!Navigation" textlink="">
      <xdr:nvSpPr>
        <xdr:cNvPr id="2" name="Rectangle à coins arrondis 2">
          <a:extLst>
            <a:ext uri="{FF2B5EF4-FFF2-40B4-BE49-F238E27FC236}">
              <a16:creationId xmlns:a16="http://schemas.microsoft.com/office/drawing/2014/main" id="{44CC0A10-EAE9-4798-ACC2-6ACF8DCF8F3B}"/>
            </a:ext>
          </a:extLst>
        </xdr:cNvPr>
        <xdr:cNvSpPr/>
      </xdr:nvSpPr>
      <xdr:spPr>
        <a:xfrm>
          <a:off x="12315825" y="161925"/>
          <a:ext cx="1982547" cy="342476"/>
        </a:xfrm>
        <a:prstGeom prst="roundRect">
          <a:avLst/>
        </a:prstGeom>
        <a:solidFill>
          <a:schemeClr val="bg1">
            <a:lumMod val="85000"/>
          </a:schemeClr>
        </a:solidFill>
        <a:ln>
          <a:noFill/>
        </a:ln>
      </xdr:spPr>
      <xdr:style>
        <a:lnRef idx="2">
          <a:schemeClr val="dk1">
            <a:shade val="50000"/>
          </a:schemeClr>
        </a:lnRef>
        <a:fillRef idx="1">
          <a:schemeClr val="dk1"/>
        </a:fillRef>
        <a:effectRef idx="0">
          <a:schemeClr val="dk1"/>
        </a:effectRef>
        <a:fontRef idx="minor">
          <a:schemeClr val="lt1"/>
        </a:fontRef>
      </xdr:style>
      <xdr:txBody>
        <a:bodyPr vertOverflow="clip" horzOverflow="clip" rtlCol="0" anchor="ctr"/>
        <a:lstStyle/>
        <a:p>
          <a:pPr algn="ctr"/>
          <a:r>
            <a:rPr lang="en-US" sz="1100" b="0">
              <a:ln>
                <a:noFill/>
              </a:ln>
              <a:solidFill>
                <a:schemeClr val="tx1"/>
              </a:solidFill>
              <a:latin typeface="Cambria" panose="02040503050406030204" pitchFamily="18" charset="0"/>
              <a:ea typeface="Cambria" panose="02040503050406030204" pitchFamily="18" charset="0"/>
            </a:rPr>
            <a:t>Retour Page De</a:t>
          </a:r>
          <a:r>
            <a:rPr lang="en-US" sz="1100" b="0" baseline="0">
              <a:ln>
                <a:noFill/>
              </a:ln>
              <a:solidFill>
                <a:schemeClr val="tx1"/>
              </a:solidFill>
              <a:latin typeface="Cambria" panose="02040503050406030204" pitchFamily="18" charset="0"/>
              <a:ea typeface="Cambria" panose="02040503050406030204" pitchFamily="18" charset="0"/>
            </a:rPr>
            <a:t> Navigation</a:t>
          </a:r>
          <a:endParaRPr lang="en-US" sz="1100" b="0">
            <a:ln>
              <a:noFill/>
            </a:ln>
            <a:solidFill>
              <a:schemeClr val="tx1"/>
            </a:solidFill>
            <a:latin typeface="Cambria" panose="02040503050406030204" pitchFamily="18" charset="0"/>
            <a:ea typeface="Cambria" panose="02040503050406030204" pitchFamily="18" charset="0"/>
          </a:endParaRPr>
        </a:p>
      </xdr:txBody>
    </xdr:sp>
    <xdr:clientData/>
  </xdr:twoCellAnchor>
</xdr:wsDr>
</file>

<file path=xl/drawings/drawing84.xml><?xml version="1.0" encoding="utf-8"?>
<xdr:wsDr xmlns:xdr="http://schemas.openxmlformats.org/drawingml/2006/spreadsheetDrawing" xmlns:a="http://schemas.openxmlformats.org/drawingml/2006/main">
  <xdr:twoCellAnchor>
    <xdr:from>
      <xdr:col>13</xdr:col>
      <xdr:colOff>436245</xdr:colOff>
      <xdr:row>1</xdr:row>
      <xdr:rowOff>26670</xdr:rowOff>
    </xdr:from>
    <xdr:to>
      <xdr:col>16</xdr:col>
      <xdr:colOff>136602</xdr:colOff>
      <xdr:row>2</xdr:row>
      <xdr:rowOff>178646</xdr:rowOff>
    </xdr:to>
    <xdr:sp macro="[1]!Navigation" textlink="">
      <xdr:nvSpPr>
        <xdr:cNvPr id="2" name="Rectangle à coins arrondis 2">
          <a:extLst>
            <a:ext uri="{FF2B5EF4-FFF2-40B4-BE49-F238E27FC236}">
              <a16:creationId xmlns:a16="http://schemas.microsoft.com/office/drawing/2014/main" id="{14E0BBD1-EC93-46C7-BD2D-BCBE09A58278}"/>
            </a:ext>
          </a:extLst>
        </xdr:cNvPr>
        <xdr:cNvSpPr/>
      </xdr:nvSpPr>
      <xdr:spPr>
        <a:xfrm>
          <a:off x="11609070" y="160020"/>
          <a:ext cx="1986357" cy="342476"/>
        </a:xfrm>
        <a:prstGeom prst="roundRect">
          <a:avLst/>
        </a:prstGeom>
        <a:solidFill>
          <a:schemeClr val="bg1">
            <a:lumMod val="85000"/>
          </a:schemeClr>
        </a:solidFill>
        <a:ln>
          <a:noFill/>
        </a:ln>
      </xdr:spPr>
      <xdr:style>
        <a:lnRef idx="2">
          <a:schemeClr val="dk1">
            <a:shade val="50000"/>
          </a:schemeClr>
        </a:lnRef>
        <a:fillRef idx="1">
          <a:schemeClr val="dk1"/>
        </a:fillRef>
        <a:effectRef idx="0">
          <a:schemeClr val="dk1"/>
        </a:effectRef>
        <a:fontRef idx="minor">
          <a:schemeClr val="lt1"/>
        </a:fontRef>
      </xdr:style>
      <xdr:txBody>
        <a:bodyPr vertOverflow="clip" horzOverflow="clip" rtlCol="0" anchor="ctr"/>
        <a:lstStyle/>
        <a:p>
          <a:pPr algn="ctr"/>
          <a:r>
            <a:rPr lang="en-US" sz="1100" b="0">
              <a:ln>
                <a:noFill/>
              </a:ln>
              <a:solidFill>
                <a:schemeClr val="tx1"/>
              </a:solidFill>
              <a:latin typeface="Cambria" panose="02040503050406030204" pitchFamily="18" charset="0"/>
              <a:ea typeface="Cambria" panose="02040503050406030204" pitchFamily="18" charset="0"/>
            </a:rPr>
            <a:t>Retour Page De</a:t>
          </a:r>
          <a:r>
            <a:rPr lang="en-US" sz="1100" b="0" baseline="0">
              <a:ln>
                <a:noFill/>
              </a:ln>
              <a:solidFill>
                <a:schemeClr val="tx1"/>
              </a:solidFill>
              <a:latin typeface="Cambria" panose="02040503050406030204" pitchFamily="18" charset="0"/>
              <a:ea typeface="Cambria" panose="02040503050406030204" pitchFamily="18" charset="0"/>
            </a:rPr>
            <a:t> Navigation</a:t>
          </a:r>
          <a:endParaRPr lang="en-US" sz="1100" b="0">
            <a:ln>
              <a:noFill/>
            </a:ln>
            <a:solidFill>
              <a:schemeClr val="tx1"/>
            </a:solidFill>
            <a:latin typeface="Cambria" panose="02040503050406030204" pitchFamily="18" charset="0"/>
            <a:ea typeface="Cambria" panose="02040503050406030204" pitchFamily="18" charset="0"/>
          </a:endParaRPr>
        </a:p>
      </xdr:txBody>
    </xdr:sp>
    <xdr:clientData/>
  </xdr:twoCellAnchor>
</xdr:wsDr>
</file>

<file path=xl/drawings/drawing85.xml><?xml version="1.0" encoding="utf-8"?>
<xdr:wsDr xmlns:xdr="http://schemas.openxmlformats.org/drawingml/2006/spreadsheetDrawing" xmlns:a="http://schemas.openxmlformats.org/drawingml/2006/main">
  <xdr:twoCellAnchor>
    <xdr:from>
      <xdr:col>13</xdr:col>
      <xdr:colOff>245745</xdr:colOff>
      <xdr:row>1</xdr:row>
      <xdr:rowOff>5715</xdr:rowOff>
    </xdr:from>
    <xdr:to>
      <xdr:col>15</xdr:col>
      <xdr:colOff>723342</xdr:colOff>
      <xdr:row>2</xdr:row>
      <xdr:rowOff>165311</xdr:rowOff>
    </xdr:to>
    <xdr:sp macro="[1]!Navigation" textlink="">
      <xdr:nvSpPr>
        <xdr:cNvPr id="2" name="Rectangle à coins arrondis 2">
          <a:extLst>
            <a:ext uri="{FF2B5EF4-FFF2-40B4-BE49-F238E27FC236}">
              <a16:creationId xmlns:a16="http://schemas.microsoft.com/office/drawing/2014/main" id="{BFE46BC6-8B62-4D90-8F2F-F09840B91CD7}"/>
            </a:ext>
          </a:extLst>
        </xdr:cNvPr>
        <xdr:cNvSpPr/>
      </xdr:nvSpPr>
      <xdr:spPr>
        <a:xfrm>
          <a:off x="10904220" y="139065"/>
          <a:ext cx="2001597" cy="350096"/>
        </a:xfrm>
        <a:prstGeom prst="roundRect">
          <a:avLst/>
        </a:prstGeom>
        <a:solidFill>
          <a:schemeClr val="bg1">
            <a:lumMod val="85000"/>
          </a:schemeClr>
        </a:solidFill>
        <a:ln>
          <a:noFill/>
        </a:ln>
      </xdr:spPr>
      <xdr:style>
        <a:lnRef idx="2">
          <a:schemeClr val="dk1">
            <a:shade val="50000"/>
          </a:schemeClr>
        </a:lnRef>
        <a:fillRef idx="1">
          <a:schemeClr val="dk1"/>
        </a:fillRef>
        <a:effectRef idx="0">
          <a:schemeClr val="dk1"/>
        </a:effectRef>
        <a:fontRef idx="minor">
          <a:schemeClr val="lt1"/>
        </a:fontRef>
      </xdr:style>
      <xdr:txBody>
        <a:bodyPr vertOverflow="clip" horzOverflow="clip" rtlCol="0" anchor="ctr"/>
        <a:lstStyle/>
        <a:p>
          <a:pPr algn="ctr"/>
          <a:r>
            <a:rPr lang="en-US" sz="1100" b="0">
              <a:ln>
                <a:noFill/>
              </a:ln>
              <a:solidFill>
                <a:schemeClr val="tx1"/>
              </a:solidFill>
              <a:latin typeface="Cambria" panose="02040503050406030204" pitchFamily="18" charset="0"/>
              <a:ea typeface="Cambria" panose="02040503050406030204" pitchFamily="18" charset="0"/>
            </a:rPr>
            <a:t>Retour Page De</a:t>
          </a:r>
          <a:r>
            <a:rPr lang="en-US" sz="1100" b="0" baseline="0">
              <a:ln>
                <a:noFill/>
              </a:ln>
              <a:solidFill>
                <a:schemeClr val="tx1"/>
              </a:solidFill>
              <a:latin typeface="Cambria" panose="02040503050406030204" pitchFamily="18" charset="0"/>
              <a:ea typeface="Cambria" panose="02040503050406030204" pitchFamily="18" charset="0"/>
            </a:rPr>
            <a:t> Navigation</a:t>
          </a:r>
          <a:endParaRPr lang="en-US" sz="1100" b="0">
            <a:ln>
              <a:noFill/>
            </a:ln>
            <a:solidFill>
              <a:schemeClr val="tx1"/>
            </a:solidFill>
            <a:latin typeface="Cambria" panose="02040503050406030204" pitchFamily="18" charset="0"/>
            <a:ea typeface="Cambria" panose="02040503050406030204" pitchFamily="18" charset="0"/>
          </a:endParaRPr>
        </a:p>
      </xdr:txBody>
    </xdr:sp>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Downloads/EtaFi_SYCEBNL_v4_24052026/EtaFi_SYCEBNL_AOP_v4-24052026.xlsm" TargetMode="External"/><Relationship Id="rId2" Type="http://schemas.openxmlformats.org/officeDocument/2006/relationships/externalLinkPath" Target="file:///C:\Users\LENOVO\Downloads\EtaFi_SYCEBNL_v4_24052026\EtaFi_SYCEBNL_AOP_v4-24052026.xlsm" TargetMode="External"/><Relationship Id="rId1" Type="http://schemas.openxmlformats.org/officeDocument/2006/relationships/externalLinkPath" Target="/Users/LENOVO/Downloads/EtaFi_SYCEBNL_v4_24052026/EtaFi_SYCEBNL_AOP_v4-24052026.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Referentiels"/>
      <sheetName val="IDENTIFICATION"/>
      <sheetName val="Navigation"/>
      <sheetName val="ANNEE_N"/>
      <sheetName val="SAGE_N"/>
      <sheetName val="ANNEE_N_1"/>
      <sheetName val="SAGE_N_1"/>
      <sheetName val="Pageap"/>
      <sheetName val="PageDeGarde1"/>
      <sheetName val="Fiche_Conditions"/>
      <sheetName val="Table_Codes"/>
      <sheetName val="Fiche_R1"/>
      <sheetName val="Fiche_R2"/>
      <sheetName val="Fiche_3"/>
      <sheetName val="PageDeGardeBilan"/>
      <sheetName val="BILAN"/>
      <sheetName val="PageDeGardeCpteResultat"/>
      <sheetName val="COMPTE_DE_RESULTAT"/>
      <sheetName val="PageDeGardeTafluxT"/>
      <sheetName val="TFT"/>
      <sheetName val="PageDeGardeNote"/>
      <sheetName val="NOTES"/>
      <sheetName val="NOTE_1"/>
      <sheetName val="NOTE_2"/>
      <sheetName val="NOTE_3"/>
      <sheetName val="NOTE_4"/>
      <sheetName val="NOTE_5A"/>
      <sheetName val="NOTE_5B"/>
      <sheetName val="NOTE_5C"/>
      <sheetName val="NOTE_5D"/>
      <sheetName val="NOTE_5E"/>
      <sheetName val="NOTE_5F"/>
      <sheetName val="NOTE_5G"/>
      <sheetName val="NOTE_5H"/>
      <sheetName val="NOTE_6"/>
      <sheetName val="NOTE_7"/>
      <sheetName val="NOTE_8"/>
      <sheetName val="NOTE_9"/>
      <sheetName val="NOTE_10"/>
      <sheetName val="NOTE_11"/>
      <sheetName val="NOTE_12"/>
      <sheetName val="NOTE_13"/>
      <sheetName val="NOTE_14"/>
      <sheetName val="NOTE_15"/>
      <sheetName val="NOTE_16"/>
      <sheetName val="NOTE_17A"/>
      <sheetName val="NOTE_17B"/>
      <sheetName val="NOTE_18A"/>
      <sheetName val="NOTE_18B"/>
      <sheetName val="NOTE_19"/>
      <sheetName val="NOTE_20"/>
      <sheetName val="NOTE_21"/>
      <sheetName val="NOTE_22"/>
      <sheetName val="NOTE_23"/>
      <sheetName val="NOTE_24"/>
      <sheetName val="NOTE_25"/>
      <sheetName val="NOTE_26"/>
      <sheetName val="NOTE_27"/>
      <sheetName val="NOTE_28"/>
      <sheetName val="NOTE_29A"/>
      <sheetName val="NOTE_29B"/>
      <sheetName val="NOTE_30"/>
      <sheetName val="NOTE_31"/>
      <sheetName val="NOTE_32"/>
      <sheetName val="NOTE_33"/>
      <sheetName val="NOTE_34"/>
      <sheetName val="NOTE_35"/>
      <sheetName val="PageGardeDGI"/>
      <sheetName val="LISTE_DGI"/>
      <sheetName val="CHARGES_1"/>
      <sheetName val="CHARGES_2"/>
      <sheetName val="CHARGES_3"/>
      <sheetName val="CHARGES_4"/>
      <sheetName val="PRODUITS_1"/>
      <sheetName val="PRODUITS_2"/>
      <sheetName val="SUPPL3_TVA"/>
      <sheetName val="SUPPL4_STAT_UEMOA"/>
      <sheetName val="SUPPL5_IMMO_AMORT"/>
      <sheetName val="SUPPL6_FRAIS_ACCES_ACHATS"/>
      <sheetName val="SUPPL7_AVANTA_NATURE"/>
      <sheetName val="SUPPL8_CREANCES"/>
      <sheetName val="SUPPL9_DEB_MOB_MAT_LOG"/>
      <sheetName val="SUPPL10_DETTES"/>
      <sheetName val="SUPPL11_CRED_DIV_IMPOT"/>
      <sheetName val="SUPPL12_ETAT_ANNUEL_SALAIRES"/>
      <sheetName val="SUPPL13_COMM_VACATIONS"/>
      <sheetName val="SUPPL14_LOYERS"/>
      <sheetName val="SUPPL15_PRINC_CLIENTS"/>
      <sheetName val="SUPPL16_PRINC_FOURNISSEURS"/>
      <sheetName val="SUPPL17_PRINC_DONATEURS"/>
      <sheetName val="SUPPL18_SOM_VERSES_CA"/>
    </sheetNames>
    <definedNames>
      <definedName name="BILAN"/>
      <definedName name="CHARGES_1"/>
      <definedName name="CHARGES_2"/>
      <definedName name="CHARGES_3"/>
      <definedName name="CHARGES_4"/>
      <definedName name="COMPTE_DE_RESULTAT"/>
      <definedName name="Fiche_3"/>
      <definedName name="Fiche_Conditions"/>
      <definedName name="Fiche_R1"/>
      <definedName name="Fiche_R2"/>
      <definedName name="LancerN"/>
      <definedName name="LancerN_1"/>
      <definedName name="LISTE_DGI"/>
      <definedName name="Navigation"/>
      <definedName name="NOTE_1"/>
      <definedName name="NOTE_10"/>
      <definedName name="NOTE_11"/>
      <definedName name="NOTE_12"/>
      <definedName name="NOTE_13"/>
      <definedName name="NOTE_14"/>
      <definedName name="NOTE_15"/>
      <definedName name="NOTE_16"/>
      <definedName name="NOTE_17A"/>
      <definedName name="NOTE_17B"/>
      <definedName name="NOTE_18A"/>
      <definedName name="NOTE_18B"/>
      <definedName name="NOTE_19"/>
      <definedName name="NOTE_2"/>
      <definedName name="NOTE_20"/>
      <definedName name="NOTE_21"/>
      <definedName name="NOTE_22"/>
      <definedName name="NOTE_23"/>
      <definedName name="NOTE_24"/>
      <definedName name="NOTE_25"/>
      <definedName name="NOTE_26"/>
      <definedName name="NOTE_27"/>
      <definedName name="NOTE_28"/>
      <definedName name="NOTE_29A"/>
      <definedName name="NOTE_29B"/>
      <definedName name="NOTE_30"/>
      <definedName name="NOTE_31"/>
      <definedName name="NOTE_32"/>
      <definedName name="NOTE_33"/>
      <definedName name="NOTE_34"/>
      <definedName name="NOTE_35"/>
      <definedName name="NOTE_4"/>
      <definedName name="NOTE_5A"/>
      <definedName name="NOTE_5B"/>
      <definedName name="NOTE_5C"/>
      <definedName name="NOTE_5D"/>
      <definedName name="NOTE_5E"/>
      <definedName name="NOTE_5F"/>
      <definedName name="NOTE_5G"/>
      <definedName name="NOTE_5H"/>
      <definedName name="NOTE_6"/>
      <definedName name="NOTE_7"/>
      <definedName name="NOTE_8"/>
      <definedName name="NOTE_9"/>
      <definedName name="NOTES"/>
      <definedName name="PageDeGarde1"/>
      <definedName name="PageDeGardeBilan"/>
      <definedName name="PageDeGardeCpteResultat"/>
      <definedName name="PageDeGardeNote"/>
      <definedName name="PageDeGardeTafluxT"/>
      <definedName name="PageGardeDGI"/>
      <definedName name="PRODUITS_1"/>
      <definedName name="PRODUITS_2"/>
      <definedName name="SUPPL10_DETTES"/>
      <definedName name="SUPPL11_CRED_DIV_IMPOT"/>
      <definedName name="SUPPL12_ETAT_ANNUEL_SALAIRES"/>
      <definedName name="SUPPL13_COMM_VACATIONS"/>
      <definedName name="SUPPL14_LOYERS"/>
      <definedName name="SUPPL15_PRINC_CLIENTS"/>
      <definedName name="SUPPL16_PRINC_FOURNISSEURS"/>
      <definedName name="SUPPL17_PRINC_DONATEURS"/>
      <definedName name="SUPPL18_SOM_VERSES_CA"/>
      <definedName name="SUPPL3_TVA"/>
      <definedName name="SUPPL4_STAT_UEMOA"/>
      <definedName name="SUPPL5_IMMO_AMORT"/>
      <definedName name="SUPPL6_FRAIS_ACCES_ACHATS"/>
      <definedName name="SUPPL7_AVANTA_NATURE"/>
      <definedName name="SUPPL8_CREANCES"/>
      <definedName name="SUPPL9_DEB_MOB_MAT_LOG"/>
      <definedName name="Table_Codes"/>
      <definedName name="TFT"/>
    </definedNames>
    <sheetDataSet>
      <sheetData sheetId="0">
        <row r="3">
          <cell r="C3" t="str">
            <v>00</v>
          </cell>
          <cell r="D3">
            <v>1</v>
          </cell>
          <cell r="E3" t="str">
            <v>01</v>
          </cell>
          <cell r="F3" t="str">
            <v>ZZ5 - Entité sous contrôle public</v>
          </cell>
          <cell r="G3" t="str">
            <v>001 001</v>
          </cell>
        </row>
        <row r="4">
          <cell r="C4" t="str">
            <v>01</v>
          </cell>
          <cell r="D4">
            <v>2</v>
          </cell>
          <cell r="E4" t="str">
            <v>02</v>
          </cell>
          <cell r="F4" t="str">
            <v>ZZ6 - Entité sous contrôle privé national</v>
          </cell>
          <cell r="G4" t="str">
            <v>001 002</v>
          </cell>
        </row>
        <row r="5">
          <cell r="C5" t="str">
            <v>02</v>
          </cell>
          <cell r="D5">
            <v>3</v>
          </cell>
          <cell r="E5" t="str">
            <v>03</v>
          </cell>
          <cell r="F5" t="str">
            <v>ZZ7 - Entité sous contrôle privé étranger</v>
          </cell>
          <cell r="G5" t="str">
            <v>001 003</v>
          </cell>
        </row>
        <row r="6">
          <cell r="C6" t="str">
            <v>03</v>
          </cell>
          <cell r="D6">
            <v>4</v>
          </cell>
          <cell r="E6" t="str">
            <v>04</v>
          </cell>
          <cell r="G6" t="str">
            <v>001 004</v>
          </cell>
        </row>
        <row r="7">
          <cell r="C7" t="str">
            <v>04</v>
          </cell>
          <cell r="D7">
            <v>5</v>
          </cell>
          <cell r="E7" t="str">
            <v>05</v>
          </cell>
          <cell r="G7" t="str">
            <v>001 005</v>
          </cell>
        </row>
        <row r="8">
          <cell r="C8" t="str">
            <v>05</v>
          </cell>
          <cell r="E8" t="str">
            <v>06</v>
          </cell>
          <cell r="G8" t="str">
            <v>001 006</v>
          </cell>
        </row>
        <row r="9">
          <cell r="C9" t="str">
            <v>06</v>
          </cell>
          <cell r="E9" t="str">
            <v>07</v>
          </cell>
          <cell r="G9" t="str">
            <v>002 001</v>
          </cell>
        </row>
        <row r="10">
          <cell r="C10" t="str">
            <v>07</v>
          </cell>
          <cell r="E10" t="str">
            <v>08</v>
          </cell>
          <cell r="G10" t="str">
            <v>002 002</v>
          </cell>
        </row>
        <row r="11">
          <cell r="C11" t="str">
            <v>08</v>
          </cell>
          <cell r="E11" t="str">
            <v>09</v>
          </cell>
          <cell r="G11" t="str">
            <v>002 003</v>
          </cell>
        </row>
        <row r="12">
          <cell r="C12" t="str">
            <v>09</v>
          </cell>
          <cell r="E12" t="str">
            <v>10</v>
          </cell>
          <cell r="G12" t="str">
            <v>002 004</v>
          </cell>
        </row>
        <row r="13">
          <cell r="E13" t="str">
            <v>11</v>
          </cell>
          <cell r="G13" t="str">
            <v>002 005</v>
          </cell>
        </row>
        <row r="14">
          <cell r="E14" t="str">
            <v>12</v>
          </cell>
          <cell r="G14" t="str">
            <v>002 006</v>
          </cell>
        </row>
        <row r="15">
          <cell r="E15" t="str">
            <v>13</v>
          </cell>
          <cell r="G15" t="str">
            <v>002 007</v>
          </cell>
        </row>
        <row r="16">
          <cell r="E16" t="str">
            <v>14</v>
          </cell>
          <cell r="G16" t="str">
            <v>002 008</v>
          </cell>
        </row>
        <row r="17">
          <cell r="E17" t="str">
            <v>15</v>
          </cell>
          <cell r="G17" t="str">
            <v>002 009</v>
          </cell>
        </row>
        <row r="18">
          <cell r="E18" t="str">
            <v>16</v>
          </cell>
          <cell r="G18" t="str">
            <v>002 010</v>
          </cell>
        </row>
        <row r="19">
          <cell r="E19">
            <v>20</v>
          </cell>
          <cell r="G19" t="str">
            <v>002 011</v>
          </cell>
        </row>
        <row r="20">
          <cell r="E20">
            <v>21</v>
          </cell>
          <cell r="G20" t="str">
            <v>003 001</v>
          </cell>
        </row>
        <row r="21">
          <cell r="E21">
            <v>22</v>
          </cell>
          <cell r="G21" t="str">
            <v>003 002</v>
          </cell>
        </row>
        <row r="22">
          <cell r="E22">
            <v>23</v>
          </cell>
          <cell r="G22" t="str">
            <v>003 003</v>
          </cell>
        </row>
        <row r="23">
          <cell r="E23">
            <v>39</v>
          </cell>
          <cell r="G23" t="str">
            <v>003 004</v>
          </cell>
        </row>
        <row r="24">
          <cell r="E24">
            <v>40</v>
          </cell>
          <cell r="G24" t="str">
            <v>003 005</v>
          </cell>
        </row>
        <row r="25">
          <cell r="E25">
            <v>41</v>
          </cell>
          <cell r="G25" t="str">
            <v>004 001</v>
          </cell>
        </row>
        <row r="26">
          <cell r="E26">
            <v>43</v>
          </cell>
          <cell r="G26" t="str">
            <v>004 002</v>
          </cell>
        </row>
        <row r="27">
          <cell r="E27">
            <v>49</v>
          </cell>
          <cell r="G27" t="str">
            <v>005 001</v>
          </cell>
        </row>
        <row r="28">
          <cell r="E28">
            <v>50</v>
          </cell>
          <cell r="G28" t="str">
            <v>005 002</v>
          </cell>
        </row>
        <row r="29">
          <cell r="E29">
            <v>52</v>
          </cell>
          <cell r="G29" t="str">
            <v>006 001</v>
          </cell>
        </row>
        <row r="30">
          <cell r="E30">
            <v>53</v>
          </cell>
          <cell r="G30" t="str">
            <v>006 002</v>
          </cell>
        </row>
        <row r="31">
          <cell r="E31">
            <v>59</v>
          </cell>
          <cell r="G31" t="str">
            <v>007 001</v>
          </cell>
        </row>
        <row r="32">
          <cell r="E32">
            <v>60</v>
          </cell>
          <cell r="G32" t="str">
            <v>007 002</v>
          </cell>
        </row>
        <row r="33">
          <cell r="E33">
            <v>99</v>
          </cell>
          <cell r="G33" t="str">
            <v>008 000</v>
          </cell>
        </row>
        <row r="34">
          <cell r="G34" t="str">
            <v>009 001</v>
          </cell>
        </row>
        <row r="35">
          <cell r="G35" t="str">
            <v>009 002</v>
          </cell>
        </row>
        <row r="36">
          <cell r="G36" t="str">
            <v>010 001</v>
          </cell>
        </row>
        <row r="37">
          <cell r="G37" t="str">
            <v>010 002</v>
          </cell>
        </row>
        <row r="38">
          <cell r="G38" t="str">
            <v>011 001</v>
          </cell>
        </row>
        <row r="39">
          <cell r="G39" t="str">
            <v>011 002</v>
          </cell>
        </row>
        <row r="40">
          <cell r="G40" t="str">
            <v>012 000</v>
          </cell>
        </row>
        <row r="41">
          <cell r="G41" t="str">
            <v>022 001</v>
          </cell>
        </row>
        <row r="42">
          <cell r="G42" t="str">
            <v>022 002</v>
          </cell>
        </row>
        <row r="43">
          <cell r="G43" t="str">
            <v>022 003</v>
          </cell>
        </row>
        <row r="44">
          <cell r="G44" t="str">
            <v>023 001</v>
          </cell>
        </row>
        <row r="45">
          <cell r="G45" t="str">
            <v>023 002</v>
          </cell>
        </row>
        <row r="46">
          <cell r="G46" t="str">
            <v>023 003</v>
          </cell>
        </row>
        <row r="47">
          <cell r="G47" t="str">
            <v>024 001</v>
          </cell>
        </row>
        <row r="48">
          <cell r="G48" t="str">
            <v>024 002</v>
          </cell>
        </row>
        <row r="49">
          <cell r="G49" t="str">
            <v>025 001</v>
          </cell>
        </row>
        <row r="50">
          <cell r="G50" t="str">
            <v>025 002</v>
          </cell>
        </row>
        <row r="51">
          <cell r="G51" t="str">
            <v>025 003</v>
          </cell>
        </row>
        <row r="52">
          <cell r="G52" t="str">
            <v>026 001</v>
          </cell>
        </row>
        <row r="53">
          <cell r="G53" t="str">
            <v>026 002</v>
          </cell>
        </row>
        <row r="54">
          <cell r="G54" t="str">
            <v>027 001</v>
          </cell>
        </row>
        <row r="55">
          <cell r="G55" t="str">
            <v>027 002</v>
          </cell>
        </row>
        <row r="56">
          <cell r="G56" t="str">
            <v>028 001</v>
          </cell>
        </row>
        <row r="57">
          <cell r="G57" t="str">
            <v>028 002</v>
          </cell>
        </row>
        <row r="58">
          <cell r="G58" t="str">
            <v>029 001</v>
          </cell>
        </row>
        <row r="59">
          <cell r="G59" t="str">
            <v>029 002</v>
          </cell>
        </row>
        <row r="60">
          <cell r="G60" t="str">
            <v>029 003</v>
          </cell>
        </row>
        <row r="61">
          <cell r="G61" t="str">
            <v>030 001</v>
          </cell>
        </row>
        <row r="62">
          <cell r="G62" t="str">
            <v>030 002</v>
          </cell>
        </row>
        <row r="63">
          <cell r="G63" t="str">
            <v>031 001</v>
          </cell>
        </row>
        <row r="64">
          <cell r="G64" t="str">
            <v>031 002</v>
          </cell>
        </row>
        <row r="65">
          <cell r="G65" t="str">
            <v>031 003</v>
          </cell>
        </row>
        <row r="66">
          <cell r="G66" t="str">
            <v>032 001</v>
          </cell>
        </row>
        <row r="67">
          <cell r="G67" t="str">
            <v>032 002</v>
          </cell>
        </row>
        <row r="68">
          <cell r="G68" t="str">
            <v>033 001</v>
          </cell>
        </row>
        <row r="69">
          <cell r="G69" t="str">
            <v>033 002</v>
          </cell>
        </row>
        <row r="70">
          <cell r="G70" t="str">
            <v>034 001</v>
          </cell>
        </row>
        <row r="71">
          <cell r="G71" t="str">
            <v>034 002</v>
          </cell>
        </row>
        <row r="72">
          <cell r="G72" t="str">
            <v>034 003</v>
          </cell>
        </row>
        <row r="73">
          <cell r="G73" t="str">
            <v>034 004</v>
          </cell>
        </row>
        <row r="74">
          <cell r="G74" t="str">
            <v>034 005</v>
          </cell>
        </row>
        <row r="75">
          <cell r="G75" t="str">
            <v>035 001</v>
          </cell>
        </row>
        <row r="76">
          <cell r="G76" t="str">
            <v>035 002</v>
          </cell>
        </row>
        <row r="77">
          <cell r="G77" t="str">
            <v>036 001</v>
          </cell>
        </row>
        <row r="78">
          <cell r="G78" t="str">
            <v>036 002</v>
          </cell>
        </row>
        <row r="79">
          <cell r="G79" t="str">
            <v>036 003</v>
          </cell>
        </row>
        <row r="80">
          <cell r="G80" t="str">
            <v>037 001</v>
          </cell>
        </row>
        <row r="81">
          <cell r="G81" t="str">
            <v>037 002</v>
          </cell>
        </row>
        <row r="82">
          <cell r="G82" t="str">
            <v>038 001</v>
          </cell>
        </row>
        <row r="83">
          <cell r="G83" t="str">
            <v>038 002</v>
          </cell>
        </row>
        <row r="84">
          <cell r="G84" t="str">
            <v>038 003</v>
          </cell>
        </row>
        <row r="85">
          <cell r="G85" t="str">
            <v>039 001</v>
          </cell>
        </row>
        <row r="86">
          <cell r="G86" t="str">
            <v>039 002</v>
          </cell>
        </row>
        <row r="87">
          <cell r="G87" t="str">
            <v>039 003</v>
          </cell>
        </row>
        <row r="88">
          <cell r="G88" t="str">
            <v>040 000</v>
          </cell>
        </row>
        <row r="89">
          <cell r="G89" t="str">
            <v>041 001</v>
          </cell>
        </row>
        <row r="90">
          <cell r="G90" t="str">
            <v>041 002</v>
          </cell>
        </row>
        <row r="91">
          <cell r="G91" t="str">
            <v>041 003</v>
          </cell>
        </row>
        <row r="92">
          <cell r="G92" t="str">
            <v>042 001</v>
          </cell>
        </row>
        <row r="93">
          <cell r="G93" t="str">
            <v>042 002</v>
          </cell>
        </row>
        <row r="94">
          <cell r="G94" t="str">
            <v>042 003</v>
          </cell>
        </row>
        <row r="95">
          <cell r="G95" t="str">
            <v>042 004</v>
          </cell>
        </row>
        <row r="96">
          <cell r="G96" t="str">
            <v>042 005</v>
          </cell>
        </row>
        <row r="97">
          <cell r="G97" t="str">
            <v>043 000</v>
          </cell>
        </row>
        <row r="98">
          <cell r="G98" t="str">
            <v>044 000</v>
          </cell>
        </row>
      </sheetData>
      <sheetData sheetId="1">
        <row r="7">
          <cell r="H7">
            <v>2023</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416928F-92F0-4EC0-91E8-07D545556F92}" name="TabAnneeN" displayName="TabAnneeN" ref="A3:H4" totalsRowShown="0" headerRowDxfId="2" headerRowBorderDxfId="1" tableBorderDxfId="0">
  <autoFilter ref="A3:H4" xr:uid="{7416928F-92F0-4EC0-91E8-07D545556F92}"/>
  <tableColumns count="8">
    <tableColumn id="1" xr3:uid="{80FE3913-40EF-4AD3-AE4D-E03EFE84E7AA}" name="Compte"/>
    <tableColumn id="2" xr3:uid="{39B98760-6A6D-4C4F-A70D-11CED9AA15DB}" name="Intitule"/>
    <tableColumn id="3" xr3:uid="{43F2EB3F-A616-4A9B-AAF5-1128C9E39D9A}" name="Solde_Ouv_Debit"/>
    <tableColumn id="4" xr3:uid="{72B3549F-844A-44A5-9F16-1C70DA1649BE}" name="Solde_Ouv_Credit"/>
    <tableColumn id="5" xr3:uid="{394A0271-22DD-4A3F-BAF4-29819DB3A5BA}" name="Mouv_Debit"/>
    <tableColumn id="6" xr3:uid="{5F6AF98D-8066-49C5-8FE2-F7680DE07B12}" name="Mouv_Credit"/>
    <tableColumn id="7" xr3:uid="{78D4EB1E-CDEF-4842-A718-673389AEA590}" name="Solde_Fer_Debit"/>
    <tableColumn id="8" xr3:uid="{9DADB0B6-B8F0-466B-A5ED-D9A527DEF238}" name="Solde_Fer_Credit"/>
  </tableColumns>
  <tableStyleInfo name="TableStyleLight2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3664A4B1-4A36-493F-B700-B655D057550B}" name="TabAnneeN_1" displayName="TabAnneeN_1" ref="A3:H4" totalsRowShown="0" headerRowDxfId="5" headerRowBorderDxfId="4" tableBorderDxfId="3">
  <autoFilter ref="A3:H4" xr:uid="{3664A4B1-4A36-493F-B700-B655D057550B}"/>
  <tableColumns count="8">
    <tableColumn id="1" xr3:uid="{23E1DC76-B4B2-4CEF-80D1-881019992BF4}" name="Compte"/>
    <tableColumn id="2" xr3:uid="{0C40B572-7268-4FCD-8956-661663E1DC64}" name="Intitule"/>
    <tableColumn id="3" xr3:uid="{2A3D1B1B-8913-41EB-B9EE-E0B526C6FF77}" name="Solde_Ouv_Debit"/>
    <tableColumn id="4" xr3:uid="{A35EFF81-8AC9-4036-BE46-B5DD29B2ECF8}" name="Solde_Ouv_Credit"/>
    <tableColumn id="5" xr3:uid="{0850671B-5836-40EC-B0A6-BF7524D4BB16}" name="Mouv_Debit"/>
    <tableColumn id="6" xr3:uid="{91226A38-370C-41F3-9086-80DD2D5C7CCF}" name="Mouv_Credit"/>
    <tableColumn id="7" xr3:uid="{BADC31E6-E698-441F-984E-B9C00E454D2F}" name="Solde_Fer_Debit"/>
    <tableColumn id="8" xr3:uid="{6E308DC9-BAC2-4EA0-96DC-4AC1EA55C073}" name="Solde_Fer_Credit"/>
  </tableColumns>
  <tableStyleInfo name="TableStyleLight2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3" Type="http://schemas.openxmlformats.org/officeDocument/2006/relationships/ctrlProp" Target="../ctrlProps/ctrlProp1.xml"/><Relationship Id="rId2" Type="http://schemas.openxmlformats.org/officeDocument/2006/relationships/vmlDrawing" Target="../drawings/vmlDrawing1.vml"/><Relationship Id="rId1" Type="http://schemas.openxmlformats.org/officeDocument/2006/relationships/drawing" Target="../drawings/drawing4.xml"/><Relationship Id="rId6" Type="http://schemas.openxmlformats.org/officeDocument/2006/relationships/ctrlProp" Target="../ctrlProps/ctrlProp4.xml"/><Relationship Id="rId5" Type="http://schemas.openxmlformats.org/officeDocument/2006/relationships/ctrlProp" Target="../ctrlProps/ctrlProp3.xml"/><Relationship Id="rId4" Type="http://schemas.openxmlformats.org/officeDocument/2006/relationships/ctrlProp" Target="../ctrlProps/ctrlProp2.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30.xml"/></Relationships>
</file>

<file path=xl/worksheets/_rels/sheet33.xml.rels><?xml version="1.0" encoding="UTF-8" standalone="yes"?>
<Relationships xmlns="http://schemas.openxmlformats.org/package/2006/relationships"><Relationship Id="rId1" Type="http://schemas.openxmlformats.org/officeDocument/2006/relationships/drawing" Target="../drawings/drawing31.xml"/></Relationships>
</file>

<file path=xl/worksheets/_rels/sheet34.xml.rels><?xml version="1.0" encoding="UTF-8" standalone="yes"?>
<Relationships xmlns="http://schemas.openxmlformats.org/package/2006/relationships"><Relationship Id="rId1" Type="http://schemas.openxmlformats.org/officeDocument/2006/relationships/drawing" Target="../drawings/drawing32.xml"/></Relationships>
</file>

<file path=xl/worksheets/_rels/sheet35.xml.rels><?xml version="1.0" encoding="UTF-8" standalone="yes"?>
<Relationships xmlns="http://schemas.openxmlformats.org/package/2006/relationships"><Relationship Id="rId1" Type="http://schemas.openxmlformats.org/officeDocument/2006/relationships/drawing" Target="../drawings/drawing33.xml"/></Relationships>
</file>

<file path=xl/worksheets/_rels/sheet36.xml.rels><?xml version="1.0" encoding="UTF-8" standalone="yes"?>
<Relationships xmlns="http://schemas.openxmlformats.org/package/2006/relationships"><Relationship Id="rId1" Type="http://schemas.openxmlformats.org/officeDocument/2006/relationships/drawing" Target="../drawings/drawing34.xml"/></Relationships>
</file>

<file path=xl/worksheets/_rels/sheet37.xml.rels><?xml version="1.0" encoding="UTF-8" standalone="yes"?>
<Relationships xmlns="http://schemas.openxmlformats.org/package/2006/relationships"><Relationship Id="rId1" Type="http://schemas.openxmlformats.org/officeDocument/2006/relationships/drawing" Target="../drawings/drawing35.xml"/></Relationships>
</file>

<file path=xl/worksheets/_rels/sheet38.xml.rels><?xml version="1.0" encoding="UTF-8" standalone="yes"?>
<Relationships xmlns="http://schemas.openxmlformats.org/package/2006/relationships"><Relationship Id="rId1" Type="http://schemas.openxmlformats.org/officeDocument/2006/relationships/drawing" Target="../drawings/drawing36.xml"/></Relationships>
</file>

<file path=xl/worksheets/_rels/sheet39.xml.rels><?xml version="1.0" encoding="UTF-8" standalone="yes"?>
<Relationships xmlns="http://schemas.openxmlformats.org/package/2006/relationships"><Relationship Id="rId1" Type="http://schemas.openxmlformats.org/officeDocument/2006/relationships/drawing" Target="../drawings/drawing37.xml"/></Relationships>
</file>

<file path=xl/worksheets/_rels/sheet40.xml.rels><?xml version="1.0" encoding="UTF-8" standalone="yes"?>
<Relationships xmlns="http://schemas.openxmlformats.org/package/2006/relationships"><Relationship Id="rId1" Type="http://schemas.openxmlformats.org/officeDocument/2006/relationships/drawing" Target="../drawings/drawing38.xml"/></Relationships>
</file>

<file path=xl/worksheets/_rels/sheet41.xml.rels><?xml version="1.0" encoding="UTF-8" standalone="yes"?>
<Relationships xmlns="http://schemas.openxmlformats.org/package/2006/relationships"><Relationship Id="rId1" Type="http://schemas.openxmlformats.org/officeDocument/2006/relationships/drawing" Target="../drawings/drawing39.xml"/></Relationships>
</file>

<file path=xl/worksheets/_rels/sheet42.xml.rels><?xml version="1.0" encoding="UTF-8" standalone="yes"?>
<Relationships xmlns="http://schemas.openxmlformats.org/package/2006/relationships"><Relationship Id="rId1" Type="http://schemas.openxmlformats.org/officeDocument/2006/relationships/drawing" Target="../drawings/drawing40.xml"/></Relationships>
</file>

<file path=xl/worksheets/_rels/sheet43.xml.rels><?xml version="1.0" encoding="UTF-8" standalone="yes"?>
<Relationships xmlns="http://schemas.openxmlformats.org/package/2006/relationships"><Relationship Id="rId1" Type="http://schemas.openxmlformats.org/officeDocument/2006/relationships/drawing" Target="../drawings/drawing41.xml"/></Relationships>
</file>

<file path=xl/worksheets/_rels/sheet44.xml.rels><?xml version="1.0" encoding="UTF-8" standalone="yes"?>
<Relationships xmlns="http://schemas.openxmlformats.org/package/2006/relationships"><Relationship Id="rId1" Type="http://schemas.openxmlformats.org/officeDocument/2006/relationships/drawing" Target="../drawings/drawing42.xml"/></Relationships>
</file>

<file path=xl/worksheets/_rels/sheet45.xml.rels><?xml version="1.0" encoding="UTF-8" standalone="yes"?>
<Relationships xmlns="http://schemas.openxmlformats.org/package/2006/relationships"><Relationship Id="rId1" Type="http://schemas.openxmlformats.org/officeDocument/2006/relationships/drawing" Target="../drawings/drawing43.xml"/></Relationships>
</file>

<file path=xl/worksheets/_rels/sheet46.xml.rels><?xml version="1.0" encoding="UTF-8" standalone="yes"?>
<Relationships xmlns="http://schemas.openxmlformats.org/package/2006/relationships"><Relationship Id="rId1" Type="http://schemas.openxmlformats.org/officeDocument/2006/relationships/drawing" Target="../drawings/drawing44.xml"/></Relationships>
</file>

<file path=xl/worksheets/_rels/sheet47.xml.rels><?xml version="1.0" encoding="UTF-8" standalone="yes"?>
<Relationships xmlns="http://schemas.openxmlformats.org/package/2006/relationships"><Relationship Id="rId1" Type="http://schemas.openxmlformats.org/officeDocument/2006/relationships/drawing" Target="../drawings/drawing45.xml"/></Relationships>
</file>

<file path=xl/worksheets/_rels/sheet48.xml.rels><?xml version="1.0" encoding="UTF-8" standalone="yes"?>
<Relationships xmlns="http://schemas.openxmlformats.org/package/2006/relationships"><Relationship Id="rId1" Type="http://schemas.openxmlformats.org/officeDocument/2006/relationships/drawing" Target="../drawings/drawing46.xml"/></Relationships>
</file>

<file path=xl/worksheets/_rels/sheet49.xml.rels><?xml version="1.0" encoding="UTF-8" standalone="yes"?>
<Relationships xmlns="http://schemas.openxmlformats.org/package/2006/relationships"><Relationship Id="rId1" Type="http://schemas.openxmlformats.org/officeDocument/2006/relationships/drawing" Target="../drawings/drawing47.xml"/></Relationships>
</file>

<file path=xl/worksheets/_rels/sheet50.xml.rels><?xml version="1.0" encoding="UTF-8" standalone="yes"?>
<Relationships xmlns="http://schemas.openxmlformats.org/package/2006/relationships"><Relationship Id="rId1" Type="http://schemas.openxmlformats.org/officeDocument/2006/relationships/drawing" Target="../drawings/drawing48.xml"/></Relationships>
</file>

<file path=xl/worksheets/_rels/sheet51.xml.rels><?xml version="1.0" encoding="UTF-8" standalone="yes"?>
<Relationships xmlns="http://schemas.openxmlformats.org/package/2006/relationships"><Relationship Id="rId1" Type="http://schemas.openxmlformats.org/officeDocument/2006/relationships/drawing" Target="../drawings/drawing49.xml"/></Relationships>
</file>

<file path=xl/worksheets/_rels/sheet52.xml.rels><?xml version="1.0" encoding="UTF-8" standalone="yes"?>
<Relationships xmlns="http://schemas.openxmlformats.org/package/2006/relationships"><Relationship Id="rId1" Type="http://schemas.openxmlformats.org/officeDocument/2006/relationships/drawing" Target="../drawings/drawing50.xml"/></Relationships>
</file>

<file path=xl/worksheets/_rels/sheet53.xml.rels><?xml version="1.0" encoding="UTF-8" standalone="yes"?>
<Relationships xmlns="http://schemas.openxmlformats.org/package/2006/relationships"><Relationship Id="rId1" Type="http://schemas.openxmlformats.org/officeDocument/2006/relationships/drawing" Target="../drawings/drawing51.xml"/></Relationships>
</file>

<file path=xl/worksheets/_rels/sheet54.xml.rels><?xml version="1.0" encoding="UTF-8" standalone="yes"?>
<Relationships xmlns="http://schemas.openxmlformats.org/package/2006/relationships"><Relationship Id="rId1" Type="http://schemas.openxmlformats.org/officeDocument/2006/relationships/drawing" Target="../drawings/drawing52.xml"/></Relationships>
</file>

<file path=xl/worksheets/_rels/sheet55.xml.rels><?xml version="1.0" encoding="UTF-8" standalone="yes"?>
<Relationships xmlns="http://schemas.openxmlformats.org/package/2006/relationships"><Relationship Id="rId1" Type="http://schemas.openxmlformats.org/officeDocument/2006/relationships/drawing" Target="../drawings/drawing53.xml"/></Relationships>
</file>

<file path=xl/worksheets/_rels/sheet56.xml.rels><?xml version="1.0" encoding="UTF-8" standalone="yes"?>
<Relationships xmlns="http://schemas.openxmlformats.org/package/2006/relationships"><Relationship Id="rId1" Type="http://schemas.openxmlformats.org/officeDocument/2006/relationships/drawing" Target="../drawings/drawing54.xml"/></Relationships>
</file>

<file path=xl/worksheets/_rels/sheet57.xml.rels><?xml version="1.0" encoding="UTF-8" standalone="yes"?>
<Relationships xmlns="http://schemas.openxmlformats.org/package/2006/relationships"><Relationship Id="rId1" Type="http://schemas.openxmlformats.org/officeDocument/2006/relationships/drawing" Target="../drawings/drawing55.xml"/></Relationships>
</file>

<file path=xl/worksheets/_rels/sheet58.xml.rels><?xml version="1.0" encoding="UTF-8" standalone="yes"?>
<Relationships xmlns="http://schemas.openxmlformats.org/package/2006/relationships"><Relationship Id="rId1" Type="http://schemas.openxmlformats.org/officeDocument/2006/relationships/drawing" Target="../drawings/drawing56.xml"/></Relationships>
</file>

<file path=xl/worksheets/_rels/sheet59.xml.rels><?xml version="1.0" encoding="UTF-8" standalone="yes"?>
<Relationships xmlns="http://schemas.openxmlformats.org/package/2006/relationships"><Relationship Id="rId1" Type="http://schemas.openxmlformats.org/officeDocument/2006/relationships/drawing" Target="../drawings/drawing57.xml"/></Relationships>
</file>

<file path=xl/worksheets/_rels/sheet60.xml.rels><?xml version="1.0" encoding="UTF-8" standalone="yes"?>
<Relationships xmlns="http://schemas.openxmlformats.org/package/2006/relationships"><Relationship Id="rId1" Type="http://schemas.openxmlformats.org/officeDocument/2006/relationships/drawing" Target="../drawings/drawing58.xml"/></Relationships>
</file>

<file path=xl/worksheets/_rels/sheet61.xml.rels><?xml version="1.0" encoding="UTF-8" standalone="yes"?>
<Relationships xmlns="http://schemas.openxmlformats.org/package/2006/relationships"><Relationship Id="rId1" Type="http://schemas.openxmlformats.org/officeDocument/2006/relationships/drawing" Target="../drawings/drawing59.xml"/></Relationships>
</file>

<file path=xl/worksheets/_rels/sheet62.xml.rels><?xml version="1.0" encoding="UTF-8" standalone="yes"?>
<Relationships xmlns="http://schemas.openxmlformats.org/package/2006/relationships"><Relationship Id="rId1" Type="http://schemas.openxmlformats.org/officeDocument/2006/relationships/drawing" Target="../drawings/drawing60.xml"/></Relationships>
</file>

<file path=xl/worksheets/_rels/sheet63.xml.rels><?xml version="1.0" encoding="UTF-8" standalone="yes"?>
<Relationships xmlns="http://schemas.openxmlformats.org/package/2006/relationships"><Relationship Id="rId1" Type="http://schemas.openxmlformats.org/officeDocument/2006/relationships/drawing" Target="../drawings/drawing61.xml"/></Relationships>
</file>

<file path=xl/worksheets/_rels/sheet64.xml.rels><?xml version="1.0" encoding="UTF-8" standalone="yes"?>
<Relationships xmlns="http://schemas.openxmlformats.org/package/2006/relationships"><Relationship Id="rId1" Type="http://schemas.openxmlformats.org/officeDocument/2006/relationships/drawing" Target="../drawings/drawing62.xml"/></Relationships>
</file>

<file path=xl/worksheets/_rels/sheet65.xml.rels><?xml version="1.0" encoding="UTF-8" standalone="yes"?>
<Relationships xmlns="http://schemas.openxmlformats.org/package/2006/relationships"><Relationship Id="rId1" Type="http://schemas.openxmlformats.org/officeDocument/2006/relationships/drawing" Target="../drawings/drawing63.xml"/></Relationships>
</file>

<file path=xl/worksheets/_rels/sheet66.xml.rels><?xml version="1.0" encoding="UTF-8" standalone="yes"?>
<Relationships xmlns="http://schemas.openxmlformats.org/package/2006/relationships"><Relationship Id="rId1" Type="http://schemas.openxmlformats.org/officeDocument/2006/relationships/drawing" Target="../drawings/drawing64.xml"/></Relationships>
</file>

<file path=xl/worksheets/_rels/sheet67.xml.rels><?xml version="1.0" encoding="UTF-8" standalone="yes"?>
<Relationships xmlns="http://schemas.openxmlformats.org/package/2006/relationships"><Relationship Id="rId1" Type="http://schemas.openxmlformats.org/officeDocument/2006/relationships/drawing" Target="../drawings/drawing65.xml"/></Relationships>
</file>

<file path=xl/worksheets/_rels/sheet68.xml.rels><?xml version="1.0" encoding="UTF-8" standalone="yes"?>
<Relationships xmlns="http://schemas.openxmlformats.org/package/2006/relationships"><Relationship Id="rId1" Type="http://schemas.openxmlformats.org/officeDocument/2006/relationships/drawing" Target="../drawings/drawing66.xml"/></Relationships>
</file>

<file path=xl/worksheets/_rels/sheet69.xml.rels><?xml version="1.0" encoding="UTF-8" standalone="yes"?>
<Relationships xmlns="http://schemas.openxmlformats.org/package/2006/relationships"><Relationship Id="rId1" Type="http://schemas.openxmlformats.org/officeDocument/2006/relationships/drawing" Target="../drawings/drawing67.xml"/></Relationships>
</file>

<file path=xl/worksheets/_rels/sheet70.xml.rels><?xml version="1.0" encoding="UTF-8" standalone="yes"?>
<Relationships xmlns="http://schemas.openxmlformats.org/package/2006/relationships"><Relationship Id="rId1" Type="http://schemas.openxmlformats.org/officeDocument/2006/relationships/drawing" Target="../drawings/drawing68.xml"/></Relationships>
</file>

<file path=xl/worksheets/_rels/sheet71.xml.rels><?xml version="1.0" encoding="UTF-8" standalone="yes"?>
<Relationships xmlns="http://schemas.openxmlformats.org/package/2006/relationships"><Relationship Id="rId1" Type="http://schemas.openxmlformats.org/officeDocument/2006/relationships/drawing" Target="../drawings/drawing69.xml"/></Relationships>
</file>

<file path=xl/worksheets/_rels/sheet72.xml.rels><?xml version="1.0" encoding="UTF-8" standalone="yes"?>
<Relationships xmlns="http://schemas.openxmlformats.org/package/2006/relationships"><Relationship Id="rId1" Type="http://schemas.openxmlformats.org/officeDocument/2006/relationships/drawing" Target="../drawings/drawing70.xml"/></Relationships>
</file>

<file path=xl/worksheets/_rels/sheet73.xml.rels><?xml version="1.0" encoding="UTF-8" standalone="yes"?>
<Relationships xmlns="http://schemas.openxmlformats.org/package/2006/relationships"><Relationship Id="rId1" Type="http://schemas.openxmlformats.org/officeDocument/2006/relationships/drawing" Target="../drawings/drawing71.xml"/></Relationships>
</file>

<file path=xl/worksheets/_rels/sheet74.xml.rels><?xml version="1.0" encoding="UTF-8" standalone="yes"?>
<Relationships xmlns="http://schemas.openxmlformats.org/package/2006/relationships"><Relationship Id="rId1" Type="http://schemas.openxmlformats.org/officeDocument/2006/relationships/drawing" Target="../drawings/drawing72.xml"/></Relationships>
</file>

<file path=xl/worksheets/_rels/sheet75.xml.rels><?xml version="1.0" encoding="UTF-8" standalone="yes"?>
<Relationships xmlns="http://schemas.openxmlformats.org/package/2006/relationships"><Relationship Id="rId1" Type="http://schemas.openxmlformats.org/officeDocument/2006/relationships/drawing" Target="../drawings/drawing73.xml"/></Relationships>
</file>

<file path=xl/worksheets/_rels/sheet76.xml.rels><?xml version="1.0" encoding="UTF-8" standalone="yes"?>
<Relationships xmlns="http://schemas.openxmlformats.org/package/2006/relationships"><Relationship Id="rId1" Type="http://schemas.openxmlformats.org/officeDocument/2006/relationships/drawing" Target="../drawings/drawing74.xml"/></Relationships>
</file>

<file path=xl/worksheets/_rels/sheet77.xml.rels><?xml version="1.0" encoding="UTF-8" standalone="yes"?>
<Relationships xmlns="http://schemas.openxmlformats.org/package/2006/relationships"><Relationship Id="rId1" Type="http://schemas.openxmlformats.org/officeDocument/2006/relationships/drawing" Target="../drawings/drawing75.xml"/></Relationships>
</file>

<file path=xl/worksheets/_rels/sheet78.xml.rels><?xml version="1.0" encoding="UTF-8" standalone="yes"?>
<Relationships xmlns="http://schemas.openxmlformats.org/package/2006/relationships"><Relationship Id="rId1" Type="http://schemas.openxmlformats.org/officeDocument/2006/relationships/drawing" Target="../drawings/drawing76.xml"/></Relationships>
</file>

<file path=xl/worksheets/_rels/sheet79.xml.rels><?xml version="1.0" encoding="UTF-8" standalone="yes"?>
<Relationships xmlns="http://schemas.openxmlformats.org/package/2006/relationships"><Relationship Id="rId1" Type="http://schemas.openxmlformats.org/officeDocument/2006/relationships/drawing" Target="../drawings/drawing77.xml"/></Relationships>
</file>

<file path=xl/worksheets/_rels/sheet80.xml.rels><?xml version="1.0" encoding="UTF-8" standalone="yes"?>
<Relationships xmlns="http://schemas.openxmlformats.org/package/2006/relationships"><Relationship Id="rId1" Type="http://schemas.openxmlformats.org/officeDocument/2006/relationships/drawing" Target="../drawings/drawing78.xml"/></Relationships>
</file>

<file path=xl/worksheets/_rels/sheet81.xml.rels><?xml version="1.0" encoding="UTF-8" standalone="yes"?>
<Relationships xmlns="http://schemas.openxmlformats.org/package/2006/relationships"><Relationship Id="rId1" Type="http://schemas.openxmlformats.org/officeDocument/2006/relationships/drawing" Target="../drawings/drawing79.xml"/></Relationships>
</file>

<file path=xl/worksheets/_rels/sheet82.xml.rels><?xml version="1.0" encoding="UTF-8" standalone="yes"?>
<Relationships xmlns="http://schemas.openxmlformats.org/package/2006/relationships"><Relationship Id="rId1" Type="http://schemas.openxmlformats.org/officeDocument/2006/relationships/drawing" Target="../drawings/drawing80.xml"/></Relationships>
</file>

<file path=xl/worksheets/_rels/sheet83.xml.rels><?xml version="1.0" encoding="UTF-8" standalone="yes"?>
<Relationships xmlns="http://schemas.openxmlformats.org/package/2006/relationships"><Relationship Id="rId1" Type="http://schemas.openxmlformats.org/officeDocument/2006/relationships/drawing" Target="../drawings/drawing81.xml"/></Relationships>
</file>

<file path=xl/worksheets/_rels/sheet84.xml.rels><?xml version="1.0" encoding="UTF-8" standalone="yes"?>
<Relationships xmlns="http://schemas.openxmlformats.org/package/2006/relationships"><Relationship Id="rId1" Type="http://schemas.openxmlformats.org/officeDocument/2006/relationships/drawing" Target="../drawings/drawing82.xml"/></Relationships>
</file>

<file path=xl/worksheets/_rels/sheet85.xml.rels><?xml version="1.0" encoding="UTF-8" standalone="yes"?>
<Relationships xmlns="http://schemas.openxmlformats.org/package/2006/relationships"><Relationship Id="rId1" Type="http://schemas.openxmlformats.org/officeDocument/2006/relationships/drawing" Target="../drawings/drawing83.xml"/></Relationships>
</file>

<file path=xl/worksheets/_rels/sheet86.xml.rels><?xml version="1.0" encoding="UTF-8" standalone="yes"?>
<Relationships xmlns="http://schemas.openxmlformats.org/package/2006/relationships"><Relationship Id="rId1" Type="http://schemas.openxmlformats.org/officeDocument/2006/relationships/drawing" Target="../drawings/drawing84.xml"/></Relationships>
</file>

<file path=xl/worksheets/_rels/sheet87.xml.rels><?xml version="1.0" encoding="UTF-8" standalone="yes"?>
<Relationships xmlns="http://schemas.openxmlformats.org/package/2006/relationships"><Relationship Id="rId1" Type="http://schemas.openxmlformats.org/officeDocument/2006/relationships/drawing" Target="../drawings/drawing8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E525ED-4BD9-43EC-A256-044BF8E7C052}">
  <dimension ref="A1:J24"/>
  <sheetViews>
    <sheetView topLeftCell="A4" workbookViewId="0">
      <selection sqref="A1:XFD1048576"/>
    </sheetView>
  </sheetViews>
  <sheetFormatPr baseColWidth="10" defaultColWidth="0" defaultRowHeight="15" zeroHeight="1" x14ac:dyDescent="0.25"/>
  <cols>
    <col min="1" max="1" width="32.42578125" customWidth="1"/>
    <col min="2" max="2" width="14.28515625" customWidth="1"/>
    <col min="3" max="3" width="8.7109375" customWidth="1"/>
    <col min="4" max="4" width="10.140625" customWidth="1"/>
    <col min="5" max="6" width="15.42578125" customWidth="1"/>
    <col min="7" max="7" width="17.5703125" customWidth="1"/>
    <col min="8" max="8" width="18.7109375" customWidth="1"/>
    <col min="9" max="10" width="11.5703125" customWidth="1"/>
    <col min="11" max="16384" width="11.5703125" hidden="1"/>
  </cols>
  <sheetData>
    <row r="1" spans="1:8" ht="18.75" x14ac:dyDescent="0.25">
      <c r="A1" s="735" t="s">
        <v>0</v>
      </c>
      <c r="B1" s="736"/>
      <c r="C1" s="736"/>
      <c r="D1" s="736"/>
      <c r="E1" s="736"/>
      <c r="F1" s="736"/>
      <c r="G1" s="736"/>
      <c r="H1" s="737"/>
    </row>
    <row r="2" spans="1:8" x14ac:dyDescent="0.25">
      <c r="A2" s="1" t="s">
        <v>1</v>
      </c>
      <c r="B2" s="738" t="s">
        <v>2</v>
      </c>
      <c r="C2" s="738"/>
      <c r="D2" s="738"/>
      <c r="E2" s="738"/>
      <c r="F2" s="738"/>
      <c r="G2" s="738"/>
      <c r="H2" s="738"/>
    </row>
    <row r="3" spans="1:8" x14ac:dyDescent="0.25">
      <c r="A3" s="1" t="s">
        <v>3</v>
      </c>
      <c r="B3" s="739" t="s">
        <v>4</v>
      </c>
      <c r="C3" s="739"/>
      <c r="D3" s="739"/>
      <c r="E3" s="739"/>
      <c r="F3" s="739"/>
      <c r="G3" s="739"/>
      <c r="H3" s="739"/>
    </row>
    <row r="4" spans="1:8" x14ac:dyDescent="0.25">
      <c r="A4" s="1" t="s">
        <v>5</v>
      </c>
      <c r="B4" s="745" t="s">
        <v>6</v>
      </c>
      <c r="C4" s="745"/>
      <c r="D4" s="745"/>
      <c r="E4" s="746" t="s">
        <v>7</v>
      </c>
      <c r="F4" s="747"/>
      <c r="G4" s="742" t="s">
        <v>8</v>
      </c>
      <c r="H4" s="739"/>
    </row>
    <row r="5" spans="1:8" x14ac:dyDescent="0.25">
      <c r="A5" s="1" t="s">
        <v>9</v>
      </c>
      <c r="B5" s="742">
        <v>4431</v>
      </c>
      <c r="C5" s="742"/>
      <c r="D5" s="742"/>
      <c r="E5" s="742"/>
      <c r="F5" s="742"/>
      <c r="G5" s="742"/>
      <c r="H5" s="742"/>
    </row>
    <row r="6" spans="1:8" x14ac:dyDescent="0.25">
      <c r="A6" s="3"/>
      <c r="B6" s="748" t="s">
        <v>10</v>
      </c>
      <c r="C6" s="748"/>
      <c r="D6" s="748"/>
      <c r="E6" s="748"/>
      <c r="F6" s="748"/>
      <c r="G6" s="748"/>
      <c r="H6" s="749"/>
    </row>
    <row r="7" spans="1:8" x14ac:dyDescent="0.25">
      <c r="A7" s="4" t="s">
        <v>11</v>
      </c>
      <c r="B7" s="726" t="s">
        <v>12</v>
      </c>
      <c r="C7" s="740"/>
      <c r="D7" s="741"/>
      <c r="E7" s="750" t="s">
        <v>13</v>
      </c>
      <c r="F7" s="751"/>
      <c r="G7" s="752"/>
      <c r="H7" s="2">
        <v>2023</v>
      </c>
    </row>
    <row r="8" spans="1:8" x14ac:dyDescent="0.25">
      <c r="A8" s="4" t="s">
        <v>14</v>
      </c>
      <c r="B8" s="753" t="s">
        <v>15</v>
      </c>
      <c r="C8" s="754"/>
      <c r="D8" s="754"/>
      <c r="E8" s="754"/>
      <c r="F8" s="754"/>
      <c r="G8" s="754"/>
      <c r="H8" s="755"/>
    </row>
    <row r="9" spans="1:8" x14ac:dyDescent="0.25">
      <c r="A9" s="3"/>
      <c r="B9" s="743" t="s">
        <v>16</v>
      </c>
      <c r="C9" s="743"/>
      <c r="D9" s="743"/>
      <c r="E9" s="743"/>
      <c r="F9" s="743"/>
      <c r="G9" s="743"/>
      <c r="H9" s="744"/>
    </row>
    <row r="10" spans="1:8" x14ac:dyDescent="0.25">
      <c r="A10" s="4" t="s">
        <v>17</v>
      </c>
      <c r="B10" s="721">
        <v>46022</v>
      </c>
      <c r="C10" s="721"/>
      <c r="D10" s="721"/>
      <c r="E10" s="722" t="s">
        <v>18</v>
      </c>
      <c r="F10" s="723"/>
      <c r="G10" s="726">
        <v>12</v>
      </c>
      <c r="H10" s="727"/>
    </row>
    <row r="11" spans="1:8" x14ac:dyDescent="0.25">
      <c r="A11" s="4" t="s">
        <v>19</v>
      </c>
      <c r="B11" s="728" t="s">
        <v>20</v>
      </c>
      <c r="C11" s="721"/>
      <c r="D11" s="721"/>
      <c r="E11" s="5" t="s">
        <v>21</v>
      </c>
      <c r="F11" s="6">
        <v>46022</v>
      </c>
      <c r="G11" s="7" t="s">
        <v>22</v>
      </c>
      <c r="H11" s="8">
        <v>12</v>
      </c>
    </row>
    <row r="12" spans="1:8" x14ac:dyDescent="0.25">
      <c r="A12" s="9" t="s">
        <v>23</v>
      </c>
      <c r="B12" s="729" t="s">
        <v>24</v>
      </c>
      <c r="C12" s="730"/>
      <c r="D12" s="730"/>
      <c r="E12" s="730"/>
      <c r="F12" s="731"/>
      <c r="G12" s="10" t="s">
        <v>25</v>
      </c>
      <c r="H12" s="11" t="s">
        <v>26</v>
      </c>
    </row>
    <row r="13" spans="1:8" x14ac:dyDescent="0.25">
      <c r="A13" s="12" t="s">
        <v>27</v>
      </c>
      <c r="B13" s="732" t="s">
        <v>28</v>
      </c>
      <c r="C13" s="733"/>
      <c r="D13" s="13" t="s">
        <v>29</v>
      </c>
      <c r="E13" s="734" t="s">
        <v>30</v>
      </c>
      <c r="F13" s="734"/>
      <c r="G13" s="10" t="s">
        <v>31</v>
      </c>
      <c r="H13" s="14">
        <v>25242546</v>
      </c>
    </row>
    <row r="14" spans="1:8" x14ac:dyDescent="0.25"/>
    <row r="15" spans="1:8" x14ac:dyDescent="0.25"/>
    <row r="16" spans="1:8" ht="18.75" x14ac:dyDescent="0.25">
      <c r="A16" s="735" t="s">
        <v>32</v>
      </c>
      <c r="B16" s="736"/>
      <c r="C16" s="736"/>
      <c r="D16" s="736"/>
      <c r="E16" s="736"/>
      <c r="F16" s="736"/>
      <c r="G16" s="736"/>
      <c r="H16" s="737"/>
    </row>
    <row r="17" spans="1:8" x14ac:dyDescent="0.25">
      <c r="A17" s="1" t="s">
        <v>33</v>
      </c>
      <c r="B17" s="738" t="s">
        <v>34</v>
      </c>
      <c r="C17" s="738"/>
      <c r="D17" s="738"/>
      <c r="E17" s="738"/>
      <c r="F17" s="738"/>
      <c r="G17" s="738"/>
      <c r="H17" s="738"/>
    </row>
    <row r="18" spans="1:8" x14ac:dyDescent="0.25">
      <c r="A18" s="1" t="s">
        <v>3</v>
      </c>
      <c r="B18" s="739">
        <v>555555</v>
      </c>
      <c r="C18" s="739"/>
      <c r="D18" s="739"/>
      <c r="E18" s="739"/>
      <c r="F18" s="739"/>
      <c r="G18" s="739"/>
      <c r="H18" s="739"/>
    </row>
    <row r="19" spans="1:8" x14ac:dyDescent="0.25">
      <c r="A19" s="1" t="s">
        <v>35</v>
      </c>
      <c r="B19" s="726" t="s">
        <v>36</v>
      </c>
      <c r="C19" s="740"/>
      <c r="D19" s="740"/>
      <c r="E19" s="740"/>
      <c r="F19" s="740"/>
      <c r="G19" s="740"/>
      <c r="H19" s="741"/>
    </row>
    <row r="20" spans="1:8" x14ac:dyDescent="0.25">
      <c r="A20" s="1" t="s">
        <v>37</v>
      </c>
      <c r="B20" s="742" t="s">
        <v>38</v>
      </c>
      <c r="C20" s="742"/>
      <c r="D20" s="742"/>
      <c r="E20" s="742"/>
      <c r="F20" s="742"/>
      <c r="G20" s="742"/>
      <c r="H20" s="742"/>
    </row>
    <row r="21" spans="1:8" x14ac:dyDescent="0.25">
      <c r="A21" s="4" t="s">
        <v>39</v>
      </c>
      <c r="B21" s="721">
        <v>44713</v>
      </c>
      <c r="C21" s="721"/>
      <c r="D21" s="721"/>
      <c r="E21" s="722" t="s">
        <v>40</v>
      </c>
      <c r="F21" s="723"/>
      <c r="G21" s="724">
        <v>45991</v>
      </c>
      <c r="H21" s="725"/>
    </row>
    <row r="22" spans="1:8" x14ac:dyDescent="0.25"/>
    <row r="23" spans="1:8" x14ac:dyDescent="0.25"/>
    <row r="24" spans="1:8" x14ac:dyDescent="0.25"/>
  </sheetData>
  <mergeCells count="27">
    <mergeCell ref="B9:H9"/>
    <mergeCell ref="A1:H1"/>
    <mergeCell ref="B2:H2"/>
    <mergeCell ref="B3:H3"/>
    <mergeCell ref="B4:D4"/>
    <mergeCell ref="E4:F4"/>
    <mergeCell ref="G4:H4"/>
    <mergeCell ref="B5:H5"/>
    <mergeCell ref="B6:H6"/>
    <mergeCell ref="B7:D7"/>
    <mergeCell ref="E7:G7"/>
    <mergeCell ref="B8:H8"/>
    <mergeCell ref="B21:D21"/>
    <mergeCell ref="E21:F21"/>
    <mergeCell ref="G21:H21"/>
    <mergeCell ref="B10:D10"/>
    <mergeCell ref="E10:F10"/>
    <mergeCell ref="G10:H10"/>
    <mergeCell ref="B11:D11"/>
    <mergeCell ref="B12:F12"/>
    <mergeCell ref="B13:C13"/>
    <mergeCell ref="E13:F13"/>
    <mergeCell ref="A16:H16"/>
    <mergeCell ref="B17:H17"/>
    <mergeCell ref="B18:H18"/>
    <mergeCell ref="B19:H19"/>
    <mergeCell ref="B20:H20"/>
  </mergeCells>
  <dataValidations count="1">
    <dataValidation type="whole" showInputMessage="1" showErrorMessage="1" errorTitle="Erreur - Valeur" error="Valeur non permise" sqref="H7" xr:uid="{442EC645-3CB7-4326-8E8F-51B7C9B58906}">
      <formula1>1900</formula1>
      <formula2>2200</formula2>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467A46-0A02-4052-AAA2-2D53B9BCDB1D}">
  <dimension ref="A1:T123"/>
  <sheetViews>
    <sheetView workbookViewId="0">
      <selection activeCell="M6" sqref="M6"/>
    </sheetView>
  </sheetViews>
  <sheetFormatPr baseColWidth="10" defaultColWidth="0" defaultRowHeight="13.15" customHeight="1" x14ac:dyDescent="0.25"/>
  <cols>
    <col min="1" max="1" width="3.7109375" customWidth="1"/>
    <col min="2" max="2" width="28.28515625" customWidth="1"/>
    <col min="3" max="6" width="11.5703125" customWidth="1"/>
    <col min="7" max="7" width="9.42578125" customWidth="1"/>
    <col min="8" max="8" width="6.7109375" customWidth="1"/>
    <col min="9" max="9" width="9" customWidth="1"/>
    <col min="10" max="10" width="11.5703125" customWidth="1"/>
    <col min="11" max="11" width="4.28515625" customWidth="1"/>
    <col min="12" max="13" width="3" customWidth="1"/>
    <col min="14" max="20" width="11.5703125" customWidth="1"/>
    <col min="21" max="16384" width="11.5703125" hidden="1"/>
  </cols>
  <sheetData>
    <row r="1" spans="1:19" ht="15" x14ac:dyDescent="0.25"/>
    <row r="2" spans="1:19" ht="15" x14ac:dyDescent="0.25">
      <c r="A2" s="15"/>
      <c r="B2" s="15"/>
      <c r="C2" s="15"/>
      <c r="D2" s="15"/>
      <c r="E2" s="15"/>
      <c r="F2" s="15"/>
      <c r="G2" s="15"/>
      <c r="H2" s="15"/>
      <c r="I2" s="15"/>
      <c r="J2" s="15"/>
      <c r="K2" s="15"/>
      <c r="N2" s="16"/>
      <c r="O2" s="16"/>
      <c r="P2" s="16"/>
      <c r="Q2" s="16"/>
      <c r="R2" s="16"/>
      <c r="S2" s="16"/>
    </row>
    <row r="3" spans="1:19" ht="15" x14ac:dyDescent="0.25">
      <c r="A3" s="15"/>
      <c r="B3" s="15"/>
      <c r="C3" s="15"/>
      <c r="D3" s="15"/>
      <c r="E3" s="15"/>
      <c r="F3" s="15"/>
      <c r="G3" s="15"/>
      <c r="H3" s="15"/>
      <c r="I3" s="15"/>
      <c r="J3" s="15"/>
      <c r="K3" s="15"/>
      <c r="N3" s="16"/>
      <c r="O3" s="16"/>
      <c r="P3" s="16"/>
      <c r="Q3" s="16"/>
      <c r="R3" s="16"/>
      <c r="S3" s="16"/>
    </row>
    <row r="4" spans="1:19" ht="15" x14ac:dyDescent="0.25">
      <c r="A4" s="15"/>
      <c r="B4" s="15"/>
      <c r="C4" s="15"/>
      <c r="D4" s="15"/>
      <c r="E4" s="15"/>
      <c r="F4" s="15"/>
      <c r="G4" s="15"/>
      <c r="H4" s="15"/>
      <c r="I4" s="15"/>
      <c r="J4" s="15"/>
      <c r="K4" s="15"/>
      <c r="N4" s="16"/>
      <c r="O4" s="16"/>
      <c r="P4" s="16"/>
      <c r="Q4" s="16"/>
      <c r="R4" s="16"/>
      <c r="S4" s="16"/>
    </row>
    <row r="5" spans="1:19" ht="15" x14ac:dyDescent="0.25">
      <c r="A5" s="15"/>
      <c r="B5" s="15"/>
      <c r="C5" s="15"/>
      <c r="D5" s="15"/>
      <c r="E5" s="15"/>
      <c r="F5" s="15"/>
      <c r="G5" s="15"/>
      <c r="H5" s="15"/>
      <c r="I5" s="15"/>
      <c r="J5" s="15"/>
      <c r="K5" s="15"/>
      <c r="N5" s="16"/>
      <c r="O5" s="16"/>
      <c r="P5" s="16"/>
      <c r="Q5" s="16"/>
      <c r="R5" s="16"/>
      <c r="S5" s="16"/>
    </row>
    <row r="6" spans="1:19" ht="15" x14ac:dyDescent="0.25">
      <c r="A6" s="15"/>
      <c r="B6" s="15"/>
      <c r="C6" s="15"/>
      <c r="D6" s="15"/>
      <c r="E6" s="15"/>
      <c r="F6" s="15"/>
      <c r="G6" s="15"/>
      <c r="H6" s="15"/>
      <c r="I6" s="15"/>
      <c r="J6" s="15"/>
      <c r="K6" s="15"/>
      <c r="N6" s="16"/>
      <c r="O6" s="16"/>
      <c r="P6" s="16"/>
      <c r="Q6" s="16"/>
      <c r="R6" s="16"/>
      <c r="S6" s="16"/>
    </row>
    <row r="7" spans="1:19" ht="15" x14ac:dyDescent="0.25">
      <c r="A7" s="15"/>
      <c r="B7" s="15"/>
      <c r="C7" s="15"/>
      <c r="D7" s="15"/>
      <c r="E7" s="15"/>
      <c r="F7" s="15"/>
      <c r="G7" s="15"/>
      <c r="H7" s="15"/>
      <c r="I7" s="15"/>
      <c r="J7" s="15"/>
      <c r="K7" s="15"/>
      <c r="N7" s="16"/>
      <c r="O7" s="16"/>
      <c r="P7" s="16"/>
      <c r="Q7" s="16"/>
      <c r="R7" s="16"/>
      <c r="S7" s="16"/>
    </row>
    <row r="8" spans="1:19" ht="15" x14ac:dyDescent="0.25">
      <c r="A8" s="15"/>
      <c r="B8" s="15"/>
      <c r="C8" s="15"/>
      <c r="D8" s="15"/>
      <c r="E8" s="15"/>
      <c r="F8" s="15"/>
      <c r="G8" s="15"/>
      <c r="H8" s="15"/>
      <c r="I8" s="15"/>
      <c r="J8" s="15"/>
      <c r="K8" s="15"/>
      <c r="N8" s="16"/>
      <c r="O8" s="16"/>
      <c r="P8" s="16"/>
      <c r="Q8" s="16"/>
      <c r="R8" s="16"/>
      <c r="S8" s="16"/>
    </row>
    <row r="9" spans="1:19" ht="15" x14ac:dyDescent="0.25">
      <c r="A9" s="15"/>
      <c r="B9" s="15"/>
      <c r="C9" s="15"/>
      <c r="D9" s="15"/>
      <c r="E9" s="15"/>
      <c r="F9" s="15"/>
      <c r="G9" s="15"/>
      <c r="H9" s="15"/>
      <c r="I9" s="15"/>
      <c r="J9" s="15"/>
      <c r="K9" s="15"/>
      <c r="N9" s="16"/>
      <c r="O9" s="16"/>
      <c r="P9" s="16"/>
      <c r="Q9" s="16"/>
      <c r="R9" s="16"/>
      <c r="S9" s="16"/>
    </row>
    <row r="10" spans="1:19" ht="15" x14ac:dyDescent="0.25">
      <c r="A10" s="15"/>
      <c r="B10" s="15"/>
      <c r="C10" s="15"/>
      <c r="D10" s="15"/>
      <c r="E10" s="15"/>
      <c r="F10" s="15"/>
      <c r="G10" s="15"/>
      <c r="H10" s="15"/>
      <c r="I10" s="15"/>
      <c r="J10" s="15"/>
      <c r="K10" s="15"/>
      <c r="N10" s="16"/>
      <c r="O10" s="16"/>
      <c r="P10" s="16"/>
      <c r="Q10" s="16"/>
      <c r="R10" s="16"/>
      <c r="S10" s="16"/>
    </row>
    <row r="11" spans="1:19" ht="15" x14ac:dyDescent="0.25">
      <c r="A11" s="15"/>
      <c r="B11" s="15"/>
      <c r="C11" s="15"/>
      <c r="D11" s="15"/>
      <c r="E11" s="15"/>
      <c r="F11" s="15"/>
      <c r="G11" s="15"/>
      <c r="H11" s="15"/>
      <c r="I11" s="15"/>
      <c r="J11" s="15"/>
      <c r="K11" s="15"/>
      <c r="N11" s="16"/>
      <c r="O11" s="16"/>
      <c r="P11" s="16"/>
      <c r="Q11" s="16"/>
      <c r="R11" s="16"/>
      <c r="S11" s="16"/>
    </row>
    <row r="12" spans="1:19" ht="15" x14ac:dyDescent="0.25">
      <c r="A12" s="15"/>
      <c r="B12" s="15"/>
      <c r="C12" s="15"/>
      <c r="D12" s="15"/>
      <c r="E12" s="15"/>
      <c r="F12" s="15"/>
      <c r="G12" s="15"/>
      <c r="H12" s="15"/>
      <c r="I12" s="15"/>
      <c r="J12" s="15"/>
      <c r="K12" s="15"/>
      <c r="N12" s="16"/>
      <c r="O12" s="16"/>
      <c r="P12" s="16"/>
      <c r="Q12" s="16"/>
      <c r="R12" s="16"/>
      <c r="S12" s="16"/>
    </row>
    <row r="13" spans="1:19" ht="15" x14ac:dyDescent="0.25">
      <c r="A13" s="15"/>
      <c r="B13" s="15"/>
      <c r="C13" s="15"/>
      <c r="D13" s="15"/>
      <c r="E13" s="15"/>
      <c r="F13" s="15"/>
      <c r="G13" s="15"/>
      <c r="H13" s="15"/>
      <c r="I13" s="15"/>
      <c r="J13" s="15"/>
      <c r="K13" s="15"/>
      <c r="N13" s="16"/>
      <c r="O13" s="16"/>
      <c r="P13" s="16"/>
      <c r="Q13" s="16"/>
      <c r="R13" s="16"/>
      <c r="S13" s="16"/>
    </row>
    <row r="14" spans="1:19" ht="15" x14ac:dyDescent="0.25">
      <c r="A14" s="15"/>
      <c r="B14" s="15"/>
      <c r="C14" s="15"/>
      <c r="D14" s="15"/>
      <c r="E14" s="15"/>
      <c r="F14" s="15"/>
      <c r="G14" s="15"/>
      <c r="H14" s="15"/>
      <c r="I14" s="15"/>
      <c r="J14" s="15"/>
      <c r="K14" s="15"/>
      <c r="N14" s="16"/>
      <c r="O14" s="16"/>
      <c r="P14" s="16"/>
      <c r="Q14" s="16"/>
      <c r="R14" s="16"/>
      <c r="S14" s="16"/>
    </row>
    <row r="15" spans="1:19" ht="15" x14ac:dyDescent="0.25">
      <c r="A15" s="15"/>
      <c r="B15" s="15"/>
      <c r="C15" s="15"/>
      <c r="D15" s="15"/>
      <c r="E15" s="15"/>
      <c r="F15" s="15"/>
      <c r="G15" s="15"/>
      <c r="H15" s="15"/>
      <c r="I15" s="15"/>
      <c r="J15" s="15"/>
      <c r="K15" s="15"/>
      <c r="N15" s="16"/>
      <c r="O15" s="16"/>
      <c r="P15" s="16"/>
      <c r="Q15" s="16"/>
      <c r="R15" s="16"/>
      <c r="S15" s="16"/>
    </row>
    <row r="16" spans="1:19" ht="15" x14ac:dyDescent="0.25">
      <c r="A16" s="15"/>
      <c r="B16" s="15"/>
      <c r="C16" s="15"/>
      <c r="D16" s="15"/>
      <c r="E16" s="15"/>
      <c r="F16" s="15"/>
      <c r="G16" s="15"/>
      <c r="H16" s="15"/>
      <c r="I16" s="15"/>
      <c r="J16" s="15"/>
      <c r="K16" s="15"/>
      <c r="N16" s="16"/>
      <c r="O16" s="16"/>
      <c r="P16" s="16"/>
      <c r="Q16" s="16"/>
      <c r="R16" s="16"/>
      <c r="S16" s="16"/>
    </row>
    <row r="17" spans="1:19" ht="15" x14ac:dyDescent="0.25">
      <c r="A17" s="15"/>
      <c r="B17" s="15"/>
      <c r="C17" s="15"/>
      <c r="D17" s="15"/>
      <c r="E17" s="15"/>
      <c r="F17" s="15"/>
      <c r="G17" s="15"/>
      <c r="H17" s="15"/>
      <c r="I17" s="15"/>
      <c r="J17" s="15"/>
      <c r="K17" s="15"/>
      <c r="N17" s="16"/>
      <c r="O17" s="16"/>
      <c r="P17" s="16"/>
      <c r="Q17" s="16"/>
      <c r="R17" s="16"/>
      <c r="S17" s="16"/>
    </row>
    <row r="18" spans="1:19" ht="15" x14ac:dyDescent="0.25">
      <c r="A18" s="15"/>
      <c r="B18" s="15"/>
      <c r="C18" s="15"/>
      <c r="D18" s="15"/>
      <c r="E18" s="15"/>
      <c r="F18" s="15"/>
      <c r="G18" s="15"/>
      <c r="H18" s="15"/>
      <c r="I18" s="15"/>
      <c r="J18" s="15"/>
      <c r="K18" s="15"/>
      <c r="N18" s="16"/>
      <c r="O18" s="16"/>
      <c r="P18" s="16"/>
      <c r="Q18" s="16"/>
      <c r="R18" s="16"/>
      <c r="S18" s="16"/>
    </row>
    <row r="19" spans="1:19" ht="15" x14ac:dyDescent="0.25">
      <c r="A19" s="15"/>
      <c r="B19" s="15"/>
      <c r="C19" s="15"/>
      <c r="D19" s="15"/>
      <c r="E19" s="15"/>
      <c r="F19" s="15"/>
      <c r="G19" s="15"/>
      <c r="H19" s="15"/>
      <c r="I19" s="15"/>
      <c r="J19" s="15"/>
      <c r="K19" s="15"/>
      <c r="N19" s="16"/>
      <c r="O19" s="16"/>
      <c r="P19" s="16"/>
      <c r="Q19" s="16"/>
      <c r="R19" s="16"/>
      <c r="S19" s="16"/>
    </row>
    <row r="20" spans="1:19" ht="15" x14ac:dyDescent="0.25">
      <c r="A20" s="15"/>
      <c r="B20" s="15"/>
      <c r="C20" s="15"/>
      <c r="D20" s="15"/>
      <c r="E20" s="15"/>
      <c r="F20" s="15"/>
      <c r="G20" s="15"/>
      <c r="H20" s="15"/>
      <c r="I20" s="15"/>
      <c r="J20" s="15"/>
      <c r="K20" s="15"/>
      <c r="N20" s="16"/>
      <c r="O20" s="16"/>
      <c r="P20" s="16"/>
      <c r="Q20" s="16"/>
      <c r="R20" s="16"/>
      <c r="S20" s="16"/>
    </row>
    <row r="21" spans="1:19" ht="15" x14ac:dyDescent="0.25">
      <c r="A21" s="15"/>
      <c r="B21" s="15"/>
      <c r="C21" s="15"/>
      <c r="D21" s="15"/>
      <c r="E21" s="15"/>
      <c r="F21" s="15"/>
      <c r="G21" s="15"/>
      <c r="H21" s="15"/>
      <c r="I21" s="15"/>
      <c r="J21" s="15"/>
      <c r="K21" s="15"/>
      <c r="N21" s="16"/>
      <c r="O21" s="16"/>
      <c r="P21" s="16"/>
      <c r="Q21" s="16"/>
      <c r="R21" s="16"/>
      <c r="S21" s="16"/>
    </row>
    <row r="22" spans="1:19" ht="15" x14ac:dyDescent="0.25">
      <c r="A22" s="15"/>
      <c r="B22" s="15"/>
      <c r="C22" s="15"/>
      <c r="D22" s="15"/>
      <c r="E22" s="15"/>
      <c r="F22" s="15"/>
      <c r="G22" s="15"/>
      <c r="H22" s="15"/>
      <c r="I22" s="15"/>
      <c r="J22" s="15"/>
      <c r="K22" s="15"/>
      <c r="N22" s="16"/>
      <c r="O22" s="16"/>
      <c r="P22" s="16"/>
      <c r="Q22" s="16"/>
      <c r="R22" s="16"/>
      <c r="S22" s="16"/>
    </row>
    <row r="23" spans="1:19" ht="15" x14ac:dyDescent="0.25">
      <c r="A23" s="15"/>
      <c r="B23" s="15"/>
      <c r="C23" s="15"/>
      <c r="D23" s="15"/>
      <c r="E23" s="15"/>
      <c r="F23" s="15"/>
      <c r="G23" s="15"/>
      <c r="H23" s="15"/>
      <c r="I23" s="15"/>
      <c r="J23" s="15"/>
      <c r="K23" s="15"/>
      <c r="N23" s="16"/>
      <c r="O23" s="16"/>
      <c r="P23" s="16"/>
      <c r="Q23" s="16"/>
      <c r="R23" s="16"/>
      <c r="S23" s="16"/>
    </row>
    <row r="24" spans="1:19" ht="15" x14ac:dyDescent="0.25">
      <c r="A24" s="15"/>
      <c r="B24" s="15"/>
      <c r="C24" s="15"/>
      <c r="D24" s="15"/>
      <c r="E24" s="15"/>
      <c r="F24" s="15"/>
      <c r="G24" s="15"/>
      <c r="H24" s="15"/>
      <c r="I24" s="15"/>
      <c r="J24" s="15"/>
      <c r="K24" s="15"/>
      <c r="N24" s="16"/>
      <c r="O24" s="16"/>
      <c r="P24" s="16"/>
      <c r="Q24" s="16"/>
      <c r="R24" s="16"/>
      <c r="S24" s="16"/>
    </row>
    <row r="25" spans="1:19" ht="15" x14ac:dyDescent="0.25">
      <c r="A25" s="15"/>
      <c r="B25" s="15"/>
      <c r="C25" s="15"/>
      <c r="D25" s="15"/>
      <c r="E25" s="15"/>
      <c r="F25" s="15"/>
      <c r="G25" s="15"/>
      <c r="H25" s="15"/>
      <c r="I25" s="15"/>
      <c r="J25" s="15"/>
      <c r="K25" s="15"/>
      <c r="N25" s="16"/>
      <c r="O25" s="16"/>
      <c r="P25" s="16"/>
      <c r="Q25" s="16"/>
      <c r="R25" s="16"/>
      <c r="S25" s="16"/>
    </row>
    <row r="26" spans="1:19" ht="15" x14ac:dyDescent="0.25">
      <c r="A26" s="15"/>
      <c r="B26" s="15"/>
      <c r="C26" s="15"/>
      <c r="D26" s="15"/>
      <c r="E26" s="15"/>
      <c r="F26" s="15"/>
      <c r="G26" s="15"/>
      <c r="H26" s="15"/>
      <c r="I26" s="15"/>
      <c r="J26" s="15"/>
      <c r="K26" s="15"/>
      <c r="N26" s="16"/>
      <c r="O26" s="16"/>
      <c r="P26" s="16"/>
      <c r="Q26" s="16"/>
      <c r="R26" s="16"/>
      <c r="S26" s="16"/>
    </row>
    <row r="27" spans="1:19" ht="15" x14ac:dyDescent="0.25">
      <c r="A27" s="15"/>
      <c r="B27" s="15"/>
      <c r="C27" s="15"/>
      <c r="D27" s="15"/>
      <c r="E27" s="15"/>
      <c r="F27" s="15"/>
      <c r="G27" s="15"/>
      <c r="H27" s="15"/>
      <c r="I27" s="15"/>
      <c r="J27" s="15"/>
      <c r="K27" s="15"/>
      <c r="N27" s="16"/>
      <c r="O27" s="16"/>
      <c r="P27" s="16"/>
      <c r="Q27" s="16"/>
      <c r="R27" s="16"/>
      <c r="S27" s="16"/>
    </row>
    <row r="28" spans="1:19" ht="15" x14ac:dyDescent="0.25">
      <c r="A28" s="15"/>
      <c r="B28" s="15"/>
      <c r="C28" s="15"/>
      <c r="D28" s="15"/>
      <c r="E28" s="15"/>
      <c r="F28" s="15"/>
      <c r="G28" s="15"/>
      <c r="H28" s="15"/>
      <c r="I28" s="15"/>
      <c r="J28" s="15"/>
      <c r="K28" s="15"/>
      <c r="N28" s="16"/>
      <c r="O28" s="16"/>
      <c r="P28" s="16"/>
      <c r="Q28" s="16"/>
      <c r="R28" s="16"/>
      <c r="S28" s="16"/>
    </row>
    <row r="29" spans="1:19" ht="15" x14ac:dyDescent="0.25">
      <c r="A29" s="15"/>
      <c r="B29" s="15"/>
      <c r="C29" s="15"/>
      <c r="D29" s="15"/>
      <c r="E29" s="15"/>
      <c r="F29" s="15"/>
      <c r="G29" s="15"/>
      <c r="H29" s="15"/>
      <c r="I29" s="15"/>
      <c r="J29" s="15"/>
      <c r="K29" s="15"/>
      <c r="N29" s="16"/>
      <c r="O29" s="16"/>
      <c r="P29" s="16"/>
      <c r="Q29" s="16"/>
      <c r="R29" s="16"/>
      <c r="S29" s="16"/>
    </row>
    <row r="30" spans="1:19" ht="15" x14ac:dyDescent="0.25">
      <c r="A30" s="15"/>
      <c r="B30" s="15"/>
      <c r="C30" s="15"/>
      <c r="D30" s="15"/>
      <c r="E30" s="15"/>
      <c r="F30" s="15"/>
      <c r="G30" s="15"/>
      <c r="H30" s="15"/>
      <c r="I30" s="15"/>
      <c r="J30" s="15"/>
      <c r="K30" s="15"/>
      <c r="N30" s="16"/>
      <c r="O30" s="16"/>
      <c r="P30" s="16"/>
      <c r="Q30" s="16"/>
      <c r="R30" s="16"/>
      <c r="S30" s="16"/>
    </row>
    <row r="31" spans="1:19" ht="15" x14ac:dyDescent="0.25">
      <c r="A31" s="15"/>
      <c r="B31" s="15"/>
      <c r="C31" s="15"/>
      <c r="D31" s="15"/>
      <c r="E31" s="15"/>
      <c r="F31" s="15"/>
      <c r="G31" s="15"/>
      <c r="H31" s="15"/>
      <c r="I31" s="15"/>
      <c r="J31" s="15"/>
      <c r="K31" s="15"/>
      <c r="N31" s="16"/>
      <c r="O31" s="16"/>
      <c r="P31" s="16"/>
      <c r="Q31" s="16"/>
      <c r="R31" s="16"/>
      <c r="S31" s="16"/>
    </row>
    <row r="32" spans="1:19" ht="15" x14ac:dyDescent="0.25">
      <c r="A32" s="15"/>
      <c r="B32" s="15"/>
      <c r="C32" s="15"/>
      <c r="D32" s="15"/>
      <c r="E32" s="15"/>
      <c r="F32" s="15"/>
      <c r="G32" s="15"/>
      <c r="H32" s="15"/>
      <c r="I32" s="15"/>
      <c r="J32" s="15"/>
      <c r="K32" s="15"/>
      <c r="N32" s="16"/>
      <c r="O32" s="16"/>
      <c r="P32" s="16"/>
      <c r="Q32" s="16"/>
      <c r="R32" s="16"/>
      <c r="S32" s="16"/>
    </row>
    <row r="33" spans="1:19" ht="15" x14ac:dyDescent="0.25">
      <c r="A33" s="15"/>
      <c r="B33" s="15"/>
      <c r="C33" s="15"/>
      <c r="D33" s="15"/>
      <c r="E33" s="15"/>
      <c r="F33" s="15"/>
      <c r="G33" s="15"/>
      <c r="H33" s="15"/>
      <c r="I33" s="15"/>
      <c r="J33" s="15"/>
      <c r="K33" s="15"/>
      <c r="N33" s="16"/>
      <c r="O33" s="16"/>
      <c r="P33" s="16"/>
      <c r="Q33" s="16"/>
      <c r="R33" s="16"/>
      <c r="S33" s="16"/>
    </row>
    <row r="34" spans="1:19" ht="15" x14ac:dyDescent="0.25">
      <c r="A34" s="15"/>
      <c r="B34" s="15"/>
      <c r="C34" s="15"/>
      <c r="D34" s="15"/>
      <c r="E34" s="15"/>
      <c r="F34" s="15"/>
      <c r="G34" s="15"/>
      <c r="H34" s="15"/>
      <c r="I34" s="15"/>
      <c r="J34" s="15"/>
      <c r="K34" s="15"/>
      <c r="N34" s="16"/>
      <c r="O34" s="16"/>
      <c r="P34" s="16"/>
      <c r="Q34" s="16"/>
      <c r="R34" s="16"/>
      <c r="S34" s="16"/>
    </row>
    <row r="35" spans="1:19" ht="15" x14ac:dyDescent="0.25">
      <c r="A35" s="15"/>
      <c r="B35" s="15"/>
      <c r="C35" s="15"/>
      <c r="D35" s="15"/>
      <c r="E35" s="15"/>
      <c r="F35" s="15"/>
      <c r="G35" s="15"/>
      <c r="H35" s="15"/>
      <c r="I35" s="15"/>
      <c r="J35" s="15"/>
      <c r="K35" s="15"/>
      <c r="N35" s="16"/>
      <c r="O35" s="16"/>
      <c r="P35" s="16"/>
      <c r="Q35" s="16"/>
      <c r="R35" s="16"/>
      <c r="S35" s="16"/>
    </row>
    <row r="36" spans="1:19" ht="15" x14ac:dyDescent="0.25">
      <c r="A36" s="15"/>
      <c r="B36" s="15"/>
      <c r="C36" s="15"/>
      <c r="D36" s="15"/>
      <c r="E36" s="15"/>
      <c r="F36" s="15"/>
      <c r="G36" s="15"/>
      <c r="H36" s="15"/>
      <c r="I36" s="15"/>
      <c r="J36" s="15"/>
      <c r="K36" s="15"/>
      <c r="N36" s="16"/>
      <c r="O36" s="16"/>
      <c r="P36" s="16"/>
      <c r="Q36" s="16"/>
      <c r="R36" s="16"/>
      <c r="S36" s="16"/>
    </row>
    <row r="37" spans="1:19" ht="15" x14ac:dyDescent="0.25">
      <c r="A37" s="15"/>
      <c r="B37" s="15"/>
      <c r="C37" s="15"/>
      <c r="D37" s="15"/>
      <c r="E37" s="15"/>
      <c r="F37" s="15"/>
      <c r="G37" s="15"/>
      <c r="H37" s="15"/>
      <c r="I37" s="15"/>
      <c r="J37" s="15"/>
      <c r="K37" s="15"/>
      <c r="N37" s="16"/>
      <c r="O37" s="16"/>
      <c r="P37" s="16"/>
      <c r="Q37" s="16"/>
      <c r="R37" s="16"/>
      <c r="S37" s="16"/>
    </row>
    <row r="38" spans="1:19" ht="15" x14ac:dyDescent="0.25">
      <c r="A38" s="15"/>
      <c r="B38" s="15"/>
      <c r="C38" s="15"/>
      <c r="D38" s="15"/>
      <c r="E38" s="15"/>
      <c r="F38" s="15"/>
      <c r="G38" s="15"/>
      <c r="H38" s="15"/>
      <c r="I38" s="15"/>
      <c r="J38" s="15"/>
      <c r="K38" s="15"/>
      <c r="N38" s="16"/>
      <c r="O38" s="16"/>
      <c r="P38" s="16"/>
      <c r="Q38" s="16"/>
      <c r="R38" s="16"/>
      <c r="S38" s="16"/>
    </row>
    <row r="39" spans="1:19" ht="15" x14ac:dyDescent="0.25">
      <c r="A39" s="15"/>
      <c r="B39" s="15"/>
      <c r="C39" s="15"/>
      <c r="D39" s="15"/>
      <c r="E39" s="15"/>
      <c r="F39" s="15"/>
      <c r="G39" s="15"/>
      <c r="H39" s="15"/>
      <c r="I39" s="15"/>
      <c r="J39" s="15"/>
      <c r="K39" s="15"/>
      <c r="N39" s="16"/>
      <c r="O39" s="16"/>
      <c r="P39" s="16"/>
      <c r="Q39" s="16"/>
      <c r="R39" s="16"/>
      <c r="S39" s="16"/>
    </row>
    <row r="40" spans="1:19" ht="15" x14ac:dyDescent="0.25">
      <c r="A40" s="15"/>
      <c r="B40" s="15"/>
      <c r="C40" s="15"/>
      <c r="D40" s="15"/>
      <c r="E40" s="15"/>
      <c r="F40" s="15"/>
      <c r="G40" s="15"/>
      <c r="H40" s="15"/>
      <c r="I40" s="15"/>
      <c r="J40" s="15"/>
      <c r="K40" s="15"/>
      <c r="N40" s="16"/>
      <c r="O40" s="16"/>
      <c r="P40" s="16"/>
      <c r="Q40" s="16"/>
      <c r="R40" s="16"/>
      <c r="S40" s="16"/>
    </row>
    <row r="41" spans="1:19" ht="15" x14ac:dyDescent="0.25">
      <c r="A41" s="15"/>
      <c r="B41" s="15"/>
      <c r="C41" s="15"/>
      <c r="D41" s="15"/>
      <c r="E41" s="15"/>
      <c r="F41" s="15"/>
      <c r="G41" s="15"/>
      <c r="H41" s="15"/>
      <c r="I41" s="15"/>
      <c r="J41" s="15"/>
      <c r="K41" s="15"/>
      <c r="N41" s="16"/>
      <c r="O41" s="16"/>
      <c r="P41" s="16"/>
      <c r="Q41" s="16"/>
      <c r="R41" s="16"/>
      <c r="S41" s="16"/>
    </row>
    <row r="42" spans="1:19" ht="15" x14ac:dyDescent="0.25">
      <c r="A42" s="15"/>
      <c r="B42" s="15"/>
      <c r="C42" s="15"/>
      <c r="D42" s="15"/>
      <c r="E42" s="15"/>
      <c r="F42" s="15"/>
      <c r="G42" s="15"/>
      <c r="H42" s="15"/>
      <c r="I42" s="15"/>
      <c r="J42" s="15"/>
      <c r="K42" s="15"/>
      <c r="N42" s="16"/>
      <c r="O42" s="16"/>
      <c r="P42" s="16"/>
      <c r="Q42" s="16"/>
      <c r="R42" s="16"/>
      <c r="S42" s="16"/>
    </row>
    <row r="43" spans="1:19" ht="15" x14ac:dyDescent="0.25">
      <c r="A43" s="15"/>
      <c r="B43" s="15"/>
      <c r="C43" s="15"/>
      <c r="D43" s="15"/>
      <c r="E43" s="15"/>
      <c r="F43" s="15"/>
      <c r="G43" s="15"/>
      <c r="H43" s="15"/>
      <c r="I43" s="15"/>
      <c r="J43" s="15"/>
      <c r="K43" s="15"/>
      <c r="N43" s="16"/>
      <c r="O43" s="16"/>
      <c r="P43" s="16"/>
      <c r="Q43" s="16"/>
      <c r="R43" s="16"/>
      <c r="S43" s="16"/>
    </row>
    <row r="44" spans="1:19" ht="15" x14ac:dyDescent="0.25">
      <c r="A44" s="15"/>
      <c r="B44" s="15"/>
      <c r="C44" s="15"/>
      <c r="D44" s="15"/>
      <c r="E44" s="15"/>
      <c r="F44" s="15"/>
      <c r="G44" s="15"/>
      <c r="H44" s="15"/>
      <c r="I44" s="15"/>
      <c r="J44" s="15"/>
      <c r="K44" s="15"/>
      <c r="N44" s="16"/>
      <c r="O44" s="16"/>
      <c r="P44" s="16"/>
      <c r="Q44" s="16"/>
      <c r="R44" s="16"/>
      <c r="S44" s="16"/>
    </row>
    <row r="45" spans="1:19" ht="15" x14ac:dyDescent="0.25">
      <c r="A45" s="15"/>
      <c r="B45" s="15"/>
      <c r="C45" s="15"/>
      <c r="D45" s="15"/>
      <c r="E45" s="15"/>
      <c r="F45" s="15"/>
      <c r="G45" s="15"/>
      <c r="H45" s="15"/>
      <c r="I45" s="15"/>
      <c r="J45" s="15"/>
      <c r="K45" s="15"/>
      <c r="N45" s="16"/>
      <c r="O45" s="16"/>
      <c r="P45" s="16"/>
      <c r="Q45" s="16"/>
      <c r="R45" s="16"/>
      <c r="S45" s="16"/>
    </row>
    <row r="46" spans="1:19" ht="15" x14ac:dyDescent="0.25">
      <c r="A46" s="15"/>
      <c r="B46" s="15"/>
      <c r="C46" s="15"/>
      <c r="D46" s="15"/>
      <c r="E46" s="15"/>
      <c r="F46" s="15"/>
      <c r="G46" s="15"/>
      <c r="H46" s="15"/>
      <c r="I46" s="15"/>
      <c r="J46" s="15"/>
      <c r="K46" s="15"/>
      <c r="N46" s="16"/>
      <c r="O46" s="16"/>
      <c r="P46" s="16"/>
      <c r="Q46" s="16"/>
      <c r="R46" s="16"/>
      <c r="S46" s="16"/>
    </row>
    <row r="47" spans="1:19" ht="15" x14ac:dyDescent="0.25">
      <c r="A47" s="15"/>
      <c r="B47" s="15"/>
      <c r="C47" s="15"/>
      <c r="D47" s="15"/>
      <c r="E47" s="15"/>
      <c r="F47" s="15"/>
      <c r="G47" s="15"/>
      <c r="H47" s="15"/>
      <c r="I47" s="15"/>
      <c r="J47" s="15"/>
      <c r="K47" s="15"/>
      <c r="N47" s="16"/>
      <c r="O47" s="16"/>
      <c r="P47" s="16"/>
      <c r="Q47" s="16"/>
      <c r="R47" s="16"/>
      <c r="S47" s="16"/>
    </row>
    <row r="48" spans="1:19" ht="15" x14ac:dyDescent="0.25">
      <c r="A48" s="15"/>
      <c r="B48" s="15"/>
      <c r="C48" s="15"/>
      <c r="D48" s="15"/>
      <c r="E48" s="15"/>
      <c r="F48" s="15"/>
      <c r="G48" s="15"/>
      <c r="H48" s="15"/>
      <c r="I48" s="15"/>
      <c r="J48" s="15"/>
      <c r="K48" s="15"/>
      <c r="N48" s="16"/>
      <c r="O48" s="16"/>
      <c r="P48" s="16"/>
      <c r="Q48" s="16"/>
      <c r="R48" s="16"/>
      <c r="S48" s="16"/>
    </row>
    <row r="49" spans="1:19" ht="15" x14ac:dyDescent="0.25">
      <c r="A49" s="15"/>
      <c r="B49" s="15"/>
      <c r="C49" s="15"/>
      <c r="D49" s="15"/>
      <c r="E49" s="15"/>
      <c r="F49" s="15"/>
      <c r="G49" s="15"/>
      <c r="H49" s="15"/>
      <c r="I49" s="15"/>
      <c r="J49" s="15"/>
      <c r="K49" s="15"/>
      <c r="N49" s="16"/>
      <c r="O49" s="16"/>
      <c r="P49" s="16"/>
      <c r="Q49" s="16"/>
      <c r="R49" s="16"/>
      <c r="S49" s="16"/>
    </row>
    <row r="50" spans="1:19" ht="15" x14ac:dyDescent="0.25">
      <c r="A50" s="15"/>
      <c r="B50" s="15"/>
      <c r="C50" s="15"/>
      <c r="D50" s="15"/>
      <c r="E50" s="15"/>
      <c r="F50" s="15"/>
      <c r="G50" s="15"/>
      <c r="H50" s="15"/>
      <c r="I50" s="15"/>
      <c r="J50" s="15"/>
      <c r="K50" s="15"/>
      <c r="N50" s="16"/>
      <c r="O50" s="16"/>
      <c r="P50" s="16"/>
      <c r="Q50" s="16"/>
      <c r="R50" s="16"/>
      <c r="S50" s="16"/>
    </row>
    <row r="51" spans="1:19" ht="15" x14ac:dyDescent="0.25">
      <c r="A51" s="15"/>
      <c r="B51" s="15"/>
      <c r="C51" s="15"/>
      <c r="D51" s="15"/>
      <c r="E51" s="15"/>
      <c r="F51" s="15"/>
      <c r="G51" s="15"/>
      <c r="H51" s="15"/>
      <c r="I51" s="15"/>
      <c r="J51" s="15"/>
      <c r="K51" s="15"/>
      <c r="N51" s="16"/>
      <c r="O51" s="16"/>
      <c r="P51" s="16"/>
      <c r="Q51" s="16"/>
      <c r="R51" s="16"/>
      <c r="S51" s="16"/>
    </row>
    <row r="52" spans="1:19" ht="15" x14ac:dyDescent="0.25">
      <c r="A52" s="15"/>
      <c r="B52" s="15"/>
      <c r="C52" s="15"/>
      <c r="D52" s="15"/>
      <c r="E52" s="15"/>
      <c r="F52" s="15"/>
      <c r="G52" s="15"/>
      <c r="H52" s="15"/>
      <c r="I52" s="15"/>
      <c r="J52" s="15"/>
      <c r="K52" s="15"/>
      <c r="N52" s="16"/>
      <c r="O52" s="16"/>
      <c r="P52" s="16"/>
      <c r="Q52" s="16"/>
      <c r="R52" s="16"/>
      <c r="S52" s="16"/>
    </row>
    <row r="53" spans="1:19" ht="15" x14ac:dyDescent="0.25">
      <c r="A53" s="15"/>
      <c r="B53" s="15"/>
      <c r="C53" s="15"/>
      <c r="D53" s="15"/>
      <c r="E53" s="15"/>
      <c r="F53" s="15"/>
      <c r="G53" s="15"/>
      <c r="H53" s="15"/>
      <c r="I53" s="15"/>
      <c r="J53" s="15"/>
      <c r="K53" s="15"/>
      <c r="N53" s="16"/>
      <c r="O53" s="16"/>
      <c r="P53" s="16"/>
      <c r="Q53" s="16"/>
      <c r="R53" s="16"/>
      <c r="S53" s="16"/>
    </row>
    <row r="54" spans="1:19" ht="15" x14ac:dyDescent="0.25">
      <c r="A54" s="15"/>
      <c r="B54" s="15"/>
      <c r="C54" s="15"/>
      <c r="D54" s="15"/>
      <c r="E54" s="15"/>
      <c r="F54" s="15"/>
      <c r="G54" s="15"/>
      <c r="H54" s="15"/>
      <c r="I54" s="15"/>
      <c r="J54" s="15"/>
      <c r="K54" s="15"/>
      <c r="N54" s="16"/>
      <c r="O54" s="16"/>
      <c r="P54" s="16"/>
      <c r="Q54" s="16"/>
      <c r="R54" s="16"/>
      <c r="S54" s="16"/>
    </row>
    <row r="55" spans="1:19" ht="15" x14ac:dyDescent="0.25">
      <c r="A55" s="15"/>
      <c r="B55" s="15"/>
      <c r="C55" s="15"/>
      <c r="D55" s="15"/>
      <c r="E55" s="15"/>
      <c r="F55" s="15"/>
      <c r="G55" s="15"/>
      <c r="H55" s="15"/>
      <c r="I55" s="15"/>
      <c r="J55" s="15"/>
      <c r="K55" s="15"/>
      <c r="N55" s="16"/>
      <c r="O55" s="16"/>
      <c r="P55" s="16"/>
      <c r="Q55" s="16"/>
      <c r="R55" s="16"/>
      <c r="S55" s="16"/>
    </row>
    <row r="56" spans="1:19" ht="15" x14ac:dyDescent="0.25">
      <c r="A56" s="15"/>
      <c r="B56" s="15"/>
      <c r="C56" s="15"/>
      <c r="D56" s="15"/>
      <c r="E56" s="15"/>
      <c r="F56" s="15"/>
      <c r="G56" s="15"/>
      <c r="H56" s="15"/>
      <c r="I56" s="15"/>
      <c r="J56" s="15"/>
      <c r="K56" s="15"/>
      <c r="N56" s="16"/>
      <c r="O56" s="16"/>
      <c r="P56" s="16"/>
      <c r="Q56" s="16"/>
      <c r="R56" s="16"/>
      <c r="S56" s="16"/>
    </row>
    <row r="57" spans="1:19" ht="15" x14ac:dyDescent="0.25">
      <c r="A57" s="15"/>
      <c r="B57" s="15"/>
      <c r="C57" s="15"/>
      <c r="D57" s="15"/>
      <c r="E57" s="15"/>
      <c r="F57" s="15"/>
      <c r="G57" s="15"/>
      <c r="H57" s="15"/>
      <c r="I57" s="15"/>
      <c r="J57" s="15"/>
      <c r="K57" s="15"/>
      <c r="N57" s="16"/>
      <c r="O57" s="16"/>
      <c r="P57" s="16"/>
      <c r="Q57" s="16"/>
      <c r="R57" s="16"/>
      <c r="S57" s="16"/>
    </row>
    <row r="58" spans="1:19" ht="15" x14ac:dyDescent="0.25">
      <c r="A58" s="15"/>
      <c r="B58" s="15"/>
      <c r="C58" s="15"/>
      <c r="D58" s="15"/>
      <c r="E58" s="15"/>
      <c r="F58" s="15"/>
      <c r="G58" s="15"/>
      <c r="H58" s="15"/>
      <c r="I58" s="15"/>
      <c r="J58" s="15"/>
      <c r="K58" s="15"/>
      <c r="N58" s="16"/>
      <c r="O58" s="16"/>
      <c r="P58" s="16"/>
      <c r="Q58" s="16"/>
      <c r="R58" s="16"/>
      <c r="S58" s="16"/>
    </row>
    <row r="59" spans="1:19" ht="15" x14ac:dyDescent="0.25">
      <c r="A59" s="15"/>
      <c r="B59" s="15"/>
      <c r="C59" s="15"/>
      <c r="D59" s="15"/>
      <c r="E59" s="15"/>
      <c r="F59" s="15"/>
      <c r="G59" s="15"/>
      <c r="H59" s="15"/>
      <c r="I59" s="15"/>
      <c r="J59" s="15"/>
      <c r="K59" s="15"/>
      <c r="N59" s="16"/>
      <c r="O59" s="16"/>
      <c r="P59" s="16"/>
      <c r="Q59" s="16"/>
      <c r="R59" s="16"/>
      <c r="S59" s="16"/>
    </row>
    <row r="60" spans="1:19" ht="15" x14ac:dyDescent="0.25">
      <c r="A60" s="15"/>
      <c r="B60" s="15"/>
      <c r="C60" s="15"/>
      <c r="D60" s="15"/>
      <c r="E60" s="15"/>
      <c r="F60" s="15"/>
      <c r="G60" s="15"/>
      <c r="H60" s="15"/>
      <c r="I60" s="15"/>
      <c r="J60" s="15"/>
      <c r="K60" s="15"/>
      <c r="N60" s="16"/>
      <c r="O60" s="16"/>
      <c r="P60" s="16"/>
      <c r="Q60" s="16"/>
      <c r="R60" s="16"/>
      <c r="S60" s="16"/>
    </row>
    <row r="61" spans="1:19" ht="15" x14ac:dyDescent="0.25">
      <c r="A61" s="15"/>
      <c r="B61" s="15"/>
      <c r="C61" s="15"/>
      <c r="D61" s="15"/>
      <c r="E61" s="15"/>
      <c r="F61" s="15"/>
      <c r="G61" s="15"/>
      <c r="H61" s="15"/>
      <c r="I61" s="15"/>
      <c r="J61" s="15"/>
      <c r="K61" s="15"/>
      <c r="N61" s="16"/>
      <c r="O61" s="16"/>
      <c r="P61" s="16"/>
      <c r="Q61" s="16"/>
      <c r="R61" s="16"/>
      <c r="S61" s="16"/>
    </row>
    <row r="62" spans="1:19" ht="15" x14ac:dyDescent="0.25">
      <c r="A62" s="15"/>
      <c r="B62" s="15"/>
      <c r="C62" s="15"/>
      <c r="D62" s="15"/>
      <c r="E62" s="15"/>
      <c r="F62" s="15"/>
      <c r="G62" s="15"/>
      <c r="H62" s="15"/>
      <c r="I62" s="15"/>
      <c r="J62" s="15"/>
      <c r="K62" s="15"/>
      <c r="N62" s="16"/>
      <c r="O62" s="16"/>
      <c r="P62" s="16"/>
      <c r="Q62" s="16"/>
      <c r="R62" s="16"/>
      <c r="S62" s="16"/>
    </row>
    <row r="63" spans="1:19" ht="15" x14ac:dyDescent="0.25">
      <c r="A63" s="15"/>
      <c r="B63" s="15"/>
      <c r="C63" s="15"/>
      <c r="D63" s="15"/>
      <c r="E63" s="15"/>
      <c r="F63" s="15"/>
      <c r="G63" s="15"/>
      <c r="H63" s="15"/>
      <c r="I63" s="15"/>
      <c r="J63" s="15"/>
      <c r="K63" s="15"/>
      <c r="N63" s="16"/>
      <c r="O63" s="16"/>
      <c r="P63" s="16"/>
      <c r="Q63" s="16"/>
      <c r="R63" s="16"/>
      <c r="S63" s="16"/>
    </row>
    <row r="64" spans="1:19" ht="15" x14ac:dyDescent="0.25">
      <c r="A64" s="15"/>
      <c r="B64" s="15"/>
      <c r="C64" s="15"/>
      <c r="D64" s="15"/>
      <c r="E64" s="15"/>
      <c r="F64" s="15"/>
      <c r="G64" s="15"/>
      <c r="H64" s="15"/>
      <c r="I64" s="15"/>
      <c r="J64" s="15"/>
      <c r="K64" s="15"/>
      <c r="N64" s="16"/>
      <c r="O64" s="16"/>
      <c r="P64" s="16"/>
      <c r="Q64" s="16"/>
      <c r="R64" s="16"/>
      <c r="S64" s="16"/>
    </row>
    <row r="65" spans="1:19" ht="15" x14ac:dyDescent="0.25">
      <c r="A65" s="15"/>
      <c r="B65" s="15"/>
      <c r="C65" s="15"/>
      <c r="D65" s="15"/>
      <c r="E65" s="15"/>
      <c r="F65" s="15"/>
      <c r="G65" s="15"/>
      <c r="H65" s="15"/>
      <c r="I65" s="15"/>
      <c r="J65" s="15"/>
      <c r="K65" s="15"/>
      <c r="N65" s="16"/>
      <c r="O65" s="16"/>
      <c r="P65" s="16"/>
      <c r="Q65" s="16"/>
      <c r="R65" s="16"/>
      <c r="S65" s="16"/>
    </row>
    <row r="66" spans="1:19" ht="15" x14ac:dyDescent="0.25">
      <c r="A66" s="15"/>
      <c r="B66" s="15"/>
      <c r="C66" s="15"/>
      <c r="D66" s="15"/>
      <c r="E66" s="15"/>
      <c r="F66" s="15"/>
      <c r="G66" s="15"/>
      <c r="H66" s="15"/>
      <c r="I66" s="15"/>
      <c r="J66" s="15"/>
      <c r="K66" s="15"/>
      <c r="N66" s="16"/>
      <c r="O66" s="16"/>
      <c r="P66" s="16"/>
      <c r="Q66" s="16"/>
      <c r="R66" s="16"/>
      <c r="S66" s="16"/>
    </row>
    <row r="67" spans="1:19" ht="15" x14ac:dyDescent="0.25">
      <c r="A67" s="15"/>
      <c r="B67" s="15"/>
      <c r="C67" s="15"/>
      <c r="D67" s="15"/>
      <c r="E67" s="15"/>
      <c r="F67" s="15"/>
      <c r="G67" s="15"/>
      <c r="H67" s="15"/>
      <c r="I67" s="15"/>
      <c r="J67" s="15"/>
      <c r="K67" s="15"/>
      <c r="N67" s="16"/>
      <c r="O67" s="16"/>
      <c r="P67" s="16"/>
      <c r="Q67" s="16"/>
      <c r="R67" s="16"/>
      <c r="S67" s="16"/>
    </row>
    <row r="68" spans="1:19" ht="15" x14ac:dyDescent="0.25">
      <c r="A68" s="15"/>
      <c r="B68" s="15"/>
      <c r="C68" s="15"/>
      <c r="D68" s="15"/>
      <c r="E68" s="15"/>
      <c r="F68" s="15"/>
      <c r="G68" s="15"/>
      <c r="H68" s="15"/>
      <c r="I68" s="15"/>
      <c r="J68" s="15"/>
      <c r="K68" s="15"/>
      <c r="N68" s="16"/>
      <c r="O68" s="16"/>
      <c r="P68" s="16"/>
      <c r="Q68" s="16"/>
      <c r="R68" s="16"/>
      <c r="S68" s="16"/>
    </row>
    <row r="69" spans="1:19" ht="15" x14ac:dyDescent="0.25">
      <c r="A69" s="15"/>
      <c r="B69" s="15"/>
      <c r="C69" s="15"/>
      <c r="D69" s="15"/>
      <c r="E69" s="15"/>
      <c r="F69" s="15"/>
      <c r="G69" s="15"/>
      <c r="H69" s="15"/>
      <c r="I69" s="15"/>
      <c r="J69" s="15"/>
      <c r="K69" s="15"/>
      <c r="N69" s="16"/>
      <c r="O69" s="16"/>
      <c r="P69" s="16"/>
      <c r="Q69" s="16"/>
      <c r="R69" s="16"/>
      <c r="S69" s="16"/>
    </row>
    <row r="70" spans="1:19" ht="15" x14ac:dyDescent="0.25">
      <c r="A70" s="15"/>
      <c r="B70" s="15"/>
      <c r="C70" s="15"/>
      <c r="D70" s="15"/>
      <c r="E70" s="15"/>
      <c r="F70" s="15"/>
      <c r="G70" s="15"/>
      <c r="H70" s="15"/>
      <c r="I70" s="15"/>
      <c r="J70" s="15"/>
      <c r="K70" s="15"/>
    </row>
    <row r="71" spans="1:19" ht="15" x14ac:dyDescent="0.25">
      <c r="A71" s="15"/>
      <c r="B71" s="15"/>
      <c r="C71" s="15"/>
      <c r="D71" s="15"/>
      <c r="E71" s="15"/>
      <c r="F71" s="15"/>
      <c r="G71" s="15"/>
      <c r="H71" s="15"/>
      <c r="I71" s="15"/>
      <c r="J71" s="15"/>
      <c r="K71" s="15"/>
    </row>
    <row r="72" spans="1:19" ht="15" x14ac:dyDescent="0.25">
      <c r="A72" s="15"/>
      <c r="B72" s="15"/>
      <c r="C72" s="15"/>
      <c r="D72" s="15"/>
      <c r="E72" s="15"/>
      <c r="F72" s="15"/>
      <c r="G72" s="15"/>
      <c r="H72" s="15"/>
      <c r="I72" s="15"/>
      <c r="J72" s="15"/>
      <c r="K72" s="15"/>
    </row>
    <row r="73" spans="1:19" ht="15" x14ac:dyDescent="0.25">
      <c r="A73" s="15"/>
      <c r="B73" s="15"/>
      <c r="C73" s="15"/>
      <c r="D73" s="15"/>
      <c r="E73" s="15"/>
      <c r="F73" s="15"/>
      <c r="G73" s="15"/>
      <c r="H73" s="15"/>
      <c r="I73" s="15"/>
      <c r="J73" s="15"/>
      <c r="K73" s="15"/>
    </row>
    <row r="74" spans="1:19" ht="15" x14ac:dyDescent="0.25">
      <c r="A74" s="15"/>
      <c r="B74" s="15"/>
      <c r="C74" s="15"/>
      <c r="D74" s="15"/>
      <c r="E74" s="15"/>
      <c r="F74" s="15"/>
      <c r="G74" s="15"/>
      <c r="H74" s="15"/>
      <c r="I74" s="15"/>
      <c r="J74" s="15"/>
      <c r="K74" s="15"/>
    </row>
    <row r="75" spans="1:19" ht="15" x14ac:dyDescent="0.25">
      <c r="A75" s="15"/>
      <c r="B75" s="15"/>
      <c r="C75" s="15"/>
      <c r="D75" s="15"/>
      <c r="E75" s="15"/>
      <c r="F75" s="15"/>
      <c r="G75" s="15"/>
      <c r="H75" s="15"/>
      <c r="I75" s="15"/>
      <c r="J75" s="15"/>
      <c r="K75" s="15"/>
    </row>
    <row r="76" spans="1:19" ht="15" x14ac:dyDescent="0.25">
      <c r="A76" s="15"/>
      <c r="B76" s="15"/>
      <c r="C76" s="15"/>
      <c r="D76" s="15"/>
      <c r="E76" s="15"/>
      <c r="F76" s="15"/>
      <c r="G76" s="15"/>
      <c r="H76" s="15"/>
      <c r="I76" s="15"/>
      <c r="J76" s="15"/>
      <c r="K76" s="15"/>
    </row>
    <row r="77" spans="1:19" ht="15" x14ac:dyDescent="0.25">
      <c r="A77" s="15"/>
      <c r="B77" s="15"/>
      <c r="C77" s="15"/>
      <c r="D77" s="15"/>
      <c r="E77" s="15"/>
      <c r="F77" s="15"/>
      <c r="G77" s="15"/>
      <c r="H77" s="15"/>
      <c r="I77" s="15"/>
      <c r="J77" s="15"/>
      <c r="K77" s="15"/>
    </row>
    <row r="78" spans="1:19" ht="15" x14ac:dyDescent="0.25">
      <c r="A78" s="15"/>
      <c r="B78" s="15"/>
      <c r="C78" s="15"/>
      <c r="D78" s="15"/>
      <c r="E78" s="15"/>
      <c r="F78" s="15"/>
      <c r="G78" s="15"/>
      <c r="H78" s="15"/>
      <c r="I78" s="15"/>
      <c r="J78" s="15"/>
      <c r="K78" s="15"/>
    </row>
    <row r="79" spans="1:19" ht="15" x14ac:dyDescent="0.25">
      <c r="A79" s="15"/>
      <c r="B79" s="15"/>
      <c r="C79" s="15"/>
      <c r="D79" s="15"/>
      <c r="E79" s="15"/>
      <c r="F79" s="15"/>
      <c r="G79" s="15"/>
      <c r="H79" s="15"/>
      <c r="I79" s="15"/>
      <c r="J79" s="15"/>
      <c r="K79" s="15"/>
    </row>
    <row r="80" spans="1:19" ht="15" x14ac:dyDescent="0.25">
      <c r="A80" s="15"/>
      <c r="B80" s="15"/>
      <c r="C80" s="15"/>
      <c r="D80" s="15"/>
      <c r="E80" s="15"/>
      <c r="F80" s="15"/>
      <c r="G80" s="15"/>
      <c r="H80" s="15"/>
      <c r="I80" s="15"/>
      <c r="J80" s="15"/>
      <c r="K80" s="15"/>
    </row>
    <row r="81" spans="1:11" ht="15" x14ac:dyDescent="0.25">
      <c r="A81" s="15"/>
      <c r="B81" s="15"/>
      <c r="C81" s="15"/>
      <c r="D81" s="15"/>
      <c r="E81" s="15"/>
      <c r="F81" s="15"/>
      <c r="G81" s="15"/>
      <c r="H81" s="15"/>
      <c r="I81" s="15"/>
      <c r="J81" s="15"/>
      <c r="K81" s="15"/>
    </row>
    <row r="82" spans="1:11" ht="15" x14ac:dyDescent="0.25">
      <c r="A82" s="15"/>
      <c r="B82" s="15"/>
      <c r="C82" s="15"/>
      <c r="D82" s="15"/>
      <c r="E82" s="15"/>
      <c r="F82" s="15"/>
      <c r="G82" s="15"/>
      <c r="H82" s="15"/>
      <c r="I82" s="15"/>
      <c r="J82" s="15"/>
      <c r="K82" s="15"/>
    </row>
    <row r="83" spans="1:11" ht="15" x14ac:dyDescent="0.25">
      <c r="A83" s="15"/>
      <c r="B83" s="15"/>
      <c r="C83" s="15"/>
      <c r="D83" s="15"/>
      <c r="E83" s="15"/>
      <c r="F83" s="15"/>
      <c r="G83" s="15"/>
      <c r="H83" s="15"/>
      <c r="I83" s="15"/>
      <c r="J83" s="15"/>
      <c r="K83" s="15"/>
    </row>
    <row r="84" spans="1:11" ht="15" x14ac:dyDescent="0.25">
      <c r="A84" s="15"/>
      <c r="B84" s="15"/>
      <c r="C84" s="15"/>
      <c r="D84" s="15"/>
      <c r="E84" s="15"/>
      <c r="F84" s="15"/>
      <c r="G84" s="15"/>
      <c r="H84" s="15"/>
      <c r="I84" s="15"/>
      <c r="J84" s="15"/>
      <c r="K84" s="15"/>
    </row>
    <row r="85" spans="1:11" ht="15" x14ac:dyDescent="0.25">
      <c r="A85" s="15"/>
      <c r="B85" s="15"/>
      <c r="C85" s="15"/>
      <c r="D85" s="15"/>
      <c r="E85" s="15"/>
      <c r="F85" s="15"/>
      <c r="G85" s="15"/>
      <c r="H85" s="15"/>
      <c r="I85" s="15"/>
      <c r="J85" s="15"/>
      <c r="K85" s="15"/>
    </row>
    <row r="86" spans="1:11" ht="15" x14ac:dyDescent="0.25">
      <c r="A86" s="15"/>
      <c r="B86" s="15"/>
      <c r="C86" s="15"/>
      <c r="D86" s="15"/>
      <c r="E86" s="15"/>
      <c r="F86" s="15"/>
      <c r="G86" s="15"/>
      <c r="H86" s="15"/>
      <c r="I86" s="15"/>
      <c r="J86" s="15"/>
      <c r="K86" s="15"/>
    </row>
    <row r="87" spans="1:11" ht="15" x14ac:dyDescent="0.25">
      <c r="A87" s="15"/>
      <c r="B87" s="15"/>
      <c r="C87" s="15"/>
      <c r="D87" s="15"/>
      <c r="E87" s="15"/>
      <c r="F87" s="15"/>
      <c r="G87" s="15"/>
      <c r="H87" s="15"/>
      <c r="I87" s="15"/>
      <c r="J87" s="15"/>
      <c r="K87" s="15"/>
    </row>
    <row r="88" spans="1:11" ht="15" x14ac:dyDescent="0.25">
      <c r="A88" s="15"/>
      <c r="B88" s="15"/>
      <c r="C88" s="15"/>
      <c r="D88" s="15"/>
      <c r="E88" s="15"/>
      <c r="F88" s="15"/>
      <c r="G88" s="15"/>
      <c r="H88" s="15"/>
      <c r="I88" s="15"/>
      <c r="J88" s="15"/>
      <c r="K88" s="15"/>
    </row>
    <row r="89" spans="1:11" ht="15" x14ac:dyDescent="0.25">
      <c r="A89" s="15"/>
      <c r="B89" s="15"/>
      <c r="C89" s="15"/>
      <c r="D89" s="15"/>
      <c r="E89" s="15"/>
      <c r="F89" s="15"/>
      <c r="G89" s="15"/>
      <c r="H89" s="15"/>
      <c r="I89" s="15"/>
      <c r="J89" s="15"/>
      <c r="K89" s="15"/>
    </row>
    <row r="90" spans="1:11" ht="15" x14ac:dyDescent="0.25">
      <c r="A90" s="15"/>
      <c r="B90" s="15"/>
      <c r="C90" s="15"/>
      <c r="D90" s="15"/>
      <c r="E90" s="15"/>
      <c r="F90" s="15"/>
      <c r="G90" s="15"/>
      <c r="H90" s="15"/>
      <c r="I90" s="15"/>
      <c r="J90" s="15"/>
      <c r="K90" s="15"/>
    </row>
    <row r="91" spans="1:11" ht="15" x14ac:dyDescent="0.25">
      <c r="A91" s="15"/>
      <c r="B91" s="15"/>
      <c r="C91" s="15"/>
      <c r="D91" s="15"/>
      <c r="E91" s="15"/>
      <c r="F91" s="15"/>
      <c r="G91" s="15"/>
      <c r="H91" s="15"/>
      <c r="I91" s="15"/>
      <c r="J91" s="15"/>
      <c r="K91" s="15"/>
    </row>
    <row r="92" spans="1:11" ht="15" x14ac:dyDescent="0.25">
      <c r="A92" s="15"/>
      <c r="B92" s="15"/>
      <c r="C92" s="15"/>
      <c r="D92" s="15"/>
      <c r="E92" s="15"/>
      <c r="F92" s="15"/>
      <c r="G92" s="15"/>
      <c r="H92" s="15"/>
      <c r="I92" s="15"/>
      <c r="J92" s="15"/>
      <c r="K92" s="15"/>
    </row>
    <row r="93" spans="1:11" ht="15" x14ac:dyDescent="0.25">
      <c r="A93" s="15"/>
      <c r="B93" s="15"/>
      <c r="C93" s="15"/>
      <c r="D93" s="15"/>
      <c r="E93" s="15"/>
      <c r="F93" s="15"/>
      <c r="G93" s="15"/>
      <c r="H93" s="15"/>
      <c r="I93" s="15"/>
      <c r="J93" s="15"/>
      <c r="K93" s="15"/>
    </row>
    <row r="94" spans="1:11" ht="15" x14ac:dyDescent="0.25">
      <c r="A94" s="15"/>
      <c r="B94" s="15"/>
      <c r="C94" s="15"/>
      <c r="D94" s="15"/>
      <c r="E94" s="15"/>
      <c r="F94" s="15"/>
      <c r="G94" s="15"/>
      <c r="H94" s="15"/>
      <c r="I94" s="15"/>
      <c r="J94" s="15"/>
      <c r="K94" s="15"/>
    </row>
    <row r="95" spans="1:11" ht="15" x14ac:dyDescent="0.25">
      <c r="A95" s="15"/>
      <c r="B95" s="15"/>
      <c r="C95" s="15"/>
      <c r="D95" s="15"/>
      <c r="E95" s="15"/>
      <c r="F95" s="15"/>
      <c r="G95" s="15"/>
      <c r="H95" s="15"/>
      <c r="I95" s="15"/>
      <c r="J95" s="15"/>
      <c r="K95" s="15"/>
    </row>
    <row r="96" spans="1:11" ht="15" x14ac:dyDescent="0.25">
      <c r="A96" s="15"/>
      <c r="B96" s="15"/>
      <c r="C96" s="15"/>
      <c r="D96" s="15"/>
      <c r="E96" s="15"/>
      <c r="F96" s="15"/>
      <c r="G96" s="15"/>
      <c r="H96" s="15"/>
      <c r="I96" s="15"/>
      <c r="J96" s="15"/>
      <c r="K96" s="15"/>
    </row>
    <row r="97" spans="1:11" ht="15" x14ac:dyDescent="0.25">
      <c r="A97" s="15"/>
      <c r="B97" s="15"/>
      <c r="C97" s="15"/>
      <c r="D97" s="15"/>
      <c r="E97" s="15"/>
      <c r="F97" s="15"/>
      <c r="G97" s="15"/>
      <c r="H97" s="15"/>
      <c r="I97" s="15"/>
      <c r="J97" s="15"/>
      <c r="K97" s="15"/>
    </row>
    <row r="98" spans="1:11" ht="15" x14ac:dyDescent="0.25">
      <c r="A98" s="15"/>
      <c r="B98" s="15"/>
      <c r="C98" s="15"/>
      <c r="D98" s="15"/>
      <c r="E98" s="15"/>
      <c r="F98" s="15"/>
      <c r="G98" s="15"/>
      <c r="H98" s="15"/>
      <c r="I98" s="15"/>
      <c r="J98" s="15"/>
      <c r="K98" s="15"/>
    </row>
    <row r="99" spans="1:11" ht="15" x14ac:dyDescent="0.25">
      <c r="A99" s="15"/>
      <c r="B99" s="15"/>
      <c r="C99" s="15"/>
      <c r="D99" s="15"/>
      <c r="E99" s="15"/>
      <c r="F99" s="15"/>
      <c r="G99" s="15"/>
      <c r="H99" s="15"/>
      <c r="I99" s="15"/>
      <c r="J99" s="15"/>
      <c r="K99" s="15"/>
    </row>
    <row r="100" spans="1:11" ht="15" x14ac:dyDescent="0.25">
      <c r="A100" s="15"/>
      <c r="B100" s="15"/>
      <c r="C100" s="15"/>
      <c r="D100" s="15"/>
      <c r="E100" s="15"/>
      <c r="F100" s="15"/>
      <c r="G100" s="15"/>
      <c r="H100" s="15"/>
      <c r="I100" s="15"/>
      <c r="J100" s="15"/>
      <c r="K100" s="15"/>
    </row>
    <row r="101" spans="1:11" ht="15" x14ac:dyDescent="0.25">
      <c r="A101" s="15"/>
      <c r="B101" s="15"/>
      <c r="C101" s="15"/>
      <c r="D101" s="15"/>
      <c r="E101" s="15"/>
      <c r="F101" s="15"/>
      <c r="G101" s="15"/>
      <c r="H101" s="15"/>
      <c r="I101" s="15"/>
      <c r="J101" s="15"/>
      <c r="K101" s="15"/>
    </row>
    <row r="102" spans="1:11" ht="15" x14ac:dyDescent="0.25">
      <c r="A102" s="15"/>
      <c r="B102" s="15"/>
      <c r="C102" s="15"/>
      <c r="D102" s="15"/>
      <c r="E102" s="15"/>
      <c r="F102" s="15"/>
      <c r="G102" s="15"/>
      <c r="H102" s="15"/>
      <c r="I102" s="15"/>
      <c r="J102" s="15"/>
      <c r="K102" s="15"/>
    </row>
    <row r="103" spans="1:11" ht="15" x14ac:dyDescent="0.25">
      <c r="A103" s="15"/>
      <c r="B103" s="15"/>
      <c r="C103" s="15"/>
      <c r="D103" s="15"/>
      <c r="E103" s="15"/>
      <c r="F103" s="15"/>
      <c r="G103" s="15"/>
      <c r="H103" s="15"/>
      <c r="I103" s="15"/>
      <c r="J103" s="15"/>
      <c r="K103" s="15"/>
    </row>
    <row r="104" spans="1:11" ht="15" x14ac:dyDescent="0.25">
      <c r="A104" s="15"/>
      <c r="B104" s="15"/>
      <c r="C104" s="15"/>
      <c r="D104" s="15"/>
      <c r="E104" s="15"/>
      <c r="F104" s="15"/>
      <c r="G104" s="15"/>
      <c r="H104" s="15"/>
      <c r="I104" s="15"/>
      <c r="J104" s="15"/>
      <c r="K104" s="15"/>
    </row>
    <row r="105" spans="1:11" ht="15" x14ac:dyDescent="0.25">
      <c r="A105" s="15"/>
      <c r="B105" s="15"/>
      <c r="C105" s="15"/>
      <c r="D105" s="15"/>
      <c r="E105" s="15"/>
      <c r="F105" s="15"/>
      <c r="G105" s="15"/>
      <c r="H105" s="15"/>
      <c r="I105" s="15"/>
      <c r="J105" s="15"/>
      <c r="K105" s="15"/>
    </row>
    <row r="106" spans="1:11" ht="15" x14ac:dyDescent="0.25">
      <c r="A106" s="15"/>
      <c r="B106" s="15"/>
      <c r="C106" s="15"/>
      <c r="D106" s="15"/>
      <c r="E106" s="15"/>
      <c r="F106" s="15"/>
      <c r="G106" s="15"/>
      <c r="H106" s="15"/>
      <c r="I106" s="15"/>
      <c r="J106" s="15"/>
      <c r="K106" s="15"/>
    </row>
    <row r="107" spans="1:11" ht="15" x14ac:dyDescent="0.25">
      <c r="A107" s="15"/>
      <c r="B107" s="15"/>
      <c r="C107" s="15"/>
      <c r="D107" s="15"/>
      <c r="E107" s="15"/>
      <c r="F107" s="15"/>
      <c r="G107" s="15"/>
      <c r="H107" s="15"/>
      <c r="I107" s="15"/>
      <c r="J107" s="15"/>
      <c r="K107" s="15"/>
    </row>
    <row r="108" spans="1:11" ht="15" x14ac:dyDescent="0.25">
      <c r="A108" s="15"/>
      <c r="B108" s="15"/>
      <c r="C108" s="15"/>
      <c r="D108" s="15"/>
      <c r="E108" s="15"/>
      <c r="F108" s="15"/>
      <c r="G108" s="15"/>
      <c r="H108" s="15"/>
      <c r="I108" s="15"/>
      <c r="J108" s="15"/>
      <c r="K108" s="15"/>
    </row>
    <row r="109" spans="1:11" ht="15" x14ac:dyDescent="0.25">
      <c r="A109" s="15"/>
      <c r="B109" s="15"/>
      <c r="C109" s="15"/>
      <c r="D109" s="15"/>
      <c r="E109" s="15"/>
      <c r="F109" s="15"/>
      <c r="G109" s="15"/>
      <c r="H109" s="15"/>
      <c r="I109" s="15"/>
      <c r="J109" s="15"/>
      <c r="K109" s="15"/>
    </row>
    <row r="110" spans="1:11" ht="15" x14ac:dyDescent="0.25">
      <c r="A110" s="15"/>
      <c r="B110" s="15"/>
      <c r="C110" s="15"/>
      <c r="D110" s="15"/>
      <c r="E110" s="15"/>
      <c r="F110" s="15"/>
      <c r="G110" s="15"/>
      <c r="H110" s="15"/>
      <c r="I110" s="15"/>
      <c r="J110" s="15"/>
      <c r="K110" s="15"/>
    </row>
    <row r="111" spans="1:11" ht="13.15" customHeight="1" x14ac:dyDescent="0.25">
      <c r="A111" s="15"/>
      <c r="B111" s="15"/>
      <c r="C111" s="15"/>
      <c r="D111" s="15"/>
      <c r="E111" s="15"/>
      <c r="F111" s="15"/>
      <c r="G111" s="15"/>
      <c r="H111" s="15"/>
      <c r="I111" s="15"/>
      <c r="J111" s="15"/>
      <c r="K111" s="15"/>
    </row>
    <row r="112" spans="1:11" ht="13.15" customHeight="1" x14ac:dyDescent="0.25">
      <c r="A112" s="15"/>
      <c r="B112" s="15"/>
      <c r="C112" s="15"/>
      <c r="D112" s="15"/>
      <c r="E112" s="15"/>
      <c r="F112" s="15"/>
      <c r="G112" s="15"/>
      <c r="H112" s="15"/>
      <c r="I112" s="15"/>
      <c r="J112" s="15"/>
      <c r="K112" s="15"/>
    </row>
    <row r="113" spans="1:11" ht="13.15" customHeight="1" x14ac:dyDescent="0.25">
      <c r="A113" s="15"/>
      <c r="B113" s="15"/>
      <c r="C113" s="15"/>
      <c r="D113" s="15"/>
      <c r="E113" s="15"/>
      <c r="F113" s="15"/>
      <c r="G113" s="15"/>
      <c r="H113" s="15"/>
      <c r="I113" s="15"/>
      <c r="J113" s="15"/>
      <c r="K113" s="15"/>
    </row>
    <row r="114" spans="1:11" ht="13.15" customHeight="1" x14ac:dyDescent="0.25">
      <c r="A114" s="15"/>
      <c r="B114" s="15"/>
      <c r="C114" s="15"/>
      <c r="D114" s="15"/>
      <c r="E114" s="15"/>
      <c r="F114" s="15"/>
      <c r="G114" s="15"/>
      <c r="H114" s="15"/>
      <c r="I114" s="15"/>
      <c r="J114" s="15"/>
      <c r="K114" s="15"/>
    </row>
    <row r="115" spans="1:11" ht="13.15" customHeight="1" x14ac:dyDescent="0.25">
      <c r="A115" s="15"/>
      <c r="B115" s="15"/>
      <c r="C115" s="15"/>
      <c r="D115" s="15"/>
      <c r="E115" s="15"/>
      <c r="F115" s="15"/>
      <c r="G115" s="15"/>
      <c r="H115" s="15"/>
      <c r="I115" s="15"/>
      <c r="J115" s="15"/>
      <c r="K115" s="15"/>
    </row>
    <row r="116" spans="1:11" ht="13.15" customHeight="1" x14ac:dyDescent="0.25">
      <c r="A116" s="15"/>
      <c r="B116" s="15"/>
      <c r="C116" s="15"/>
      <c r="D116" s="15"/>
      <c r="E116" s="15"/>
      <c r="F116" s="15"/>
      <c r="G116" s="15"/>
      <c r="H116" s="15"/>
      <c r="I116" s="15"/>
      <c r="J116" s="15"/>
      <c r="K116" s="15"/>
    </row>
    <row r="117" spans="1:11" ht="13.15" customHeight="1" x14ac:dyDescent="0.25">
      <c r="A117" s="15"/>
      <c r="B117" s="15"/>
      <c r="C117" s="15"/>
      <c r="D117" s="15"/>
      <c r="E117" s="15"/>
      <c r="F117" s="15"/>
      <c r="G117" s="15"/>
      <c r="H117" s="15"/>
      <c r="I117" s="15"/>
      <c r="J117" s="15"/>
      <c r="K117" s="15"/>
    </row>
    <row r="118" spans="1:11" ht="13.15" customHeight="1" x14ac:dyDescent="0.25">
      <c r="A118" s="15"/>
      <c r="B118" s="15"/>
      <c r="C118" s="15"/>
      <c r="D118" s="15"/>
      <c r="E118" s="15"/>
      <c r="F118" s="15"/>
      <c r="G118" s="15"/>
      <c r="H118" s="15"/>
      <c r="I118" s="15"/>
      <c r="J118" s="15"/>
      <c r="K118" s="15"/>
    </row>
    <row r="119" spans="1:11" ht="13.15" customHeight="1" x14ac:dyDescent="0.25">
      <c r="A119" s="15"/>
      <c r="B119" s="15"/>
      <c r="C119" s="15"/>
      <c r="D119" s="15"/>
      <c r="E119" s="15"/>
      <c r="F119" s="15"/>
      <c r="G119" s="15"/>
      <c r="H119" s="15"/>
      <c r="I119" s="15"/>
      <c r="J119" s="15"/>
      <c r="K119" s="15"/>
    </row>
    <row r="120" spans="1:11" ht="13.15" customHeight="1" x14ac:dyDescent="0.25">
      <c r="A120" s="15"/>
      <c r="B120" s="15"/>
      <c r="C120" s="15"/>
      <c r="D120" s="15"/>
      <c r="E120" s="15"/>
      <c r="F120" s="15"/>
      <c r="G120" s="15"/>
      <c r="H120" s="15"/>
      <c r="I120" s="15"/>
      <c r="J120" s="15"/>
      <c r="K120" s="15"/>
    </row>
    <row r="121" spans="1:11" ht="13.15" customHeight="1" x14ac:dyDescent="0.25">
      <c r="A121" s="15"/>
      <c r="B121" s="15"/>
      <c r="C121" s="15"/>
      <c r="D121" s="15"/>
      <c r="E121" s="15"/>
      <c r="F121" s="15"/>
      <c r="G121" s="15"/>
      <c r="H121" s="15"/>
      <c r="I121" s="15"/>
      <c r="J121" s="15"/>
      <c r="K121" s="15"/>
    </row>
    <row r="122" spans="1:11" ht="13.15" customHeight="1" x14ac:dyDescent="0.25">
      <c r="A122" s="15"/>
      <c r="B122" s="15"/>
      <c r="C122" s="15"/>
      <c r="D122" s="15"/>
      <c r="E122" s="15"/>
      <c r="F122" s="15"/>
      <c r="G122" s="15"/>
      <c r="H122" s="15"/>
      <c r="I122" s="15"/>
      <c r="J122" s="15"/>
      <c r="K122" s="15"/>
    </row>
    <row r="123" spans="1:11" ht="13.15" customHeight="1" x14ac:dyDescent="0.25">
      <c r="A123" s="15"/>
      <c r="B123" s="15"/>
      <c r="C123" s="15"/>
      <c r="D123" s="15"/>
      <c r="E123" s="15"/>
      <c r="F123" s="15"/>
      <c r="G123" s="15"/>
      <c r="H123" s="15"/>
      <c r="I123" s="15"/>
      <c r="J123" s="15"/>
      <c r="K123" s="15"/>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E3DCBA-7B98-46F2-A005-8FD3042038FC}">
  <dimension ref="A1:H4"/>
  <sheetViews>
    <sheetView topLeftCell="D1" workbookViewId="0">
      <selection sqref="A1:XFD1048576"/>
    </sheetView>
  </sheetViews>
  <sheetFormatPr baseColWidth="10" defaultRowHeight="15" x14ac:dyDescent="0.25"/>
  <cols>
    <col min="1" max="1" width="13.5703125" customWidth="1"/>
    <col min="2" max="2" width="38.5703125" customWidth="1"/>
    <col min="3" max="8" width="20" customWidth="1"/>
  </cols>
  <sheetData>
    <row r="1" spans="1:8" x14ac:dyDescent="0.25">
      <c r="A1" s="719" t="str">
        <f>"BALANCE "&amp;[1]IDENTIFICATION!H7</f>
        <v>BALANCE 2023</v>
      </c>
      <c r="B1" s="719"/>
      <c r="C1" s="719"/>
      <c r="D1" s="719"/>
      <c r="E1" s="719"/>
      <c r="F1" s="719"/>
      <c r="G1" s="719"/>
      <c r="H1" s="719"/>
    </row>
    <row r="2" spans="1:8" ht="14.45" customHeight="1" x14ac:dyDescent="0.25">
      <c r="A2" s="17"/>
      <c r="B2" s="18"/>
      <c r="C2" s="756" t="s">
        <v>41</v>
      </c>
      <c r="D2" s="756"/>
      <c r="E2" s="756" t="s">
        <v>42</v>
      </c>
      <c r="F2" s="756"/>
      <c r="G2" s="756" t="s">
        <v>43</v>
      </c>
      <c r="H2" s="756"/>
    </row>
    <row r="3" spans="1:8" ht="35.450000000000003" customHeight="1" x14ac:dyDescent="0.25">
      <c r="A3" s="19" t="s">
        <v>44</v>
      </c>
      <c r="B3" s="20" t="s">
        <v>45</v>
      </c>
      <c r="C3" s="21" t="s">
        <v>46</v>
      </c>
      <c r="D3" s="21" t="s">
        <v>47</v>
      </c>
      <c r="E3" s="21" t="s">
        <v>48</v>
      </c>
      <c r="F3" s="21" t="s">
        <v>49</v>
      </c>
      <c r="G3" s="21" t="s">
        <v>50</v>
      </c>
      <c r="H3" s="21" t="s">
        <v>51</v>
      </c>
    </row>
    <row r="4" spans="1:8" x14ac:dyDescent="0.25">
      <c r="A4">
        <v>10</v>
      </c>
      <c r="B4" t="s">
        <v>52</v>
      </c>
      <c r="C4">
        <v>12</v>
      </c>
      <c r="D4">
        <v>1200</v>
      </c>
      <c r="F4">
        <v>50000</v>
      </c>
    </row>
  </sheetData>
  <mergeCells count="4">
    <mergeCell ref="A1:H1"/>
    <mergeCell ref="C2:D2"/>
    <mergeCell ref="E2:F2"/>
    <mergeCell ref="G2:H2"/>
  </mergeCells>
  <pageMargins left="0.7" right="0.7" top="0.75" bottom="0.75" header="0.3" footer="0.3"/>
  <drawing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9BAB75-DF9D-4B13-9265-E0B046F0462C}">
  <dimension ref="A1:H4"/>
  <sheetViews>
    <sheetView workbookViewId="0">
      <selection activeCell="D16" sqref="A1:XFD1048576"/>
    </sheetView>
  </sheetViews>
  <sheetFormatPr baseColWidth="10" defaultRowHeight="15" x14ac:dyDescent="0.25"/>
  <cols>
    <col min="1" max="1" width="10" bestFit="1" customWidth="1"/>
    <col min="2" max="2" width="38.5703125" customWidth="1"/>
    <col min="3" max="8" width="20" customWidth="1"/>
  </cols>
  <sheetData>
    <row r="1" spans="1:8" x14ac:dyDescent="0.25">
      <c r="A1" s="719" t="str">
        <f>"BALANCE "&amp;[1]IDENTIFICATION!H7-1</f>
        <v>BALANCE 2022</v>
      </c>
      <c r="B1" s="719"/>
      <c r="C1" s="719"/>
      <c r="D1" s="719"/>
      <c r="E1" s="719"/>
      <c r="F1" s="719"/>
      <c r="G1" s="719"/>
      <c r="H1" s="719"/>
    </row>
    <row r="2" spans="1:8" x14ac:dyDescent="0.25">
      <c r="A2" s="23"/>
      <c r="B2" s="22"/>
      <c r="C2" s="720" t="s">
        <v>41</v>
      </c>
      <c r="D2" s="720"/>
      <c r="E2" s="720" t="s">
        <v>42</v>
      </c>
      <c r="F2" s="720"/>
      <c r="G2" s="720" t="s">
        <v>43</v>
      </c>
      <c r="H2" s="720"/>
    </row>
    <row r="3" spans="1:8" x14ac:dyDescent="0.25">
      <c r="A3" s="19" t="s">
        <v>44</v>
      </c>
      <c r="B3" s="20" t="s">
        <v>45</v>
      </c>
      <c r="C3" s="21" t="s">
        <v>46</v>
      </c>
      <c r="D3" s="21" t="s">
        <v>47</v>
      </c>
      <c r="E3" s="21" t="s">
        <v>48</v>
      </c>
      <c r="F3" s="21" t="s">
        <v>49</v>
      </c>
      <c r="G3" s="21" t="s">
        <v>50</v>
      </c>
      <c r="H3" s="21" t="s">
        <v>51</v>
      </c>
    </row>
    <row r="4" spans="1:8" x14ac:dyDescent="0.25">
      <c r="A4">
        <v>521100</v>
      </c>
      <c r="B4" t="s">
        <v>53</v>
      </c>
      <c r="C4">
        <v>0</v>
      </c>
      <c r="D4">
        <v>0</v>
      </c>
      <c r="E4">
        <v>50000</v>
      </c>
      <c r="F4">
        <v>0</v>
      </c>
      <c r="G4">
        <v>50000</v>
      </c>
    </row>
  </sheetData>
  <mergeCells count="4">
    <mergeCell ref="A1:H1"/>
    <mergeCell ref="C2:D2"/>
    <mergeCell ref="E2:F2"/>
    <mergeCell ref="G2:H2"/>
  </mergeCells>
  <pageMargins left="0.7" right="0.7" top="0.75" bottom="0.75" header="0.3" footer="0.3"/>
  <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41C062-E223-48B2-A6DA-F8B85237ACDE}">
  <dimension ref="B1:R52"/>
  <sheetViews>
    <sheetView topLeftCell="A3" workbookViewId="0">
      <selection activeCell="E11" sqref="E11:L11"/>
    </sheetView>
  </sheetViews>
  <sheetFormatPr baseColWidth="10" defaultColWidth="11.42578125" defaultRowHeight="10.9" customHeight="1" x14ac:dyDescent="0.2"/>
  <cols>
    <col min="1" max="1" width="1.5703125" style="24" customWidth="1"/>
    <col min="2" max="2" width="1.42578125" style="24" customWidth="1"/>
    <col min="3" max="3" width="4.5703125" style="24" customWidth="1"/>
    <col min="4" max="4" width="10.7109375" style="24" customWidth="1"/>
    <col min="5" max="5" width="11.140625" style="24" customWidth="1"/>
    <col min="6" max="7" width="10.7109375" style="24" customWidth="1"/>
    <col min="8" max="8" width="7.42578125" style="24" customWidth="1"/>
    <col min="9" max="9" width="5.42578125" style="24" customWidth="1"/>
    <col min="10" max="11" width="10.7109375" style="24" customWidth="1"/>
    <col min="12" max="12" width="10.5703125" style="24" customWidth="1"/>
    <col min="13" max="13" width="11.28515625" style="24" customWidth="1"/>
    <col min="14" max="14" width="4.5703125" style="24" customWidth="1"/>
    <col min="15" max="15" width="1.42578125" style="24" customWidth="1"/>
    <col min="16" max="16" width="10.5703125" style="24" customWidth="1"/>
    <col min="17" max="17" width="7.28515625" style="24" customWidth="1"/>
    <col min="18" max="16384" width="11.42578125" style="24"/>
  </cols>
  <sheetData>
    <row r="1" spans="2:15" ht="8.25" customHeight="1" x14ac:dyDescent="0.2"/>
    <row r="2" spans="2:15" ht="8.4499999999999993" customHeight="1" x14ac:dyDescent="0.2">
      <c r="B2" s="25"/>
      <c r="C2" s="26"/>
      <c r="D2" s="26"/>
      <c r="E2" s="26"/>
      <c r="F2" s="26"/>
      <c r="G2" s="26"/>
      <c r="H2" s="26"/>
      <c r="I2" s="26"/>
      <c r="J2" s="26"/>
      <c r="K2" s="26"/>
      <c r="L2" s="26"/>
      <c r="M2" s="26"/>
      <c r="N2" s="26"/>
      <c r="O2" s="25"/>
    </row>
    <row r="3" spans="2:15" ht="23.25" customHeight="1" x14ac:dyDescent="0.2">
      <c r="B3" s="26"/>
      <c r="C3" s="787" t="s">
        <v>54</v>
      </c>
      <c r="D3" s="787"/>
      <c r="E3" s="787"/>
      <c r="F3" s="787"/>
      <c r="G3" s="787"/>
      <c r="H3" s="787"/>
      <c r="I3" s="27"/>
      <c r="J3" s="28"/>
      <c r="K3" s="787" t="s">
        <v>26</v>
      </c>
      <c r="L3" s="787"/>
      <c r="M3" s="787"/>
      <c r="N3" s="28"/>
      <c r="O3" s="26"/>
    </row>
    <row r="4" spans="2:15" ht="6" customHeight="1" x14ac:dyDescent="0.2">
      <c r="B4" s="26"/>
      <c r="C4" s="28"/>
      <c r="D4" s="29"/>
      <c r="E4" s="30"/>
      <c r="F4" s="30"/>
      <c r="G4" s="30"/>
      <c r="H4" s="30"/>
      <c r="I4" s="30"/>
      <c r="J4" s="30"/>
      <c r="K4" s="30"/>
      <c r="L4" s="30"/>
      <c r="M4" s="30"/>
      <c r="N4" s="28"/>
      <c r="O4" s="26"/>
    </row>
    <row r="5" spans="2:15" ht="23.25" customHeight="1" x14ac:dyDescent="0.2">
      <c r="B5" s="26"/>
      <c r="C5" s="787" t="s">
        <v>55</v>
      </c>
      <c r="D5" s="787"/>
      <c r="E5" s="787"/>
      <c r="F5" s="787"/>
      <c r="G5" s="787"/>
      <c r="H5" s="787"/>
      <c r="I5" s="27"/>
      <c r="J5" s="30"/>
      <c r="K5" s="788" t="s">
        <v>56</v>
      </c>
      <c r="L5" s="788"/>
      <c r="M5" s="788"/>
      <c r="N5" s="28"/>
      <c r="O5" s="26"/>
    </row>
    <row r="6" spans="2:15" ht="6.75" customHeight="1" x14ac:dyDescent="0.2">
      <c r="B6" s="26"/>
      <c r="C6" s="28"/>
      <c r="D6" s="30"/>
      <c r="E6" s="30"/>
      <c r="F6" s="30"/>
      <c r="G6" s="30"/>
      <c r="H6" s="30"/>
      <c r="I6" s="30"/>
      <c r="J6" s="30"/>
      <c r="K6" s="30"/>
      <c r="L6" s="30"/>
      <c r="M6" s="30"/>
      <c r="N6" s="28"/>
      <c r="O6" s="26"/>
    </row>
    <row r="7" spans="2:15" ht="20.25" customHeight="1" x14ac:dyDescent="0.2">
      <c r="B7" s="26"/>
      <c r="C7" s="787" t="s">
        <v>57</v>
      </c>
      <c r="D7" s="787"/>
      <c r="E7" s="787"/>
      <c r="F7" s="787"/>
      <c r="G7" s="787"/>
      <c r="H7" s="787"/>
      <c r="I7" s="27"/>
      <c r="J7" s="30"/>
      <c r="K7" s="30"/>
      <c r="L7" s="30"/>
      <c r="M7" s="30"/>
      <c r="N7" s="28"/>
      <c r="O7" s="26"/>
    </row>
    <row r="8" spans="2:15" ht="8.25" customHeight="1" x14ac:dyDescent="0.2">
      <c r="B8" s="26"/>
      <c r="C8" s="27"/>
      <c r="D8" s="27"/>
      <c r="E8" s="27"/>
      <c r="F8" s="27"/>
      <c r="G8" s="27"/>
      <c r="H8" s="27"/>
      <c r="I8" s="27"/>
      <c r="J8" s="30"/>
      <c r="K8" s="30"/>
      <c r="L8" s="30"/>
      <c r="M8" s="30"/>
      <c r="N8" s="28"/>
      <c r="O8" s="26"/>
    </row>
    <row r="9" spans="2:15" ht="19.149999999999999" customHeight="1" x14ac:dyDescent="0.2">
      <c r="B9" s="26"/>
      <c r="D9" s="778" t="s">
        <v>58</v>
      </c>
      <c r="E9" s="778"/>
      <c r="F9" s="778"/>
      <c r="G9" s="786" t="s">
        <v>24</v>
      </c>
      <c r="H9" s="783"/>
      <c r="I9" s="783"/>
      <c r="J9" s="783"/>
      <c r="K9" s="783"/>
      <c r="L9" s="783"/>
      <c r="M9" s="32"/>
      <c r="O9" s="26"/>
    </row>
    <row r="10" spans="2:15" ht="9.75" customHeight="1" x14ac:dyDescent="0.2">
      <c r="B10" s="26"/>
      <c r="D10" s="32"/>
      <c r="E10" s="32"/>
      <c r="F10" s="32"/>
      <c r="G10" s="32"/>
      <c r="H10" s="32"/>
      <c r="I10" s="32"/>
      <c r="J10" s="32"/>
      <c r="K10" s="32"/>
      <c r="L10" s="32"/>
      <c r="M10" s="32"/>
      <c r="O10" s="26"/>
    </row>
    <row r="11" spans="2:15" ht="34.5" customHeight="1" x14ac:dyDescent="0.2">
      <c r="B11" s="26"/>
      <c r="E11" s="783" t="s">
        <v>59</v>
      </c>
      <c r="F11" s="778"/>
      <c r="G11" s="778"/>
      <c r="H11" s="778"/>
      <c r="I11" s="778"/>
      <c r="J11" s="778"/>
      <c r="K11" s="778"/>
      <c r="L11" s="778"/>
      <c r="O11" s="26"/>
    </row>
    <row r="12" spans="2:15" ht="6.75" customHeight="1" x14ac:dyDescent="0.2">
      <c r="B12" s="26"/>
      <c r="O12" s="26"/>
    </row>
    <row r="13" spans="2:15" ht="20.45" customHeight="1" x14ac:dyDescent="0.25">
      <c r="B13" s="26"/>
      <c r="D13" s="33"/>
      <c r="E13" s="778" t="s">
        <v>60</v>
      </c>
      <c r="F13" s="778"/>
      <c r="G13" s="778"/>
      <c r="H13" s="784">
        <v>46022</v>
      </c>
      <c r="I13" s="778"/>
      <c r="J13" s="778"/>
      <c r="K13" s="778"/>
      <c r="L13" s="778"/>
      <c r="M13" s="33"/>
      <c r="O13" s="26"/>
    </row>
    <row r="14" spans="2:15" ht="7.5" customHeight="1" x14ac:dyDescent="0.2">
      <c r="B14" s="26"/>
      <c r="D14" s="31"/>
      <c r="E14" s="34"/>
      <c r="F14" s="31"/>
      <c r="G14" s="35"/>
      <c r="H14" s="35"/>
      <c r="I14" s="35"/>
      <c r="J14" s="35"/>
      <c r="K14" s="35"/>
      <c r="L14" s="34"/>
      <c r="M14" s="31"/>
      <c r="O14" s="26"/>
    </row>
    <row r="15" spans="2:15" ht="23.25" customHeight="1" x14ac:dyDescent="0.25">
      <c r="B15" s="26"/>
      <c r="D15" s="33"/>
      <c r="E15" s="33"/>
      <c r="F15" s="778" t="s">
        <v>61</v>
      </c>
      <c r="G15" s="778"/>
      <c r="H15" s="778"/>
      <c r="I15" s="778"/>
      <c r="J15" s="778"/>
      <c r="K15" s="778"/>
      <c r="L15" s="33"/>
      <c r="M15" s="33"/>
      <c r="O15" s="26"/>
    </row>
    <row r="16" spans="2:15" ht="4.9000000000000004" customHeight="1" x14ac:dyDescent="0.25">
      <c r="B16" s="26"/>
      <c r="D16" s="33"/>
      <c r="E16" s="33"/>
      <c r="F16" s="36"/>
      <c r="G16" s="37"/>
      <c r="H16" s="37"/>
      <c r="I16" s="37"/>
      <c r="J16" s="37"/>
      <c r="K16" s="33"/>
      <c r="L16" s="33"/>
      <c r="M16" s="33"/>
      <c r="O16" s="26"/>
    </row>
    <row r="17" spans="2:18" ht="21" customHeight="1" x14ac:dyDescent="0.2">
      <c r="B17" s="26"/>
      <c r="D17" s="771" t="s">
        <v>62</v>
      </c>
      <c r="E17" s="771"/>
      <c r="F17" s="771"/>
      <c r="G17" s="785" t="s">
        <v>2</v>
      </c>
      <c r="H17" s="785"/>
      <c r="I17" s="785"/>
      <c r="J17" s="785"/>
      <c r="K17" s="785"/>
      <c r="L17" s="785"/>
      <c r="M17" s="785"/>
      <c r="O17" s="26"/>
    </row>
    <row r="18" spans="2:18" ht="19.149999999999999" customHeight="1" x14ac:dyDescent="0.2">
      <c r="B18" s="26"/>
      <c r="D18" s="39"/>
      <c r="E18" s="39"/>
      <c r="F18" s="39"/>
      <c r="G18" s="778" t="s">
        <v>4</v>
      </c>
      <c r="H18" s="778"/>
      <c r="I18" s="778"/>
      <c r="J18" s="778"/>
      <c r="K18" s="778"/>
      <c r="L18" s="778"/>
      <c r="M18" s="778"/>
      <c r="O18" s="26"/>
    </row>
    <row r="19" spans="2:18" ht="19.149999999999999" customHeight="1" x14ac:dyDescent="0.2">
      <c r="B19" s="26"/>
      <c r="D19" s="771" t="s">
        <v>63</v>
      </c>
      <c r="E19" s="771"/>
      <c r="F19" s="774" t="s">
        <v>6</v>
      </c>
      <c r="G19" s="774"/>
      <c r="H19" s="774"/>
      <c r="I19" s="774"/>
      <c r="J19" s="774"/>
      <c r="K19" s="774"/>
      <c r="L19" s="774"/>
      <c r="M19" s="774"/>
      <c r="O19" s="26"/>
    </row>
    <row r="20" spans="2:18" ht="19.149999999999999" customHeight="1" x14ac:dyDescent="0.2">
      <c r="B20" s="26"/>
      <c r="D20" s="771" t="s">
        <v>64</v>
      </c>
      <c r="E20" s="771"/>
      <c r="F20" s="779">
        <v>4431</v>
      </c>
      <c r="G20" s="779"/>
      <c r="H20" s="779"/>
      <c r="I20" s="779"/>
      <c r="J20" s="779"/>
      <c r="K20" s="779"/>
      <c r="L20" s="779"/>
      <c r="M20" s="779"/>
      <c r="O20" s="26"/>
    </row>
    <row r="21" spans="2:18" ht="46.5" customHeight="1" x14ac:dyDescent="0.2">
      <c r="B21" s="26"/>
      <c r="D21" s="771" t="s">
        <v>65</v>
      </c>
      <c r="E21" s="771"/>
      <c r="F21" s="780" t="s">
        <v>15</v>
      </c>
      <c r="G21" s="781"/>
      <c r="H21" s="781"/>
      <c r="I21" s="781"/>
      <c r="J21" s="781"/>
      <c r="K21" s="781"/>
      <c r="L21" s="781"/>
      <c r="M21" s="781"/>
      <c r="O21" s="26"/>
    </row>
    <row r="22" spans="2:18" ht="19.149999999999999" customHeight="1" x14ac:dyDescent="0.2">
      <c r="B22" s="26"/>
      <c r="D22" s="40" t="s">
        <v>66</v>
      </c>
      <c r="E22" s="40"/>
      <c r="F22" s="779">
        <v>25242546</v>
      </c>
      <c r="G22" s="779"/>
      <c r="H22" s="779"/>
      <c r="I22" s="779"/>
      <c r="J22" s="779"/>
      <c r="K22" s="779"/>
      <c r="L22" s="779"/>
      <c r="M22" s="779"/>
      <c r="O22" s="26"/>
      <c r="R22" s="41"/>
    </row>
    <row r="23" spans="2:18" ht="19.149999999999999" customHeight="1" x14ac:dyDescent="0.2">
      <c r="B23" s="26"/>
      <c r="D23" s="771" t="s">
        <v>67</v>
      </c>
      <c r="E23" s="771"/>
      <c r="F23" s="779" t="s">
        <v>28</v>
      </c>
      <c r="G23" s="779"/>
      <c r="H23" s="779"/>
      <c r="I23" s="779"/>
      <c r="J23" s="779"/>
      <c r="K23" s="779"/>
      <c r="L23" s="779"/>
      <c r="M23" s="779"/>
      <c r="O23" s="26"/>
    </row>
    <row r="24" spans="2:18" ht="19.149999999999999" customHeight="1" x14ac:dyDescent="0.2">
      <c r="B24" s="26"/>
      <c r="D24" s="771" t="s">
        <v>68</v>
      </c>
      <c r="E24" s="771"/>
      <c r="F24" s="771"/>
      <c r="G24" s="782" t="s">
        <v>12</v>
      </c>
      <c r="H24" s="782"/>
      <c r="I24" s="782"/>
      <c r="J24" s="782"/>
      <c r="K24" s="782"/>
      <c r="L24" s="782"/>
      <c r="M24" s="42"/>
      <c r="O24" s="26"/>
    </row>
    <row r="25" spans="2:18" ht="19.149999999999999" customHeight="1" x14ac:dyDescent="0.2">
      <c r="B25" s="26"/>
      <c r="D25" s="771" t="s">
        <v>69</v>
      </c>
      <c r="E25" s="771"/>
      <c r="F25" s="771"/>
      <c r="G25" s="779" t="s">
        <v>8</v>
      </c>
      <c r="H25" s="779"/>
      <c r="I25" s="779"/>
      <c r="J25" s="779"/>
      <c r="K25" s="779"/>
      <c r="L25" s="779"/>
      <c r="M25" s="43"/>
      <c r="O25" s="26"/>
    </row>
    <row r="26" spans="2:18" ht="7.5" customHeight="1" x14ac:dyDescent="0.2">
      <c r="B26" s="26"/>
      <c r="F26" s="44"/>
      <c r="G26" s="44"/>
      <c r="H26" s="44"/>
      <c r="I26" s="44"/>
      <c r="J26" s="44"/>
      <c r="O26" s="26"/>
    </row>
    <row r="27" spans="2:18" ht="43.9" customHeight="1" x14ac:dyDescent="0.2">
      <c r="B27" s="26"/>
      <c r="D27" s="771" t="s">
        <v>70</v>
      </c>
      <c r="E27" s="771"/>
      <c r="F27" s="772" t="s">
        <v>34</v>
      </c>
      <c r="G27" s="772"/>
      <c r="H27" s="772"/>
      <c r="I27" s="772"/>
      <c r="J27" s="772"/>
      <c r="K27" s="772"/>
      <c r="L27" s="772"/>
      <c r="M27" s="772"/>
      <c r="O27" s="26"/>
    </row>
    <row r="28" spans="2:18" ht="19.149999999999999" customHeight="1" x14ac:dyDescent="0.2">
      <c r="B28" s="26"/>
      <c r="D28" s="45"/>
      <c r="E28" s="45"/>
      <c r="F28" s="773">
        <v>555555</v>
      </c>
      <c r="G28" s="773"/>
      <c r="H28" s="773"/>
      <c r="I28" s="773"/>
      <c r="J28" s="773"/>
      <c r="K28" s="773"/>
      <c r="L28" s="773"/>
      <c r="M28" s="773"/>
      <c r="O28" s="26"/>
    </row>
    <row r="29" spans="2:18" ht="19.149999999999999" customHeight="1" x14ac:dyDescent="0.2">
      <c r="B29" s="26"/>
      <c r="D29" s="771" t="s">
        <v>71</v>
      </c>
      <c r="E29" s="771"/>
      <c r="F29" s="771"/>
      <c r="G29" s="774" t="s">
        <v>36</v>
      </c>
      <c r="H29" s="774"/>
      <c r="I29" s="774"/>
      <c r="J29" s="774"/>
      <c r="K29" s="774"/>
      <c r="L29" s="774"/>
      <c r="M29" s="774"/>
      <c r="O29" s="26"/>
    </row>
    <row r="30" spans="2:18" ht="19.149999999999999" customHeight="1" x14ac:dyDescent="0.2">
      <c r="B30" s="26"/>
      <c r="D30" s="771" t="s">
        <v>72</v>
      </c>
      <c r="E30" s="771"/>
      <c r="F30" s="775" t="s">
        <v>38</v>
      </c>
      <c r="G30" s="775"/>
      <c r="H30" s="775"/>
      <c r="I30" s="775"/>
      <c r="J30" s="775"/>
      <c r="K30" s="775"/>
      <c r="L30" s="775"/>
      <c r="M30" s="775"/>
      <c r="O30" s="26"/>
    </row>
    <row r="31" spans="2:18" ht="19.149999999999999" customHeight="1" x14ac:dyDescent="0.2">
      <c r="B31" s="26"/>
      <c r="D31" s="771" t="s">
        <v>73</v>
      </c>
      <c r="E31" s="771"/>
      <c r="F31" s="776">
        <v>44713</v>
      </c>
      <c r="G31" s="776"/>
      <c r="H31" s="44"/>
      <c r="I31" s="40"/>
      <c r="J31" s="777" t="s">
        <v>74</v>
      </c>
      <c r="K31" s="777"/>
      <c r="L31" s="776">
        <v>45991</v>
      </c>
      <c r="M31" s="776"/>
      <c r="O31" s="26"/>
    </row>
    <row r="32" spans="2:18" ht="7.15" customHeight="1" x14ac:dyDescent="0.2">
      <c r="B32" s="26"/>
      <c r="D32" s="38"/>
      <c r="E32" s="38"/>
      <c r="F32" s="44"/>
      <c r="G32" s="44"/>
      <c r="H32" s="44"/>
      <c r="I32" s="44"/>
      <c r="J32" s="44"/>
      <c r="O32" s="26"/>
    </row>
    <row r="33" spans="2:15" ht="24.75" customHeight="1" x14ac:dyDescent="0.2">
      <c r="B33" s="26"/>
      <c r="F33" s="778" t="s">
        <v>75</v>
      </c>
      <c r="G33" s="778"/>
      <c r="H33" s="778"/>
      <c r="I33" s="778"/>
      <c r="J33" s="778"/>
      <c r="K33" s="778"/>
      <c r="O33" s="26"/>
    </row>
    <row r="34" spans="2:15" ht="24.75" customHeight="1" x14ac:dyDescent="0.2">
      <c r="B34" s="26"/>
      <c r="D34" s="770" t="s">
        <v>76</v>
      </c>
      <c r="E34" s="770"/>
      <c r="F34" s="770"/>
      <c r="G34" s="770"/>
      <c r="H34" s="770"/>
      <c r="I34" s="44"/>
      <c r="J34" s="770" t="s">
        <v>77</v>
      </c>
      <c r="K34" s="770"/>
      <c r="L34" s="770"/>
      <c r="M34" s="770"/>
      <c r="O34" s="26"/>
    </row>
    <row r="35" spans="2:15" ht="24" customHeight="1" x14ac:dyDescent="0.2">
      <c r="B35" s="26"/>
      <c r="D35" s="765" t="s">
        <v>78</v>
      </c>
      <c r="E35" s="766"/>
      <c r="F35" s="766"/>
      <c r="G35" s="766"/>
      <c r="H35" s="47"/>
      <c r="I35" s="44"/>
      <c r="J35" s="767" t="s">
        <v>79</v>
      </c>
      <c r="K35" s="768"/>
      <c r="L35" s="768"/>
      <c r="M35" s="769"/>
      <c r="O35" s="26"/>
    </row>
    <row r="36" spans="2:15" ht="6" customHeight="1" x14ac:dyDescent="0.2">
      <c r="B36" s="26"/>
      <c r="D36" s="48"/>
      <c r="F36" s="44"/>
      <c r="G36" s="44"/>
      <c r="H36" s="49"/>
      <c r="I36" s="44"/>
      <c r="J36" s="759"/>
      <c r="K36" s="760"/>
      <c r="L36" s="760"/>
      <c r="M36" s="761"/>
      <c r="O36" s="26"/>
    </row>
    <row r="37" spans="2:15" ht="24" customHeight="1" x14ac:dyDescent="0.2">
      <c r="B37" s="26"/>
      <c r="D37" s="757" t="s">
        <v>80</v>
      </c>
      <c r="E37" s="758"/>
      <c r="F37" s="758"/>
      <c r="G37" s="758"/>
      <c r="H37" s="49"/>
      <c r="I37" s="44"/>
      <c r="J37" s="759"/>
      <c r="K37" s="760"/>
      <c r="L37" s="760"/>
      <c r="M37" s="761"/>
      <c r="O37" s="26"/>
    </row>
    <row r="38" spans="2:15" ht="4.5" customHeight="1" x14ac:dyDescent="0.2">
      <c r="B38" s="26"/>
      <c r="D38" s="48"/>
      <c r="F38" s="44"/>
      <c r="G38" s="44"/>
      <c r="H38" s="49"/>
      <c r="I38" s="44"/>
      <c r="J38" s="759"/>
      <c r="K38" s="760"/>
      <c r="L38" s="760"/>
      <c r="M38" s="761"/>
      <c r="O38" s="26"/>
    </row>
    <row r="39" spans="2:15" ht="24" customHeight="1" x14ac:dyDescent="0.2">
      <c r="B39" s="26"/>
      <c r="D39" s="757" t="s">
        <v>81</v>
      </c>
      <c r="E39" s="758"/>
      <c r="F39" s="758"/>
      <c r="G39" s="758"/>
      <c r="H39" s="49"/>
      <c r="I39" s="44"/>
      <c r="J39" s="759"/>
      <c r="K39" s="760"/>
      <c r="L39" s="760"/>
      <c r="M39" s="761"/>
      <c r="O39" s="26"/>
    </row>
    <row r="40" spans="2:15" ht="3.75" customHeight="1" x14ac:dyDescent="0.2">
      <c r="B40" s="26"/>
      <c r="D40" s="48"/>
      <c r="F40" s="44"/>
      <c r="G40" s="44"/>
      <c r="H40" s="49"/>
      <c r="I40" s="44"/>
      <c r="J40" s="759"/>
      <c r="K40" s="760"/>
      <c r="L40" s="760"/>
      <c r="M40" s="761"/>
      <c r="O40" s="26"/>
    </row>
    <row r="41" spans="2:15" ht="24" customHeight="1" x14ac:dyDescent="0.2">
      <c r="B41" s="26"/>
      <c r="D41" s="757" t="s">
        <v>82</v>
      </c>
      <c r="E41" s="758"/>
      <c r="F41" s="758"/>
      <c r="G41" s="758"/>
      <c r="H41" s="49"/>
      <c r="I41" s="44"/>
      <c r="J41" s="759"/>
      <c r="K41" s="760"/>
      <c r="L41" s="760"/>
      <c r="M41" s="761"/>
      <c r="O41" s="26"/>
    </row>
    <row r="42" spans="2:15" ht="5.45" customHeight="1" x14ac:dyDescent="0.2">
      <c r="B42" s="26"/>
      <c r="D42" s="48"/>
      <c r="F42" s="44"/>
      <c r="G42" s="44"/>
      <c r="H42" s="49"/>
      <c r="I42" s="44"/>
      <c r="J42" s="50"/>
      <c r="M42" s="51"/>
      <c r="O42" s="26"/>
    </row>
    <row r="43" spans="2:15" ht="21" customHeight="1" x14ac:dyDescent="0.2">
      <c r="B43" s="26"/>
      <c r="D43" s="48"/>
      <c r="F43" s="44"/>
      <c r="G43" s="44"/>
      <c r="H43" s="49"/>
      <c r="I43" s="44"/>
      <c r="J43" s="767" t="s">
        <v>83</v>
      </c>
      <c r="K43" s="768"/>
      <c r="L43" s="768"/>
      <c r="M43" s="769"/>
      <c r="O43" s="26"/>
    </row>
    <row r="44" spans="2:15" ht="14.25" customHeight="1" x14ac:dyDescent="0.2">
      <c r="B44" s="26"/>
      <c r="D44" s="48"/>
      <c r="F44" s="44"/>
      <c r="G44" s="44"/>
      <c r="H44" s="49"/>
      <c r="I44" s="44"/>
      <c r="J44" s="759"/>
      <c r="K44" s="760"/>
      <c r="L44" s="760"/>
      <c r="M44" s="761"/>
      <c r="O44" s="26"/>
    </row>
    <row r="45" spans="2:15" ht="14.25" customHeight="1" x14ac:dyDescent="0.2">
      <c r="B45" s="26"/>
      <c r="D45" s="48"/>
      <c r="F45" s="44"/>
      <c r="G45" s="44"/>
      <c r="H45" s="52"/>
      <c r="I45" s="44"/>
      <c r="J45" s="762"/>
      <c r="K45" s="763"/>
      <c r="L45" s="763"/>
      <c r="M45" s="764"/>
      <c r="O45" s="26"/>
    </row>
    <row r="46" spans="2:15" ht="6.75" customHeight="1" x14ac:dyDescent="0.2">
      <c r="B46" s="26"/>
      <c r="D46" s="53"/>
      <c r="E46" s="54"/>
      <c r="F46" s="55"/>
      <c r="G46" s="55"/>
      <c r="H46" s="56"/>
      <c r="I46" s="44"/>
      <c r="J46" s="50"/>
      <c r="M46" s="51"/>
      <c r="O46" s="26"/>
    </row>
    <row r="47" spans="2:15" ht="18" customHeight="1" x14ac:dyDescent="0.2">
      <c r="B47" s="26"/>
      <c r="D47" s="757" t="s">
        <v>84</v>
      </c>
      <c r="E47" s="758"/>
      <c r="F47" s="758"/>
      <c r="G47" s="758"/>
      <c r="H47" s="57"/>
      <c r="I47" s="44"/>
      <c r="J47" s="759" t="s">
        <v>85</v>
      </c>
      <c r="K47" s="760"/>
      <c r="L47" s="760"/>
      <c r="M47" s="761"/>
      <c r="O47" s="26"/>
    </row>
    <row r="48" spans="2:15" ht="6.75" customHeight="1" x14ac:dyDescent="0.2">
      <c r="B48" s="26"/>
      <c r="D48" s="48"/>
      <c r="F48" s="44"/>
      <c r="G48" s="44"/>
      <c r="H48" s="58"/>
      <c r="I48" s="44"/>
      <c r="J48" s="759"/>
      <c r="K48" s="760"/>
      <c r="L48" s="760"/>
      <c r="M48" s="761"/>
      <c r="O48" s="26"/>
    </row>
    <row r="49" spans="2:15" ht="18" customHeight="1" x14ac:dyDescent="0.2">
      <c r="B49" s="26"/>
      <c r="D49" s="757" t="s">
        <v>86</v>
      </c>
      <c r="E49" s="758"/>
      <c r="F49" s="758"/>
      <c r="G49" s="44"/>
      <c r="H49" s="57"/>
      <c r="I49" s="44"/>
      <c r="J49" s="759"/>
      <c r="K49" s="760"/>
      <c r="L49" s="760"/>
      <c r="M49" s="761"/>
      <c r="O49" s="26"/>
    </row>
    <row r="50" spans="2:15" ht="11.25" customHeight="1" x14ac:dyDescent="0.2">
      <c r="B50" s="26"/>
      <c r="D50" s="59"/>
      <c r="E50" s="60"/>
      <c r="F50" s="61"/>
      <c r="G50" s="61"/>
      <c r="H50" s="62"/>
      <c r="I50" s="44"/>
      <c r="J50" s="762"/>
      <c r="K50" s="763"/>
      <c r="L50" s="763"/>
      <c r="M50" s="764"/>
      <c r="O50" s="26"/>
    </row>
    <row r="51" spans="2:15" ht="11.25" customHeight="1" x14ac:dyDescent="0.2">
      <c r="B51" s="26"/>
      <c r="F51" s="44"/>
      <c r="G51" s="44"/>
      <c r="H51" s="44"/>
      <c r="I51" s="44"/>
      <c r="J51" s="44"/>
      <c r="O51" s="26"/>
    </row>
    <row r="52" spans="2:15" ht="8.4499999999999993" customHeight="1" x14ac:dyDescent="0.2">
      <c r="B52" s="25"/>
      <c r="C52" s="26"/>
      <c r="D52" s="26"/>
      <c r="E52" s="26"/>
      <c r="F52" s="26"/>
      <c r="G52" s="26"/>
      <c r="H52" s="26"/>
      <c r="I52" s="26"/>
      <c r="J52" s="26"/>
      <c r="K52" s="26"/>
      <c r="L52" s="26"/>
      <c r="M52" s="26"/>
      <c r="N52" s="26"/>
      <c r="O52" s="25"/>
    </row>
  </sheetData>
  <mergeCells count="50">
    <mergeCell ref="D9:F9"/>
    <mergeCell ref="G9:L9"/>
    <mergeCell ref="C3:H3"/>
    <mergeCell ref="K3:M3"/>
    <mergeCell ref="C5:H5"/>
    <mergeCell ref="K5:M5"/>
    <mergeCell ref="C7:H7"/>
    <mergeCell ref="E11:L11"/>
    <mergeCell ref="E13:G13"/>
    <mergeCell ref="H13:L13"/>
    <mergeCell ref="F15:K15"/>
    <mergeCell ref="D17:F17"/>
    <mergeCell ref="G17:M17"/>
    <mergeCell ref="D25:F25"/>
    <mergeCell ref="G25:L25"/>
    <mergeCell ref="G18:M18"/>
    <mergeCell ref="D19:E19"/>
    <mergeCell ref="F19:M19"/>
    <mergeCell ref="D20:E20"/>
    <mergeCell ref="F20:M20"/>
    <mergeCell ref="D21:E21"/>
    <mergeCell ref="F21:M21"/>
    <mergeCell ref="F22:M22"/>
    <mergeCell ref="D23:E23"/>
    <mergeCell ref="F23:M23"/>
    <mergeCell ref="D24:F24"/>
    <mergeCell ref="G24:L24"/>
    <mergeCell ref="D34:H34"/>
    <mergeCell ref="J34:M34"/>
    <mergeCell ref="D27:E27"/>
    <mergeCell ref="F27:M27"/>
    <mergeCell ref="F28:M28"/>
    <mergeCell ref="D29:F29"/>
    <mergeCell ref="G29:M29"/>
    <mergeCell ref="D30:E30"/>
    <mergeCell ref="F30:M30"/>
    <mergeCell ref="D31:E31"/>
    <mergeCell ref="F31:G31"/>
    <mergeCell ref="J31:K31"/>
    <mergeCell ref="L31:M31"/>
    <mergeCell ref="F33:K33"/>
    <mergeCell ref="D47:G47"/>
    <mergeCell ref="J47:M50"/>
    <mergeCell ref="D49:F49"/>
    <mergeCell ref="D35:G35"/>
    <mergeCell ref="J35:M41"/>
    <mergeCell ref="D37:G37"/>
    <mergeCell ref="D39:G39"/>
    <mergeCell ref="D41:G41"/>
    <mergeCell ref="J43:M45"/>
  </mergeCells>
  <pageMargins left="0.7" right="0.7" top="0.75" bottom="0.75" header="0.3" footer="0.3"/>
  <drawing r:id="rId1"/>
  <legacyDrawing r:id="rId2"/>
  <mc:AlternateContent xmlns:mc="http://schemas.openxmlformats.org/markup-compatibility/2006">
    <mc:Choice Requires="x14">
      <controls>
        <mc:AlternateContent xmlns:mc="http://schemas.openxmlformats.org/markup-compatibility/2006">
          <mc:Choice Requires="x14">
            <control shapeId="45057" r:id="rId3" name="Check Box 4">
              <controlPr defaultSize="0" autoFill="0" autoLine="0" autoPict="0">
                <anchor moveWithCells="1">
                  <from>
                    <xdr:col>7</xdr:col>
                    <xdr:colOff>123825</xdr:colOff>
                    <xdr:row>33</xdr:row>
                    <xdr:rowOff>276225</xdr:rowOff>
                  </from>
                  <to>
                    <xdr:col>7</xdr:col>
                    <xdr:colOff>476250</xdr:colOff>
                    <xdr:row>36</xdr:row>
                    <xdr:rowOff>0</xdr:rowOff>
                  </to>
                </anchor>
              </controlPr>
            </control>
          </mc:Choice>
        </mc:AlternateContent>
        <mc:AlternateContent xmlns:mc="http://schemas.openxmlformats.org/markup-compatibility/2006">
          <mc:Choice Requires="x14">
            <control shapeId="45058" r:id="rId4" name="Check Box 5">
              <controlPr defaultSize="0" autoFill="0" autoLine="0" autoPict="0">
                <anchor moveWithCells="1">
                  <from>
                    <xdr:col>7</xdr:col>
                    <xdr:colOff>123825</xdr:colOff>
                    <xdr:row>35</xdr:row>
                    <xdr:rowOff>38100</xdr:rowOff>
                  </from>
                  <to>
                    <xdr:col>7</xdr:col>
                    <xdr:colOff>485775</xdr:colOff>
                    <xdr:row>36</xdr:row>
                    <xdr:rowOff>123825</xdr:rowOff>
                  </to>
                </anchor>
              </controlPr>
            </control>
          </mc:Choice>
        </mc:AlternateContent>
        <mc:AlternateContent xmlns:mc="http://schemas.openxmlformats.org/markup-compatibility/2006">
          <mc:Choice Requires="x14">
            <control shapeId="45059" r:id="rId5" name="Check Box 6">
              <controlPr defaultSize="0" autoFill="0" autoLine="0" autoPict="0">
                <anchor moveWithCells="1">
                  <from>
                    <xdr:col>7</xdr:col>
                    <xdr:colOff>123825</xdr:colOff>
                    <xdr:row>37</xdr:row>
                    <xdr:rowOff>19050</xdr:rowOff>
                  </from>
                  <to>
                    <xdr:col>7</xdr:col>
                    <xdr:colOff>485775</xdr:colOff>
                    <xdr:row>38</xdr:row>
                    <xdr:rowOff>104775</xdr:rowOff>
                  </to>
                </anchor>
              </controlPr>
            </control>
          </mc:Choice>
        </mc:AlternateContent>
        <mc:AlternateContent xmlns:mc="http://schemas.openxmlformats.org/markup-compatibility/2006">
          <mc:Choice Requires="x14">
            <control shapeId="45060" r:id="rId6" name="Check Box 7">
              <controlPr defaultSize="0" autoFill="0" autoLine="0" autoPict="0">
                <anchor moveWithCells="1">
                  <from>
                    <xdr:col>7</xdr:col>
                    <xdr:colOff>123825</xdr:colOff>
                    <xdr:row>39</xdr:row>
                    <xdr:rowOff>19050</xdr:rowOff>
                  </from>
                  <to>
                    <xdr:col>7</xdr:col>
                    <xdr:colOff>476250</xdr:colOff>
                    <xdr:row>40</xdr:row>
                    <xdr:rowOff>104775</xdr:rowOff>
                  </to>
                </anchor>
              </controlPr>
            </control>
          </mc:Choice>
        </mc:AlternateContent>
      </controls>
    </mc:Choice>
  </mc:AlternateConten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EDE3C2-8B73-4578-8BD8-C0137760914A}">
  <dimension ref="A3:H40"/>
  <sheetViews>
    <sheetView workbookViewId="0">
      <selection activeCell="D15" sqref="A1:XFD1048576"/>
    </sheetView>
  </sheetViews>
  <sheetFormatPr baseColWidth="10" defaultRowHeight="15" x14ac:dyDescent="0.25"/>
  <cols>
    <col min="1" max="1" width="5.7109375" customWidth="1"/>
    <col min="8" max="8" width="24.28515625" customWidth="1"/>
  </cols>
  <sheetData>
    <row r="3" spans="1:8" ht="15.75" x14ac:dyDescent="0.25">
      <c r="A3" s="789" t="s">
        <v>87</v>
      </c>
      <c r="B3" s="789"/>
      <c r="C3" s="789"/>
      <c r="D3" s="789"/>
      <c r="E3" s="789"/>
      <c r="F3" s="789"/>
      <c r="G3" s="789"/>
      <c r="H3" s="789"/>
    </row>
    <row r="4" spans="1:8" ht="15.75" x14ac:dyDescent="0.25">
      <c r="A4" s="63"/>
      <c r="B4" s="63"/>
      <c r="C4" s="63"/>
      <c r="D4" s="63"/>
      <c r="E4" s="63"/>
      <c r="F4" s="63"/>
      <c r="G4" s="63"/>
      <c r="H4" s="63"/>
    </row>
    <row r="5" spans="1:8" ht="15.75" x14ac:dyDescent="0.25">
      <c r="A5" s="63"/>
      <c r="B5" s="63"/>
      <c r="C5" s="63"/>
      <c r="D5" s="63"/>
      <c r="E5" s="63"/>
      <c r="F5" s="63"/>
      <c r="G5" s="63"/>
      <c r="H5" s="63"/>
    </row>
    <row r="6" spans="1:8" ht="15.75" x14ac:dyDescent="0.25">
      <c r="A6" s="64" t="s">
        <v>88</v>
      </c>
      <c r="B6" s="63"/>
      <c r="C6" s="63"/>
      <c r="D6" s="63"/>
      <c r="E6" s="63"/>
      <c r="F6" s="63"/>
      <c r="G6" s="63"/>
      <c r="H6" s="63"/>
    </row>
    <row r="7" spans="1:8" ht="15.75" x14ac:dyDescent="0.25">
      <c r="A7" s="64"/>
      <c r="B7" s="63"/>
      <c r="C7" s="63"/>
      <c r="D7" s="63"/>
      <c r="E7" s="63"/>
      <c r="F7" s="63"/>
      <c r="G7" s="63"/>
      <c r="H7" s="63"/>
    </row>
    <row r="8" spans="1:8" ht="15.75" x14ac:dyDescent="0.25">
      <c r="A8" s="63"/>
      <c r="B8" s="63"/>
      <c r="C8" s="63"/>
      <c r="D8" s="63"/>
      <c r="E8" s="63"/>
      <c r="F8" s="63"/>
      <c r="G8" s="63"/>
      <c r="H8" s="63"/>
    </row>
    <row r="9" spans="1:8" ht="15.75" x14ac:dyDescent="0.25">
      <c r="A9" s="63"/>
      <c r="B9" s="63" t="s">
        <v>89</v>
      </c>
      <c r="C9" s="63"/>
      <c r="D9" s="63"/>
      <c r="E9" s="63"/>
      <c r="F9" s="63"/>
      <c r="G9" s="63"/>
      <c r="H9" s="63"/>
    </row>
    <row r="10" spans="1:8" ht="15.75" x14ac:dyDescent="0.25">
      <c r="A10" s="63"/>
      <c r="B10" s="63"/>
      <c r="C10" s="63"/>
      <c r="D10" s="63"/>
      <c r="E10" s="63"/>
      <c r="F10" s="63"/>
      <c r="G10" s="63"/>
      <c r="H10" s="63"/>
    </row>
    <row r="11" spans="1:8" ht="15.75" x14ac:dyDescent="0.25">
      <c r="A11" s="63"/>
      <c r="B11" s="63" t="s">
        <v>90</v>
      </c>
      <c r="C11" s="63"/>
      <c r="D11" s="63"/>
      <c r="E11" s="63"/>
      <c r="F11" s="63"/>
      <c r="G11" s="63"/>
      <c r="H11" s="63"/>
    </row>
    <row r="12" spans="1:8" ht="15.75" x14ac:dyDescent="0.25">
      <c r="A12" s="63"/>
      <c r="B12" s="63"/>
      <c r="C12" s="63"/>
      <c r="D12" s="63"/>
      <c r="E12" s="63"/>
      <c r="F12" s="63"/>
      <c r="G12" s="63"/>
      <c r="H12" s="63"/>
    </row>
    <row r="13" spans="1:8" ht="15.75" x14ac:dyDescent="0.25">
      <c r="A13" s="63"/>
      <c r="B13" s="63" t="s">
        <v>91</v>
      </c>
      <c r="C13" s="63"/>
      <c r="D13" s="63"/>
      <c r="E13" s="63"/>
      <c r="F13" s="63"/>
      <c r="G13" s="63"/>
      <c r="H13" s="63"/>
    </row>
    <row r="14" spans="1:8" ht="15.75" x14ac:dyDescent="0.25">
      <c r="A14" s="63"/>
      <c r="B14" s="63"/>
      <c r="C14" s="63"/>
      <c r="D14" s="63"/>
      <c r="E14" s="63"/>
      <c r="F14" s="63"/>
      <c r="G14" s="63"/>
      <c r="H14" s="63"/>
    </row>
    <row r="15" spans="1:8" ht="15.75" x14ac:dyDescent="0.25">
      <c r="A15" s="63"/>
      <c r="B15" s="63" t="s">
        <v>92</v>
      </c>
      <c r="C15" s="63"/>
      <c r="D15" s="63"/>
      <c r="E15" s="63"/>
      <c r="F15" s="63"/>
      <c r="G15" s="63"/>
      <c r="H15" s="63"/>
    </row>
    <row r="16" spans="1:8" ht="15.75" x14ac:dyDescent="0.25">
      <c r="A16" s="63"/>
      <c r="B16" s="63"/>
      <c r="C16" s="63"/>
      <c r="D16" s="63"/>
      <c r="E16" s="63"/>
      <c r="F16" s="63"/>
      <c r="G16" s="63"/>
      <c r="H16" s="63"/>
    </row>
    <row r="17" spans="1:8" ht="15.75" x14ac:dyDescent="0.25">
      <c r="A17" s="63"/>
      <c r="B17" s="63" t="s">
        <v>93</v>
      </c>
      <c r="C17" s="63"/>
      <c r="D17" s="63"/>
      <c r="E17" s="63"/>
      <c r="F17" s="63"/>
      <c r="G17" s="63"/>
      <c r="H17" s="63"/>
    </row>
    <row r="18" spans="1:8" ht="15.75" x14ac:dyDescent="0.25">
      <c r="A18" s="63"/>
      <c r="B18" s="63"/>
      <c r="C18" s="63"/>
      <c r="D18" s="63"/>
      <c r="E18" s="63"/>
      <c r="F18" s="63"/>
      <c r="G18" s="63"/>
      <c r="H18" s="63"/>
    </row>
    <row r="19" spans="1:8" ht="15.75" x14ac:dyDescent="0.25">
      <c r="A19" s="63"/>
      <c r="B19" s="63" t="s">
        <v>94</v>
      </c>
      <c r="C19" s="63"/>
      <c r="D19" s="63"/>
      <c r="E19" s="63"/>
      <c r="F19" s="63"/>
      <c r="G19" s="63"/>
      <c r="H19" s="63"/>
    </row>
    <row r="20" spans="1:8" ht="15.75" x14ac:dyDescent="0.25">
      <c r="A20" s="63"/>
      <c r="B20" s="63"/>
      <c r="C20" s="63"/>
      <c r="D20" s="63"/>
      <c r="E20" s="63"/>
      <c r="F20" s="63"/>
      <c r="G20" s="63"/>
      <c r="H20" s="63"/>
    </row>
    <row r="21" spans="1:8" ht="15.75" x14ac:dyDescent="0.25">
      <c r="A21" s="63"/>
      <c r="B21" s="63"/>
      <c r="C21" s="63"/>
      <c r="D21" s="63"/>
      <c r="E21" s="63"/>
      <c r="F21" s="63"/>
      <c r="G21" s="63"/>
      <c r="H21" s="63"/>
    </row>
    <row r="22" spans="1:8" ht="15.75" x14ac:dyDescent="0.25">
      <c r="A22" s="64" t="s">
        <v>95</v>
      </c>
      <c r="B22" s="63"/>
      <c r="C22" s="63"/>
      <c r="D22" s="63"/>
      <c r="E22" s="63"/>
      <c r="F22" s="63"/>
      <c r="G22" s="63"/>
      <c r="H22" s="63"/>
    </row>
    <row r="23" spans="1:8" ht="15.75" x14ac:dyDescent="0.25">
      <c r="A23" s="64"/>
      <c r="B23" s="63"/>
      <c r="C23" s="63"/>
      <c r="D23" s="63"/>
      <c r="E23" s="63"/>
      <c r="F23" s="63"/>
      <c r="G23" s="63"/>
      <c r="H23" s="63"/>
    </row>
    <row r="24" spans="1:8" ht="15.75" x14ac:dyDescent="0.25">
      <c r="A24" s="63"/>
      <c r="B24" s="63"/>
      <c r="C24" s="63"/>
      <c r="D24" s="63"/>
      <c r="E24" s="63"/>
      <c r="F24" s="63"/>
      <c r="G24" s="63"/>
      <c r="H24" s="63"/>
    </row>
    <row r="25" spans="1:8" ht="15.75" x14ac:dyDescent="0.25">
      <c r="A25" s="63"/>
      <c r="B25" s="63" t="s">
        <v>96</v>
      </c>
      <c r="C25" s="63"/>
      <c r="D25" s="63"/>
      <c r="E25" s="63"/>
      <c r="F25" s="63"/>
      <c r="G25" s="63"/>
      <c r="H25" s="63"/>
    </row>
    <row r="26" spans="1:8" ht="15.75" x14ac:dyDescent="0.25">
      <c r="A26" s="63"/>
      <c r="B26" s="63"/>
      <c r="C26" s="63"/>
      <c r="D26" s="63"/>
      <c r="E26" s="63"/>
      <c r="F26" s="63"/>
      <c r="G26" s="63"/>
      <c r="H26" s="63"/>
    </row>
    <row r="27" spans="1:8" ht="15.75" x14ac:dyDescent="0.25">
      <c r="A27" s="63"/>
      <c r="B27" s="63" t="s">
        <v>97</v>
      </c>
      <c r="C27" s="63"/>
      <c r="D27" s="63"/>
      <c r="E27" s="63"/>
      <c r="F27" s="63"/>
      <c r="G27" s="63"/>
      <c r="H27" s="63"/>
    </row>
    <row r="28" spans="1:8" ht="15.75" x14ac:dyDescent="0.25">
      <c r="A28" s="63"/>
      <c r="B28" s="63" t="s">
        <v>98</v>
      </c>
      <c r="C28" s="63"/>
      <c r="D28" s="63"/>
      <c r="E28" s="63"/>
      <c r="F28" s="63"/>
      <c r="G28" s="63"/>
      <c r="H28" s="63"/>
    </row>
    <row r="29" spans="1:8" ht="15.75" x14ac:dyDescent="0.25">
      <c r="A29" s="63"/>
      <c r="B29" s="63"/>
      <c r="C29" s="63"/>
      <c r="D29" s="63"/>
      <c r="E29" s="63"/>
      <c r="F29" s="63"/>
      <c r="G29" s="63"/>
      <c r="H29" s="63"/>
    </row>
    <row r="30" spans="1:8" ht="15.75" x14ac:dyDescent="0.25">
      <c r="A30" s="63"/>
      <c r="B30" s="63" t="s">
        <v>91</v>
      </c>
      <c r="C30" s="63"/>
      <c r="D30" s="63"/>
      <c r="E30" s="63"/>
      <c r="F30" s="63"/>
      <c r="G30" s="63"/>
      <c r="H30" s="63"/>
    </row>
    <row r="31" spans="1:8" ht="15.75" x14ac:dyDescent="0.25">
      <c r="A31" s="63"/>
      <c r="B31" s="63"/>
      <c r="C31" s="63"/>
      <c r="D31" s="63"/>
      <c r="E31" s="63"/>
      <c r="F31" s="63"/>
      <c r="G31" s="63"/>
      <c r="H31" s="63"/>
    </row>
    <row r="32" spans="1:8" ht="15.75" x14ac:dyDescent="0.25">
      <c r="A32" s="63"/>
      <c r="B32" s="63" t="s">
        <v>93</v>
      </c>
      <c r="C32" s="63"/>
      <c r="D32" s="63"/>
      <c r="E32" s="63"/>
      <c r="F32" s="63"/>
      <c r="G32" s="63"/>
      <c r="H32" s="63"/>
    </row>
    <row r="33" spans="1:8" ht="15.75" x14ac:dyDescent="0.25">
      <c r="A33" s="63"/>
      <c r="B33" s="63"/>
      <c r="C33" s="63"/>
      <c r="D33" s="63"/>
      <c r="E33" s="63"/>
      <c r="F33" s="63"/>
      <c r="G33" s="63"/>
      <c r="H33" s="63"/>
    </row>
    <row r="34" spans="1:8" ht="15.75" x14ac:dyDescent="0.25">
      <c r="A34" s="63"/>
      <c r="B34" s="63" t="s">
        <v>94</v>
      </c>
      <c r="C34" s="63"/>
      <c r="D34" s="63"/>
      <c r="E34" s="63"/>
      <c r="F34" s="63"/>
      <c r="G34" s="63"/>
      <c r="H34" s="63"/>
    </row>
    <row r="35" spans="1:8" ht="15.75" x14ac:dyDescent="0.25">
      <c r="A35" s="63"/>
      <c r="B35" s="63"/>
      <c r="C35" s="63"/>
      <c r="D35" s="63"/>
      <c r="E35" s="63"/>
      <c r="F35" s="63"/>
      <c r="G35" s="63"/>
      <c r="H35" s="63"/>
    </row>
    <row r="36" spans="1:8" ht="15.75" x14ac:dyDescent="0.25">
      <c r="A36" s="63"/>
      <c r="B36" s="63"/>
      <c r="C36" s="63"/>
      <c r="D36" s="63"/>
      <c r="E36" s="63"/>
      <c r="F36" s="63"/>
      <c r="G36" s="63"/>
      <c r="H36" s="63"/>
    </row>
    <row r="37" spans="1:8" ht="15.75" x14ac:dyDescent="0.25">
      <c r="A37" s="64" t="s">
        <v>99</v>
      </c>
      <c r="B37" s="63"/>
      <c r="C37" s="63"/>
      <c r="D37" s="63"/>
      <c r="E37" s="63"/>
      <c r="F37" s="63"/>
      <c r="G37" s="63"/>
      <c r="H37" s="63"/>
    </row>
    <row r="38" spans="1:8" ht="15.75" x14ac:dyDescent="0.25">
      <c r="A38" s="63"/>
      <c r="B38" s="63"/>
      <c r="C38" s="63"/>
      <c r="D38" s="63"/>
      <c r="E38" s="63"/>
      <c r="F38" s="63"/>
      <c r="G38" s="63"/>
      <c r="H38" s="63"/>
    </row>
    <row r="39" spans="1:8" ht="40.9" customHeight="1" x14ac:dyDescent="0.25">
      <c r="A39" s="63"/>
      <c r="B39" s="790" t="s">
        <v>100</v>
      </c>
      <c r="C39" s="790"/>
      <c r="D39" s="790"/>
      <c r="E39" s="790"/>
      <c r="F39" s="790"/>
      <c r="G39" s="790"/>
      <c r="H39" s="790"/>
    </row>
    <row r="40" spans="1:8" ht="40.9" customHeight="1" x14ac:dyDescent="0.25">
      <c r="A40" s="63"/>
      <c r="B40" s="790" t="s">
        <v>101</v>
      </c>
      <c r="C40" s="790"/>
      <c r="D40" s="790"/>
      <c r="E40" s="790"/>
      <c r="F40" s="790"/>
      <c r="G40" s="790"/>
      <c r="H40" s="790"/>
    </row>
  </sheetData>
  <mergeCells count="3">
    <mergeCell ref="A3:H3"/>
    <mergeCell ref="B39:H39"/>
    <mergeCell ref="B40:H40"/>
  </mergeCells>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A802E3-732A-4F37-9BB4-7FAD0AD7B81F}">
  <dimension ref="A3:AJ126"/>
  <sheetViews>
    <sheetView workbookViewId="0">
      <selection activeCell="Y15" sqref="Y15"/>
    </sheetView>
  </sheetViews>
  <sheetFormatPr baseColWidth="10" defaultRowHeight="15" x14ac:dyDescent="0.25"/>
  <cols>
    <col min="1" max="1" width="2.85546875" customWidth="1"/>
    <col min="2" max="4" width="2.7109375" customWidth="1"/>
    <col min="5" max="8" width="2.42578125" customWidth="1"/>
    <col min="9" max="15" width="2.7109375" customWidth="1"/>
    <col min="16" max="16" width="3.7109375" customWidth="1"/>
    <col min="17" max="17" width="2.7109375" customWidth="1"/>
    <col min="18" max="18" width="2.5703125" customWidth="1"/>
    <col min="19" max="21" width="2.7109375" customWidth="1"/>
    <col min="22" max="27" width="2.42578125" customWidth="1"/>
    <col min="28" max="33" width="2.7109375" customWidth="1"/>
    <col min="34" max="35" width="3.28515625" customWidth="1"/>
    <col min="36" max="36" width="2.5703125" customWidth="1"/>
  </cols>
  <sheetData>
    <row r="3" spans="1:36" ht="15.75" x14ac:dyDescent="0.25">
      <c r="A3" s="793" t="s">
        <v>102</v>
      </c>
      <c r="B3" s="793"/>
      <c r="C3" s="793"/>
      <c r="D3" s="793"/>
      <c r="E3" s="793"/>
      <c r="F3" s="793"/>
      <c r="G3" s="793"/>
      <c r="H3" s="793"/>
      <c r="I3" s="793"/>
      <c r="J3" s="793"/>
      <c r="K3" s="793"/>
      <c r="L3" s="793"/>
      <c r="M3" s="793"/>
      <c r="N3" s="793"/>
      <c r="O3" s="793"/>
      <c r="P3" s="793"/>
      <c r="Q3" s="793"/>
      <c r="R3" s="793"/>
      <c r="S3" s="793"/>
      <c r="T3" s="793"/>
      <c r="U3" s="793"/>
      <c r="V3" s="793"/>
      <c r="W3" s="793"/>
      <c r="X3" s="793"/>
      <c r="Y3" s="793"/>
      <c r="Z3" s="793"/>
      <c r="AA3" s="793"/>
      <c r="AB3" s="793"/>
      <c r="AC3" s="793"/>
      <c r="AD3" s="793"/>
      <c r="AE3" s="793"/>
      <c r="AF3" s="793"/>
      <c r="AG3" s="793"/>
      <c r="AH3" s="793"/>
      <c r="AI3" s="793"/>
      <c r="AJ3" s="793"/>
    </row>
    <row r="4" spans="1:36" x14ac:dyDescent="0.25">
      <c r="A4" s="65"/>
      <c r="B4" s="66"/>
      <c r="C4" s="66"/>
      <c r="D4" s="66"/>
      <c r="E4" s="66"/>
      <c r="F4" s="66"/>
      <c r="G4" s="66"/>
      <c r="H4" s="66"/>
      <c r="I4" s="66"/>
      <c r="J4" s="66"/>
      <c r="K4" s="66"/>
      <c r="L4" s="66"/>
      <c r="M4" s="66"/>
      <c r="N4" s="65"/>
      <c r="O4" s="65"/>
      <c r="P4" s="65"/>
      <c r="Q4" s="65"/>
      <c r="R4" s="65"/>
      <c r="S4" s="65"/>
      <c r="T4" s="67"/>
      <c r="U4" s="67"/>
      <c r="V4" s="67"/>
      <c r="W4" s="67"/>
      <c r="X4" s="67"/>
      <c r="Y4" s="67"/>
      <c r="Z4" s="67"/>
      <c r="AA4" s="67"/>
      <c r="AB4" s="67"/>
      <c r="AC4" s="67"/>
      <c r="AD4" s="67"/>
      <c r="AE4" s="67"/>
      <c r="AF4" s="67"/>
      <c r="AG4" s="67"/>
      <c r="AH4" s="67"/>
      <c r="AI4" s="67"/>
      <c r="AJ4" s="67"/>
    </row>
    <row r="5" spans="1:36" x14ac:dyDescent="0.25">
      <c r="A5" s="68"/>
      <c r="B5" s="69"/>
      <c r="C5" s="69"/>
      <c r="D5" s="69"/>
      <c r="E5" s="69"/>
      <c r="F5" s="69"/>
      <c r="G5" s="69"/>
      <c r="H5" s="69"/>
      <c r="I5" s="69"/>
      <c r="J5" s="69"/>
      <c r="K5" s="69"/>
      <c r="L5" s="69"/>
      <c r="M5" s="69"/>
      <c r="N5" s="69"/>
      <c r="O5" s="69"/>
      <c r="P5" s="69"/>
      <c r="Q5" s="70"/>
      <c r="R5" s="71"/>
      <c r="S5" s="794"/>
      <c r="T5" s="795"/>
      <c r="U5" s="795"/>
      <c r="V5" s="795"/>
      <c r="W5" s="795"/>
      <c r="X5" s="795"/>
      <c r="Y5" s="795"/>
      <c r="Z5" s="795"/>
      <c r="AA5" s="795"/>
      <c r="AB5" s="795"/>
      <c r="AC5" s="795"/>
      <c r="AD5" s="795"/>
      <c r="AE5" s="795"/>
      <c r="AF5" s="795"/>
      <c r="AG5" s="795"/>
      <c r="AH5" s="795"/>
      <c r="AI5" s="72"/>
      <c r="AJ5" s="73"/>
    </row>
    <row r="6" spans="1:36" ht="16.5" x14ac:dyDescent="0.25">
      <c r="A6" s="796" t="s">
        <v>103</v>
      </c>
      <c r="B6" s="797"/>
      <c r="C6" s="797"/>
      <c r="D6" s="797"/>
      <c r="E6" s="797"/>
      <c r="F6" s="797"/>
      <c r="G6" s="797"/>
      <c r="H6" s="797"/>
      <c r="I6" s="797"/>
      <c r="J6" s="797"/>
      <c r="K6" s="797"/>
      <c r="L6" s="797"/>
      <c r="M6" s="797"/>
      <c r="N6" s="797"/>
      <c r="O6" s="797"/>
      <c r="P6" s="797"/>
      <c r="Q6" s="797"/>
      <c r="R6" s="798"/>
      <c r="S6" s="796" t="s">
        <v>104</v>
      </c>
      <c r="T6" s="797"/>
      <c r="U6" s="797"/>
      <c r="V6" s="797"/>
      <c r="W6" s="797"/>
      <c r="X6" s="797"/>
      <c r="Y6" s="797"/>
      <c r="Z6" s="797"/>
      <c r="AA6" s="797"/>
      <c r="AB6" s="797"/>
      <c r="AC6" s="797"/>
      <c r="AD6" s="797"/>
      <c r="AE6" s="797"/>
      <c r="AF6" s="797"/>
      <c r="AG6" s="797"/>
      <c r="AH6" s="797"/>
      <c r="AI6" s="797"/>
      <c r="AJ6" s="798"/>
    </row>
    <row r="7" spans="1:36" x14ac:dyDescent="0.25">
      <c r="A7" s="74"/>
      <c r="B7" s="75"/>
      <c r="C7" s="75"/>
      <c r="D7" s="75"/>
      <c r="E7" s="75"/>
      <c r="F7" s="75"/>
      <c r="G7" s="75"/>
      <c r="H7" s="75"/>
      <c r="I7" s="75"/>
      <c r="J7" s="75"/>
      <c r="K7" s="75"/>
      <c r="L7" s="75"/>
      <c r="M7" s="75"/>
      <c r="N7" s="67"/>
      <c r="O7" s="67"/>
      <c r="P7" s="67"/>
      <c r="Q7" s="76"/>
      <c r="R7" s="77"/>
      <c r="S7" s="67"/>
      <c r="T7" s="67"/>
      <c r="U7" s="67"/>
      <c r="V7" s="67"/>
      <c r="W7" s="67"/>
      <c r="X7" s="67"/>
      <c r="Y7" s="67"/>
      <c r="Z7" s="67"/>
      <c r="AA7" s="67"/>
      <c r="AB7" s="67"/>
      <c r="AC7" s="67"/>
      <c r="AD7" s="67"/>
      <c r="AE7" s="67"/>
      <c r="AF7" s="67"/>
      <c r="AG7" s="67"/>
      <c r="AH7" s="67"/>
      <c r="AI7" s="76"/>
      <c r="AJ7" s="78"/>
    </row>
    <row r="8" spans="1:36" x14ac:dyDescent="0.25">
      <c r="A8" s="74"/>
      <c r="B8" s="75"/>
      <c r="C8" s="75"/>
      <c r="D8" s="75"/>
      <c r="E8" s="75"/>
      <c r="F8" s="75"/>
      <c r="G8" s="75"/>
      <c r="H8" s="75"/>
      <c r="I8" s="75"/>
      <c r="J8" s="75"/>
      <c r="K8" s="75"/>
      <c r="L8" s="75"/>
      <c r="M8" s="75"/>
      <c r="N8" s="67"/>
      <c r="O8" s="67"/>
      <c r="P8" s="67"/>
      <c r="Q8" s="76"/>
      <c r="R8" s="77"/>
      <c r="S8" s="67"/>
      <c r="T8" s="67"/>
      <c r="U8" s="67"/>
      <c r="V8" s="67"/>
      <c r="W8" s="67"/>
      <c r="X8" s="67"/>
      <c r="Y8" s="67"/>
      <c r="Z8" s="67"/>
      <c r="AA8" s="67"/>
      <c r="AB8" s="67"/>
      <c r="AC8" s="67"/>
      <c r="AD8" s="67"/>
      <c r="AE8" s="67"/>
      <c r="AF8" s="67"/>
      <c r="AG8" s="67"/>
      <c r="AH8" s="67"/>
      <c r="AI8" s="76"/>
      <c r="AJ8" s="78"/>
    </row>
    <row r="9" spans="1:36" ht="16.5" x14ac:dyDescent="0.25">
      <c r="A9" s="79" t="s">
        <v>105</v>
      </c>
      <c r="B9" s="75"/>
      <c r="C9" s="75"/>
      <c r="D9" s="75"/>
      <c r="E9" s="75"/>
      <c r="F9" s="75"/>
      <c r="G9" s="75"/>
      <c r="H9" s="75"/>
      <c r="I9" s="75"/>
      <c r="J9" s="75"/>
      <c r="K9" s="75"/>
      <c r="L9" s="75"/>
      <c r="M9" s="75"/>
      <c r="N9" s="67"/>
      <c r="O9" s="80" t="s">
        <v>106</v>
      </c>
      <c r="P9" s="67"/>
      <c r="Q9" s="81" t="s">
        <v>106</v>
      </c>
      <c r="R9" s="77"/>
      <c r="S9" s="79" t="s">
        <v>107</v>
      </c>
      <c r="T9" s="67"/>
      <c r="U9" s="67"/>
      <c r="V9" s="67"/>
      <c r="W9" s="67"/>
      <c r="X9" s="67"/>
      <c r="Y9" s="67"/>
      <c r="Z9" s="67"/>
      <c r="AA9" s="67"/>
      <c r="AB9" s="67"/>
      <c r="AC9" s="67"/>
      <c r="AD9" s="67"/>
      <c r="AE9" s="67"/>
      <c r="AF9" s="67"/>
      <c r="AG9" s="66"/>
      <c r="AH9" s="67"/>
      <c r="AI9" s="66"/>
      <c r="AJ9" s="82"/>
    </row>
    <row r="10" spans="1:36" x14ac:dyDescent="0.25">
      <c r="A10" s="79" t="s">
        <v>108</v>
      </c>
      <c r="B10" s="75"/>
      <c r="C10" s="75"/>
      <c r="D10" s="75"/>
      <c r="E10" s="75"/>
      <c r="F10" s="75"/>
      <c r="G10" s="75"/>
      <c r="H10" s="75"/>
      <c r="I10" s="75"/>
      <c r="J10" s="75"/>
      <c r="K10" s="75"/>
      <c r="L10" s="75"/>
      <c r="M10" s="75"/>
      <c r="N10" s="67"/>
      <c r="O10" s="67"/>
      <c r="P10" s="67"/>
      <c r="Q10" s="76"/>
      <c r="R10" s="77"/>
      <c r="S10" s="79" t="s">
        <v>109</v>
      </c>
      <c r="T10" s="67"/>
      <c r="U10" s="67"/>
      <c r="V10" s="67"/>
      <c r="W10" s="67"/>
      <c r="X10" s="67"/>
      <c r="Y10" s="67"/>
      <c r="Z10" s="67"/>
      <c r="AA10" s="67"/>
      <c r="AB10" s="67"/>
      <c r="AC10" s="67"/>
      <c r="AD10" s="67"/>
      <c r="AE10" s="67"/>
      <c r="AF10" s="67"/>
      <c r="AG10" s="67"/>
      <c r="AH10" s="67"/>
      <c r="AI10" s="67"/>
      <c r="AJ10" s="82"/>
    </row>
    <row r="11" spans="1:36" ht="15.75" x14ac:dyDescent="0.25">
      <c r="A11" s="74"/>
      <c r="B11" s="75"/>
      <c r="C11" s="75"/>
      <c r="D11" s="75"/>
      <c r="E11" s="75"/>
      <c r="F11" s="75"/>
      <c r="G11" s="75"/>
      <c r="H11" s="75"/>
      <c r="I11" s="75"/>
      <c r="J11" s="75"/>
      <c r="K11" s="75"/>
      <c r="L11" s="75"/>
      <c r="M11" s="75"/>
      <c r="N11" s="67"/>
      <c r="O11" s="67"/>
      <c r="P11" s="67"/>
      <c r="Q11" s="76"/>
      <c r="R11" s="77"/>
      <c r="S11" s="65" t="s">
        <v>110</v>
      </c>
      <c r="T11" s="83"/>
      <c r="U11" s="83"/>
      <c r="V11" s="83"/>
      <c r="W11" s="83"/>
      <c r="X11" s="83"/>
      <c r="Y11" s="83"/>
      <c r="Z11" s="83"/>
      <c r="AA11" s="83"/>
      <c r="AB11" s="83"/>
      <c r="AC11" s="83"/>
      <c r="AD11" s="83"/>
      <c r="AE11" s="83"/>
      <c r="AF11" s="83"/>
      <c r="AG11" s="83"/>
      <c r="AH11" s="83"/>
      <c r="AI11" s="83"/>
      <c r="AJ11" s="82"/>
    </row>
    <row r="12" spans="1:36" x14ac:dyDescent="0.25">
      <c r="A12" s="79" t="s">
        <v>111</v>
      </c>
      <c r="B12" s="75"/>
      <c r="C12" s="75"/>
      <c r="D12" s="75"/>
      <c r="E12" s="75"/>
      <c r="F12" s="75"/>
      <c r="G12" s="75"/>
      <c r="H12" s="75"/>
      <c r="I12" s="75"/>
      <c r="J12" s="75"/>
      <c r="K12" s="75"/>
      <c r="L12" s="75"/>
      <c r="M12" s="75"/>
      <c r="N12" s="67"/>
      <c r="O12" s="84" t="s">
        <v>106</v>
      </c>
      <c r="P12" s="67"/>
      <c r="Q12" s="84" t="s">
        <v>112</v>
      </c>
      <c r="R12" s="77"/>
      <c r="S12" s="65" t="s">
        <v>113</v>
      </c>
      <c r="T12" s="83"/>
      <c r="U12" s="83"/>
      <c r="V12" s="83"/>
      <c r="W12" s="83"/>
      <c r="X12" s="83"/>
      <c r="Y12" s="83"/>
      <c r="Z12" s="83"/>
      <c r="AA12" s="83"/>
      <c r="AB12" s="83"/>
      <c r="AC12" s="83"/>
      <c r="AD12" s="83"/>
      <c r="AE12" s="83"/>
      <c r="AF12" s="83"/>
      <c r="AG12" s="84">
        <v>2</v>
      </c>
      <c r="AH12" s="83"/>
      <c r="AI12" s="84" t="s">
        <v>106</v>
      </c>
      <c r="AJ12" s="82"/>
    </row>
    <row r="13" spans="1:36" x14ac:dyDescent="0.25">
      <c r="A13" s="74"/>
      <c r="B13" s="75"/>
      <c r="C13" s="75"/>
      <c r="D13" s="75"/>
      <c r="E13" s="75"/>
      <c r="F13" s="75"/>
      <c r="G13" s="75"/>
      <c r="H13" s="75"/>
      <c r="I13" s="75"/>
      <c r="J13" s="75"/>
      <c r="K13" s="75"/>
      <c r="L13" s="75"/>
      <c r="M13" s="75"/>
      <c r="N13" s="67"/>
      <c r="O13" s="85"/>
      <c r="P13" s="67"/>
      <c r="Q13" s="86"/>
      <c r="R13" s="77"/>
      <c r="S13" s="65" t="s">
        <v>114</v>
      </c>
      <c r="T13" s="67"/>
      <c r="U13" s="67"/>
      <c r="V13" s="67"/>
      <c r="W13" s="67"/>
      <c r="X13" s="67"/>
      <c r="Y13" s="67"/>
      <c r="Z13" s="67"/>
      <c r="AA13" s="67"/>
      <c r="AB13" s="67"/>
      <c r="AC13" s="67"/>
      <c r="AD13" s="67"/>
      <c r="AE13" s="67"/>
      <c r="AF13" s="67"/>
      <c r="AG13" s="84" t="s">
        <v>115</v>
      </c>
      <c r="AH13" s="85"/>
      <c r="AI13" s="84" t="s">
        <v>112</v>
      </c>
      <c r="AJ13" s="77"/>
    </row>
    <row r="14" spans="1:36" x14ac:dyDescent="0.25">
      <c r="A14" s="79" t="s">
        <v>116</v>
      </c>
      <c r="B14" s="75"/>
      <c r="C14" s="75"/>
      <c r="D14" s="75"/>
      <c r="E14" s="75"/>
      <c r="F14" s="75"/>
      <c r="G14" s="75"/>
      <c r="H14" s="75"/>
      <c r="I14" s="75"/>
      <c r="J14" s="75"/>
      <c r="K14" s="75"/>
      <c r="L14" s="75"/>
      <c r="M14" s="75"/>
      <c r="N14" s="67"/>
      <c r="O14" s="84" t="s">
        <v>106</v>
      </c>
      <c r="P14" s="67"/>
      <c r="Q14" s="84" t="s">
        <v>115</v>
      </c>
      <c r="R14" s="77"/>
      <c r="S14" s="83"/>
      <c r="T14" s="83"/>
      <c r="U14" s="83"/>
      <c r="V14" s="83"/>
      <c r="W14" s="83"/>
      <c r="X14" s="83"/>
      <c r="Y14" s="83"/>
      <c r="Z14" s="83"/>
      <c r="AA14" s="83"/>
      <c r="AB14" s="83"/>
      <c r="AC14" s="83"/>
      <c r="AD14" s="83"/>
      <c r="AE14" s="83"/>
      <c r="AF14" s="83"/>
      <c r="AG14" s="83"/>
      <c r="AH14" s="83"/>
      <c r="AI14" s="83"/>
      <c r="AJ14" s="78"/>
    </row>
    <row r="15" spans="1:36" x14ac:dyDescent="0.25">
      <c r="A15" s="74"/>
      <c r="B15" s="75"/>
      <c r="C15" s="75"/>
      <c r="D15" s="75"/>
      <c r="E15" s="75"/>
      <c r="F15" s="75"/>
      <c r="G15" s="75"/>
      <c r="H15" s="75"/>
      <c r="I15" s="75"/>
      <c r="J15" s="75"/>
      <c r="K15" s="75"/>
      <c r="L15" s="75"/>
      <c r="M15" s="75"/>
      <c r="N15" s="67"/>
      <c r="O15" s="85"/>
      <c r="P15" s="67"/>
      <c r="Q15" s="86"/>
      <c r="R15" s="77"/>
      <c r="S15" s="83" t="s">
        <v>117</v>
      </c>
      <c r="T15" s="83"/>
      <c r="U15" s="83"/>
      <c r="V15" s="83"/>
      <c r="W15" s="83"/>
      <c r="X15" s="83"/>
      <c r="Y15" s="83"/>
      <c r="Z15" s="83"/>
      <c r="AA15" s="83"/>
      <c r="AB15" s="83"/>
      <c r="AC15" s="83"/>
      <c r="AD15" s="83"/>
      <c r="AE15" s="83"/>
      <c r="AF15" s="83"/>
      <c r="AG15" s="84">
        <v>2</v>
      </c>
      <c r="AH15" s="65"/>
      <c r="AI15" s="84">
        <v>2</v>
      </c>
      <c r="AJ15" s="78"/>
    </row>
    <row r="16" spans="1:36" x14ac:dyDescent="0.25">
      <c r="A16" s="79" t="s">
        <v>118</v>
      </c>
      <c r="B16" s="75"/>
      <c r="C16" s="75"/>
      <c r="D16" s="75"/>
      <c r="E16" s="75"/>
      <c r="F16" s="75"/>
      <c r="G16" s="75"/>
      <c r="H16" s="75"/>
      <c r="I16" s="75"/>
      <c r="J16" s="75"/>
      <c r="K16" s="75"/>
      <c r="L16" s="75"/>
      <c r="M16" s="75"/>
      <c r="N16" s="67"/>
      <c r="O16" s="84" t="s">
        <v>106</v>
      </c>
      <c r="P16" s="67"/>
      <c r="Q16" s="84" t="s">
        <v>119</v>
      </c>
      <c r="R16" s="77"/>
      <c r="S16" s="83"/>
      <c r="T16" s="83"/>
      <c r="U16" s="83"/>
      <c r="V16" s="83"/>
      <c r="W16" s="83"/>
      <c r="X16" s="83"/>
      <c r="Y16" s="83"/>
      <c r="Z16" s="83"/>
      <c r="AA16" s="83"/>
      <c r="AB16" s="83"/>
      <c r="AC16" s="83"/>
      <c r="AD16" s="83"/>
      <c r="AE16" s="83"/>
      <c r="AF16" s="83"/>
      <c r="AG16" s="83"/>
      <c r="AH16" s="83"/>
      <c r="AI16" s="83"/>
      <c r="AJ16" s="78"/>
    </row>
    <row r="17" spans="1:36" x14ac:dyDescent="0.25">
      <c r="A17" s="74"/>
      <c r="B17" s="75"/>
      <c r="C17" s="75"/>
      <c r="D17" s="75"/>
      <c r="E17" s="75"/>
      <c r="F17" s="75"/>
      <c r="G17" s="75"/>
      <c r="H17" s="75"/>
      <c r="I17" s="75"/>
      <c r="J17" s="75"/>
      <c r="K17" s="75"/>
      <c r="L17" s="75"/>
      <c r="M17" s="75"/>
      <c r="N17" s="67"/>
      <c r="O17" s="85"/>
      <c r="P17" s="67"/>
      <c r="Q17" s="86"/>
      <c r="R17" s="77"/>
      <c r="S17" s="65" t="s">
        <v>120</v>
      </c>
      <c r="T17" s="67"/>
      <c r="U17" s="67"/>
      <c r="V17" s="67"/>
      <c r="W17" s="67"/>
      <c r="X17" s="67"/>
      <c r="Y17" s="67"/>
      <c r="Z17" s="67"/>
      <c r="AA17" s="67"/>
      <c r="AB17" s="67"/>
      <c r="AC17" s="67"/>
      <c r="AD17" s="67"/>
      <c r="AE17" s="67"/>
      <c r="AF17" s="67"/>
      <c r="AG17" s="84" t="s">
        <v>115</v>
      </c>
      <c r="AH17" s="85"/>
      <c r="AI17" s="84" t="s">
        <v>119</v>
      </c>
      <c r="AJ17" s="78"/>
    </row>
    <row r="18" spans="1:36" x14ac:dyDescent="0.25">
      <c r="A18" s="79" t="s">
        <v>121</v>
      </c>
      <c r="B18" s="75"/>
      <c r="C18" s="75"/>
      <c r="D18" s="75"/>
      <c r="E18" s="75"/>
      <c r="F18" s="75"/>
      <c r="G18" s="75"/>
      <c r="H18" s="75"/>
      <c r="I18" s="75"/>
      <c r="J18" s="75"/>
      <c r="K18" s="75"/>
      <c r="L18" s="75"/>
      <c r="M18" s="75"/>
      <c r="N18" s="67"/>
      <c r="O18" s="84" t="s">
        <v>106</v>
      </c>
      <c r="P18" s="67"/>
      <c r="Q18" s="84" t="s">
        <v>122</v>
      </c>
      <c r="R18" s="77"/>
      <c r="S18" s="83"/>
      <c r="T18" s="83"/>
      <c r="U18" s="83"/>
      <c r="V18" s="83"/>
      <c r="W18" s="83"/>
      <c r="X18" s="83"/>
      <c r="Y18" s="83"/>
      <c r="Z18" s="83"/>
      <c r="AA18" s="83"/>
      <c r="AB18" s="83"/>
      <c r="AC18" s="83"/>
      <c r="AD18" s="83"/>
      <c r="AE18" s="83"/>
      <c r="AF18" s="83"/>
      <c r="AG18" s="83"/>
      <c r="AH18" s="83"/>
      <c r="AI18" s="83"/>
      <c r="AJ18" s="78"/>
    </row>
    <row r="19" spans="1:36" x14ac:dyDescent="0.25">
      <c r="A19" s="74"/>
      <c r="B19" s="75"/>
      <c r="C19" s="75"/>
      <c r="D19" s="75"/>
      <c r="E19" s="75"/>
      <c r="F19" s="75"/>
      <c r="G19" s="75"/>
      <c r="H19" s="75"/>
      <c r="I19" s="75"/>
      <c r="J19" s="75"/>
      <c r="K19" s="75"/>
      <c r="L19" s="75"/>
      <c r="M19" s="75"/>
      <c r="N19" s="67"/>
      <c r="O19" s="85"/>
      <c r="P19" s="67"/>
      <c r="Q19" s="86"/>
      <c r="R19" s="77"/>
      <c r="S19" s="65" t="s">
        <v>123</v>
      </c>
      <c r="T19" s="67"/>
      <c r="U19" s="67"/>
      <c r="V19" s="67"/>
      <c r="W19" s="67"/>
      <c r="X19" s="67"/>
      <c r="Y19" s="67"/>
      <c r="Z19" s="67"/>
      <c r="AA19" s="67"/>
      <c r="AB19" s="67"/>
      <c r="AC19" s="67"/>
      <c r="AD19" s="67"/>
      <c r="AE19" s="67"/>
      <c r="AF19" s="67"/>
      <c r="AG19" s="84" t="s">
        <v>119</v>
      </c>
      <c r="AH19" s="85"/>
      <c r="AI19" s="84" t="s">
        <v>124</v>
      </c>
      <c r="AJ19" s="78"/>
    </row>
    <row r="20" spans="1:36" x14ac:dyDescent="0.25">
      <c r="A20" s="79" t="s">
        <v>125</v>
      </c>
      <c r="B20" s="75"/>
      <c r="C20" s="75"/>
      <c r="D20" s="75"/>
      <c r="E20" s="75"/>
      <c r="F20" s="75"/>
      <c r="G20" s="75"/>
      <c r="H20" s="75"/>
      <c r="I20" s="75"/>
      <c r="J20" s="75"/>
      <c r="K20" s="75"/>
      <c r="L20" s="75"/>
      <c r="M20" s="75"/>
      <c r="N20" s="67"/>
      <c r="O20" s="84" t="s">
        <v>106</v>
      </c>
      <c r="P20" s="67"/>
      <c r="Q20" s="84" t="s">
        <v>126</v>
      </c>
      <c r="R20" s="77"/>
      <c r="S20" s="83"/>
      <c r="T20" s="83"/>
      <c r="U20" s="83"/>
      <c r="V20" s="83"/>
      <c r="W20" s="83"/>
      <c r="X20" s="83"/>
      <c r="Y20" s="83"/>
      <c r="Z20" s="83"/>
      <c r="AA20" s="83"/>
      <c r="AB20" s="83"/>
      <c r="AC20" s="83"/>
      <c r="AD20" s="83"/>
      <c r="AE20" s="83"/>
      <c r="AF20" s="83"/>
      <c r="AG20" s="83"/>
      <c r="AH20" s="83"/>
      <c r="AI20" s="83"/>
      <c r="AJ20" s="78"/>
    </row>
    <row r="21" spans="1:36" x14ac:dyDescent="0.25">
      <c r="A21" s="74"/>
      <c r="B21" s="75"/>
      <c r="C21" s="75"/>
      <c r="D21" s="75"/>
      <c r="E21" s="75"/>
      <c r="F21" s="75"/>
      <c r="G21" s="75"/>
      <c r="H21" s="75"/>
      <c r="I21" s="75"/>
      <c r="J21" s="75"/>
      <c r="K21" s="75"/>
      <c r="L21" s="75"/>
      <c r="M21" s="75"/>
      <c r="N21" s="67"/>
      <c r="O21" s="85"/>
      <c r="P21" s="67"/>
      <c r="Q21" s="86"/>
      <c r="R21" s="77"/>
      <c r="S21" s="87" t="s">
        <v>127</v>
      </c>
      <c r="T21" s="67"/>
      <c r="U21" s="67"/>
      <c r="V21" s="67"/>
      <c r="W21" s="67"/>
      <c r="X21" s="67"/>
      <c r="Y21" s="67"/>
      <c r="Z21" s="67"/>
      <c r="AA21" s="67"/>
      <c r="AB21" s="67"/>
      <c r="AC21" s="67"/>
      <c r="AD21" s="67"/>
      <c r="AE21" s="67"/>
      <c r="AF21" s="67"/>
      <c r="AG21" s="84" t="s">
        <v>122</v>
      </c>
      <c r="AH21" s="85"/>
      <c r="AI21" s="84" t="s">
        <v>106</v>
      </c>
      <c r="AJ21" s="78"/>
    </row>
    <row r="22" spans="1:36" x14ac:dyDescent="0.25">
      <c r="A22" s="79" t="s">
        <v>128</v>
      </c>
      <c r="B22" s="75"/>
      <c r="C22" s="75"/>
      <c r="D22" s="75"/>
      <c r="E22" s="75"/>
      <c r="F22" s="75"/>
      <c r="G22" s="75"/>
      <c r="H22" s="75"/>
      <c r="I22" s="75"/>
      <c r="J22" s="75"/>
      <c r="K22" s="75"/>
      <c r="L22" s="75"/>
      <c r="M22" s="75"/>
      <c r="N22" s="67"/>
      <c r="O22" s="84" t="s">
        <v>106</v>
      </c>
      <c r="P22" s="67"/>
      <c r="Q22" s="84" t="s">
        <v>129</v>
      </c>
      <c r="R22" s="77"/>
      <c r="S22" s="67"/>
      <c r="T22" s="67"/>
      <c r="U22" s="67"/>
      <c r="V22" s="67"/>
      <c r="W22" s="67"/>
      <c r="X22" s="67"/>
      <c r="Y22" s="67"/>
      <c r="Z22" s="67"/>
      <c r="AA22" s="67"/>
      <c r="AB22" s="67"/>
      <c r="AC22" s="67"/>
      <c r="AD22" s="67"/>
      <c r="AE22" s="67"/>
      <c r="AF22" s="67"/>
      <c r="AG22" s="85"/>
      <c r="AH22" s="85"/>
      <c r="AI22" s="86"/>
      <c r="AJ22" s="78"/>
    </row>
    <row r="23" spans="1:36" x14ac:dyDescent="0.25">
      <c r="A23" s="74"/>
      <c r="B23" s="75"/>
      <c r="C23" s="75"/>
      <c r="D23" s="75"/>
      <c r="E23" s="75"/>
      <c r="F23" s="75"/>
      <c r="G23" s="75"/>
      <c r="H23" s="75"/>
      <c r="I23" s="75"/>
      <c r="J23" s="75"/>
      <c r="K23" s="75"/>
      <c r="L23" s="75"/>
      <c r="M23" s="75"/>
      <c r="N23" s="67"/>
      <c r="O23" s="85"/>
      <c r="P23" s="67"/>
      <c r="Q23" s="86"/>
      <c r="R23" s="77"/>
      <c r="S23" s="87" t="s">
        <v>130</v>
      </c>
      <c r="T23" s="67"/>
      <c r="U23" s="67"/>
      <c r="V23" s="67"/>
      <c r="W23" s="67"/>
      <c r="X23" s="67"/>
      <c r="Y23" s="67"/>
      <c r="Z23" s="67"/>
      <c r="AA23" s="67"/>
      <c r="AB23" s="67"/>
      <c r="AC23" s="67"/>
      <c r="AD23" s="67"/>
      <c r="AE23" s="67"/>
      <c r="AF23" s="67"/>
      <c r="AG23" s="84" t="s">
        <v>122</v>
      </c>
      <c r="AH23" s="85"/>
      <c r="AI23" s="84" t="s">
        <v>112</v>
      </c>
      <c r="AJ23" s="78"/>
    </row>
    <row r="24" spans="1:36" x14ac:dyDescent="0.25">
      <c r="A24" s="79" t="s">
        <v>131</v>
      </c>
      <c r="B24" s="75"/>
      <c r="C24" s="75"/>
      <c r="D24" s="75"/>
      <c r="E24" s="75"/>
      <c r="F24" s="75"/>
      <c r="G24" s="75"/>
      <c r="H24" s="75"/>
      <c r="I24" s="75"/>
      <c r="J24" s="75"/>
      <c r="K24" s="75"/>
      <c r="L24" s="75"/>
      <c r="M24" s="75"/>
      <c r="N24" s="67"/>
      <c r="O24" s="84" t="s">
        <v>106</v>
      </c>
      <c r="P24" s="67"/>
      <c r="Q24" s="84" t="s">
        <v>132</v>
      </c>
      <c r="R24" s="77"/>
      <c r="S24" s="65" t="s">
        <v>133</v>
      </c>
      <c r="T24" s="83"/>
      <c r="U24" s="83"/>
      <c r="V24" s="83"/>
      <c r="W24" s="83"/>
      <c r="X24" s="83"/>
      <c r="Y24" s="83"/>
      <c r="Z24" s="83"/>
      <c r="AA24" s="83"/>
      <c r="AB24" s="83"/>
      <c r="AC24" s="83"/>
      <c r="AD24" s="83"/>
      <c r="AE24" s="83"/>
      <c r="AF24" s="83"/>
      <c r="AG24" s="88">
        <v>4</v>
      </c>
      <c r="AH24" s="88"/>
      <c r="AI24" s="88">
        <v>2</v>
      </c>
      <c r="AJ24" s="78"/>
    </row>
    <row r="25" spans="1:36" x14ac:dyDescent="0.25">
      <c r="A25" s="74"/>
      <c r="B25" s="75"/>
      <c r="C25" s="75"/>
      <c r="D25" s="75"/>
      <c r="E25" s="75"/>
      <c r="F25" s="75"/>
      <c r="G25" s="75"/>
      <c r="H25" s="75"/>
      <c r="I25" s="75"/>
      <c r="J25" s="75"/>
      <c r="K25" s="75"/>
      <c r="L25" s="75"/>
      <c r="M25" s="75"/>
      <c r="N25" s="67"/>
      <c r="O25" s="85"/>
      <c r="P25" s="67"/>
      <c r="Q25" s="86"/>
      <c r="R25" s="77"/>
      <c r="S25" s="65" t="s">
        <v>134</v>
      </c>
      <c r="T25" s="67"/>
      <c r="U25" s="67"/>
      <c r="V25" s="67"/>
      <c r="W25" s="67"/>
      <c r="X25" s="67"/>
      <c r="Y25" s="67"/>
      <c r="Z25" s="67"/>
      <c r="AA25" s="67"/>
      <c r="AB25" s="67"/>
      <c r="AC25" s="67"/>
      <c r="AD25" s="67"/>
      <c r="AE25" s="67"/>
      <c r="AF25" s="67"/>
      <c r="AG25" s="84" t="s">
        <v>122</v>
      </c>
      <c r="AH25" s="85"/>
      <c r="AI25" s="84" t="s">
        <v>124</v>
      </c>
      <c r="AJ25" s="78"/>
    </row>
    <row r="26" spans="1:36" x14ac:dyDescent="0.25">
      <c r="A26" s="79" t="s">
        <v>135</v>
      </c>
      <c r="B26" s="75"/>
      <c r="C26" s="75"/>
      <c r="D26" s="75"/>
      <c r="E26" s="75"/>
      <c r="F26" s="75"/>
      <c r="G26" s="75"/>
      <c r="H26" s="75"/>
      <c r="I26" s="75"/>
      <c r="J26" s="75"/>
      <c r="K26" s="75"/>
      <c r="L26" s="75"/>
      <c r="M26" s="75"/>
      <c r="N26" s="67"/>
      <c r="O26" s="84" t="s">
        <v>106</v>
      </c>
      <c r="P26" s="67"/>
      <c r="Q26" s="84" t="s">
        <v>136</v>
      </c>
      <c r="R26" s="78"/>
      <c r="S26" s="83"/>
      <c r="T26" s="83"/>
      <c r="U26" s="83"/>
      <c r="V26" s="83"/>
      <c r="W26" s="83"/>
      <c r="X26" s="83"/>
      <c r="Y26" s="83"/>
      <c r="Z26" s="83"/>
      <c r="AA26" s="83"/>
      <c r="AB26" s="83"/>
      <c r="AC26" s="83"/>
      <c r="AD26" s="83"/>
      <c r="AE26" s="83"/>
      <c r="AF26" s="83"/>
      <c r="AG26" s="83"/>
      <c r="AH26" s="83"/>
      <c r="AI26" s="83"/>
      <c r="AJ26" s="78"/>
    </row>
    <row r="27" spans="1:36" x14ac:dyDescent="0.25">
      <c r="A27" s="79"/>
      <c r="B27" s="75"/>
      <c r="C27" s="75"/>
      <c r="D27" s="75"/>
      <c r="E27" s="75"/>
      <c r="F27" s="75"/>
      <c r="G27" s="75"/>
      <c r="H27" s="75"/>
      <c r="I27" s="75"/>
      <c r="J27" s="75"/>
      <c r="K27" s="75"/>
      <c r="L27" s="75"/>
      <c r="M27" s="75"/>
      <c r="N27" s="67"/>
      <c r="O27" s="84"/>
      <c r="P27" s="67"/>
      <c r="Q27" s="84"/>
      <c r="R27" s="78"/>
      <c r="S27" s="87" t="s">
        <v>137</v>
      </c>
      <c r="T27" s="67"/>
      <c r="U27" s="67"/>
      <c r="V27" s="67"/>
      <c r="W27" s="67"/>
      <c r="X27" s="67"/>
      <c r="Y27" s="67"/>
      <c r="Z27" s="67"/>
      <c r="AA27" s="67"/>
      <c r="AB27" s="67"/>
      <c r="AC27" s="67"/>
      <c r="AD27" s="67"/>
      <c r="AE27" s="67"/>
      <c r="AF27" s="67"/>
      <c r="AG27" s="84" t="s">
        <v>126</v>
      </c>
      <c r="AH27" s="67"/>
      <c r="AI27" s="84" t="s">
        <v>106</v>
      </c>
      <c r="AJ27" s="78"/>
    </row>
    <row r="28" spans="1:36" x14ac:dyDescent="0.25">
      <c r="A28" s="79" t="s">
        <v>138</v>
      </c>
      <c r="B28" s="75"/>
      <c r="C28" s="75"/>
      <c r="D28" s="75"/>
      <c r="E28" s="75"/>
      <c r="F28" s="75"/>
      <c r="G28" s="75"/>
      <c r="H28" s="75"/>
      <c r="I28" s="75"/>
      <c r="J28" s="75"/>
      <c r="K28" s="75"/>
      <c r="L28" s="75"/>
      <c r="M28" s="75"/>
      <c r="N28" s="67"/>
      <c r="O28" s="84" t="s">
        <v>106</v>
      </c>
      <c r="P28" s="67"/>
      <c r="Q28" s="84" t="s">
        <v>124</v>
      </c>
      <c r="R28" s="78"/>
      <c r="S28" s="65" t="s">
        <v>139</v>
      </c>
      <c r="T28" s="83"/>
      <c r="U28" s="83"/>
      <c r="V28" s="83"/>
      <c r="W28" s="83"/>
      <c r="X28" s="83"/>
      <c r="Y28" s="83"/>
      <c r="Z28" s="83"/>
      <c r="AA28" s="83"/>
      <c r="AB28" s="83"/>
      <c r="AC28" s="83"/>
      <c r="AD28" s="83"/>
      <c r="AE28" s="66"/>
      <c r="AF28" s="83"/>
      <c r="AG28" s="89">
        <v>5</v>
      </c>
      <c r="AH28" s="65"/>
      <c r="AI28" s="89">
        <v>2</v>
      </c>
      <c r="AJ28" s="78"/>
    </row>
    <row r="29" spans="1:36" x14ac:dyDescent="0.25">
      <c r="A29" s="79"/>
      <c r="B29" s="75"/>
      <c r="C29" s="75"/>
      <c r="D29" s="75"/>
      <c r="E29" s="75"/>
      <c r="F29" s="75"/>
      <c r="G29" s="75"/>
      <c r="H29" s="75"/>
      <c r="I29" s="75"/>
      <c r="J29" s="75"/>
      <c r="K29" s="75"/>
      <c r="L29" s="75"/>
      <c r="M29" s="75"/>
      <c r="N29" s="67"/>
      <c r="O29" s="80"/>
      <c r="P29" s="67"/>
      <c r="Q29" s="81"/>
      <c r="R29" s="78"/>
      <c r="S29" s="87" t="s">
        <v>140</v>
      </c>
      <c r="T29" s="67"/>
      <c r="U29" s="67"/>
      <c r="V29" s="67"/>
      <c r="W29" s="67"/>
      <c r="X29" s="67"/>
      <c r="Y29" s="67"/>
      <c r="Z29" s="67"/>
      <c r="AA29" s="67"/>
      <c r="AB29" s="67"/>
      <c r="AC29" s="67"/>
      <c r="AD29" s="67"/>
      <c r="AE29" s="67"/>
      <c r="AF29" s="67"/>
      <c r="AG29" s="84" t="s">
        <v>126</v>
      </c>
      <c r="AH29" s="67"/>
      <c r="AI29" s="84" t="s">
        <v>119</v>
      </c>
      <c r="AJ29" s="78"/>
    </row>
    <row r="30" spans="1:36" x14ac:dyDescent="0.25">
      <c r="A30" s="799" t="s">
        <v>141</v>
      </c>
      <c r="B30" s="800"/>
      <c r="C30" s="800"/>
      <c r="D30" s="800"/>
      <c r="E30" s="800"/>
      <c r="F30" s="800"/>
      <c r="G30" s="800"/>
      <c r="H30" s="800"/>
      <c r="I30" s="800"/>
      <c r="J30" s="800"/>
      <c r="K30" s="800"/>
      <c r="L30" s="800"/>
      <c r="M30" s="800"/>
      <c r="N30" s="800"/>
      <c r="O30" s="800"/>
      <c r="P30" s="800"/>
      <c r="Q30" s="800"/>
      <c r="R30" s="801"/>
      <c r="S30" s="65" t="s">
        <v>142</v>
      </c>
      <c r="T30" s="67"/>
      <c r="U30" s="67"/>
      <c r="V30" s="67"/>
      <c r="W30" s="67"/>
      <c r="X30" s="67"/>
      <c r="Y30" s="67"/>
      <c r="Z30" s="67"/>
      <c r="AA30" s="67"/>
      <c r="AB30" s="67"/>
      <c r="AC30" s="67"/>
      <c r="AD30" s="67"/>
      <c r="AE30" s="67"/>
      <c r="AF30" s="67"/>
      <c r="AG30" s="88">
        <v>5</v>
      </c>
      <c r="AH30" s="67"/>
      <c r="AI30" s="88">
        <v>9</v>
      </c>
      <c r="AJ30" s="82"/>
    </row>
    <row r="31" spans="1:36" x14ac:dyDescent="0.25">
      <c r="A31" s="79"/>
      <c r="B31" s="75"/>
      <c r="C31" s="75"/>
      <c r="D31" s="75"/>
      <c r="E31" s="75"/>
      <c r="F31" s="75"/>
      <c r="G31" s="75"/>
      <c r="H31" s="75"/>
      <c r="I31" s="75"/>
      <c r="J31" s="75"/>
      <c r="K31" s="75"/>
      <c r="L31" s="75"/>
      <c r="M31" s="75"/>
      <c r="N31" s="67"/>
      <c r="O31" s="80"/>
      <c r="P31" s="67"/>
      <c r="Q31" s="81"/>
      <c r="R31" s="78"/>
      <c r="S31" s="65" t="s">
        <v>143</v>
      </c>
      <c r="T31" s="83"/>
      <c r="U31" s="83"/>
      <c r="V31" s="83"/>
      <c r="W31" s="83"/>
      <c r="X31" s="83"/>
      <c r="Y31" s="83"/>
      <c r="Z31" s="83"/>
      <c r="AA31" s="83"/>
      <c r="AB31" s="83"/>
      <c r="AC31" s="83"/>
      <c r="AD31" s="83"/>
      <c r="AE31" s="66"/>
      <c r="AF31" s="83"/>
      <c r="AG31" s="88">
        <v>6</v>
      </c>
      <c r="AH31" s="65"/>
      <c r="AI31" s="90" t="s">
        <v>106</v>
      </c>
      <c r="AJ31" s="82"/>
    </row>
    <row r="32" spans="1:36" x14ac:dyDescent="0.25">
      <c r="A32" s="79" t="s">
        <v>144</v>
      </c>
      <c r="B32" s="75"/>
      <c r="C32" s="75"/>
      <c r="D32" s="75"/>
      <c r="E32" s="75"/>
      <c r="F32" s="75"/>
      <c r="G32" s="75"/>
      <c r="H32" s="75"/>
      <c r="I32" s="75"/>
      <c r="J32" s="75"/>
      <c r="K32" s="75"/>
      <c r="L32" s="75"/>
      <c r="M32" s="75"/>
      <c r="N32" s="67"/>
      <c r="O32" s="80"/>
      <c r="P32" s="67"/>
      <c r="Q32" s="84" t="s">
        <v>112</v>
      </c>
      <c r="R32" s="78"/>
      <c r="S32" s="91"/>
      <c r="T32" s="67"/>
      <c r="U32" s="67"/>
      <c r="V32" s="67"/>
      <c r="W32" s="67"/>
      <c r="X32" s="67"/>
      <c r="Y32" s="67"/>
      <c r="Z32" s="67"/>
      <c r="AA32" s="67"/>
      <c r="AB32" s="67"/>
      <c r="AC32" s="67"/>
      <c r="AD32" s="67"/>
      <c r="AE32" s="67"/>
      <c r="AF32" s="67"/>
      <c r="AG32" s="67"/>
      <c r="AH32" s="67"/>
      <c r="AI32" s="67"/>
      <c r="AJ32" s="82"/>
    </row>
    <row r="33" spans="1:36" x14ac:dyDescent="0.25">
      <c r="A33" s="79"/>
      <c r="B33" s="75"/>
      <c r="C33" s="75"/>
      <c r="D33" s="75"/>
      <c r="E33" s="75"/>
      <c r="F33" s="75"/>
      <c r="G33" s="75"/>
      <c r="H33" s="75"/>
      <c r="I33" s="75"/>
      <c r="J33" s="75"/>
      <c r="K33" s="75"/>
      <c r="L33" s="75"/>
      <c r="M33" s="75"/>
      <c r="N33" s="67"/>
      <c r="O33" s="80"/>
      <c r="P33" s="67"/>
      <c r="Q33" s="84"/>
      <c r="R33" s="78"/>
      <c r="S33" s="65" t="s">
        <v>145</v>
      </c>
      <c r="T33" s="83"/>
      <c r="U33" s="83"/>
      <c r="V33" s="83"/>
      <c r="W33" s="83"/>
      <c r="X33" s="83"/>
      <c r="Y33" s="83"/>
      <c r="Z33" s="83"/>
      <c r="AA33" s="83"/>
      <c r="AB33" s="83"/>
      <c r="AC33" s="83"/>
      <c r="AD33" s="83"/>
      <c r="AE33" s="66"/>
      <c r="AF33" s="83"/>
      <c r="AG33" s="88">
        <v>9</v>
      </c>
      <c r="AH33" s="88"/>
      <c r="AI33" s="88">
        <v>9</v>
      </c>
      <c r="AJ33" s="82"/>
    </row>
    <row r="34" spans="1:36" x14ac:dyDescent="0.25">
      <c r="A34" s="79" t="s">
        <v>146</v>
      </c>
      <c r="B34" s="75"/>
      <c r="C34" s="75"/>
      <c r="D34" s="75"/>
      <c r="E34" s="75"/>
      <c r="F34" s="75"/>
      <c r="G34" s="75"/>
      <c r="H34" s="75"/>
      <c r="I34" s="75"/>
      <c r="J34" s="75"/>
      <c r="K34" s="75"/>
      <c r="L34" s="75"/>
      <c r="M34" s="75"/>
      <c r="N34" s="67"/>
      <c r="O34" s="80"/>
      <c r="P34" s="67"/>
      <c r="Q34" s="84" t="s">
        <v>115</v>
      </c>
      <c r="R34" s="78"/>
      <c r="S34" s="91"/>
      <c r="T34" s="67"/>
      <c r="U34" s="67"/>
      <c r="V34" s="67"/>
      <c r="W34" s="67"/>
      <c r="X34" s="67"/>
      <c r="Y34" s="67"/>
      <c r="Z34" s="67"/>
      <c r="AA34" s="67"/>
      <c r="AB34" s="67"/>
      <c r="AC34" s="67"/>
      <c r="AD34" s="67"/>
      <c r="AE34" s="67"/>
      <c r="AF34" s="67"/>
      <c r="AG34" s="67"/>
      <c r="AH34" s="67"/>
      <c r="AI34" s="67"/>
      <c r="AJ34" s="82"/>
    </row>
    <row r="35" spans="1:36" x14ac:dyDescent="0.25">
      <c r="A35" s="79"/>
      <c r="B35" s="75"/>
      <c r="C35" s="75"/>
      <c r="D35" s="75"/>
      <c r="E35" s="75"/>
      <c r="F35" s="75"/>
      <c r="G35" s="75"/>
      <c r="H35" s="75"/>
      <c r="I35" s="75"/>
      <c r="J35" s="75"/>
      <c r="K35" s="75"/>
      <c r="L35" s="75"/>
      <c r="M35" s="75"/>
      <c r="N35" s="67"/>
      <c r="O35" s="80"/>
      <c r="P35" s="67"/>
      <c r="Q35" s="84"/>
      <c r="R35" s="78"/>
      <c r="S35" s="91"/>
      <c r="T35" s="67"/>
      <c r="U35" s="67"/>
      <c r="V35" s="67"/>
      <c r="W35" s="67"/>
      <c r="X35" s="67"/>
      <c r="Y35" s="67"/>
      <c r="Z35" s="67"/>
      <c r="AA35" s="67"/>
      <c r="AB35" s="67"/>
      <c r="AC35" s="67"/>
      <c r="AD35" s="67"/>
      <c r="AE35" s="67"/>
      <c r="AF35" s="67"/>
      <c r="AG35" s="67"/>
      <c r="AH35" s="67"/>
      <c r="AI35" s="67"/>
      <c r="AJ35" s="82"/>
    </row>
    <row r="36" spans="1:36" x14ac:dyDescent="0.25">
      <c r="A36" s="79" t="s">
        <v>147</v>
      </c>
      <c r="B36" s="75"/>
      <c r="C36" s="75"/>
      <c r="D36" s="75"/>
      <c r="E36" s="75"/>
      <c r="F36" s="75"/>
      <c r="G36" s="75"/>
      <c r="H36" s="75"/>
      <c r="I36" s="75"/>
      <c r="J36" s="75"/>
      <c r="K36" s="75"/>
      <c r="L36" s="75"/>
      <c r="M36" s="75"/>
      <c r="N36" s="67"/>
      <c r="O36" s="80"/>
      <c r="P36" s="67"/>
      <c r="Q36" s="84" t="s">
        <v>119</v>
      </c>
      <c r="R36" s="78"/>
      <c r="S36" s="92"/>
      <c r="T36" s="67"/>
      <c r="U36" s="67"/>
      <c r="V36" s="67"/>
      <c r="W36" s="67"/>
      <c r="X36" s="67"/>
      <c r="Y36" s="67"/>
      <c r="Z36" s="67"/>
      <c r="AA36" s="67"/>
      <c r="AB36" s="67"/>
      <c r="AC36" s="67"/>
      <c r="AD36" s="67"/>
      <c r="AE36" s="67"/>
      <c r="AF36" s="67"/>
      <c r="AG36" s="67"/>
      <c r="AH36" s="67"/>
      <c r="AI36" s="67"/>
      <c r="AJ36" s="82"/>
    </row>
    <row r="37" spans="1:36" x14ac:dyDescent="0.25">
      <c r="A37" s="79"/>
      <c r="B37" s="75"/>
      <c r="C37" s="75"/>
      <c r="D37" s="75"/>
      <c r="E37" s="75"/>
      <c r="F37" s="75"/>
      <c r="G37" s="75"/>
      <c r="H37" s="75"/>
      <c r="I37" s="75"/>
      <c r="J37" s="75"/>
      <c r="K37" s="75"/>
      <c r="L37" s="75"/>
      <c r="M37" s="75"/>
      <c r="N37" s="67"/>
      <c r="O37" s="80"/>
      <c r="P37" s="67"/>
      <c r="Q37" s="84"/>
      <c r="R37" s="78"/>
      <c r="S37" s="92"/>
      <c r="T37" s="67"/>
      <c r="U37" s="67"/>
      <c r="V37" s="67"/>
      <c r="W37" s="67"/>
      <c r="X37" s="67"/>
      <c r="Y37" s="67"/>
      <c r="Z37" s="67"/>
      <c r="AA37" s="67"/>
      <c r="AB37" s="67"/>
      <c r="AC37" s="67"/>
      <c r="AD37" s="67"/>
      <c r="AE37" s="67"/>
      <c r="AF37" s="67"/>
      <c r="AG37" s="67"/>
      <c r="AH37" s="67"/>
      <c r="AI37" s="67"/>
      <c r="AJ37" s="82"/>
    </row>
    <row r="38" spans="1:36" x14ac:dyDescent="0.25">
      <c r="A38" s="79" t="s">
        <v>148</v>
      </c>
      <c r="B38" s="75"/>
      <c r="C38" s="75"/>
      <c r="D38" s="75"/>
      <c r="E38" s="75"/>
      <c r="F38" s="75"/>
      <c r="G38" s="75"/>
      <c r="H38" s="75"/>
      <c r="I38" s="75"/>
      <c r="J38" s="75"/>
      <c r="K38" s="75"/>
      <c r="L38" s="75"/>
      <c r="M38" s="75"/>
      <c r="N38" s="67"/>
      <c r="O38" s="80"/>
      <c r="P38" s="67"/>
      <c r="Q38" s="84" t="s">
        <v>122</v>
      </c>
      <c r="R38" s="78"/>
      <c r="S38" s="92"/>
      <c r="T38" s="67"/>
      <c r="U38" s="67"/>
      <c r="V38" s="67"/>
      <c r="W38" s="67"/>
      <c r="X38" s="67"/>
      <c r="Y38" s="67"/>
      <c r="Z38" s="67"/>
      <c r="AA38" s="67"/>
      <c r="AB38" s="67"/>
      <c r="AC38" s="67"/>
      <c r="AD38" s="67"/>
      <c r="AE38" s="67"/>
      <c r="AF38" s="67"/>
      <c r="AG38" s="67"/>
      <c r="AH38" s="67"/>
      <c r="AI38" s="67"/>
      <c r="AJ38" s="82"/>
    </row>
    <row r="39" spans="1:36" x14ac:dyDescent="0.25">
      <c r="A39" s="79"/>
      <c r="B39" s="75"/>
      <c r="C39" s="75"/>
      <c r="D39" s="75"/>
      <c r="E39" s="75"/>
      <c r="F39" s="75"/>
      <c r="G39" s="75"/>
      <c r="H39" s="75"/>
      <c r="I39" s="75"/>
      <c r="J39" s="75"/>
      <c r="K39" s="75"/>
      <c r="L39" s="75"/>
      <c r="M39" s="75"/>
      <c r="N39" s="67"/>
      <c r="O39" s="80"/>
      <c r="P39" s="67"/>
      <c r="Q39" s="84"/>
      <c r="R39" s="78"/>
      <c r="S39" s="92"/>
      <c r="T39" s="67"/>
      <c r="U39" s="67"/>
      <c r="V39" s="67"/>
      <c r="W39" s="67"/>
      <c r="X39" s="67"/>
      <c r="Y39" s="67"/>
      <c r="Z39" s="67"/>
      <c r="AA39" s="67"/>
      <c r="AB39" s="67"/>
      <c r="AC39" s="67"/>
      <c r="AD39" s="67"/>
      <c r="AE39" s="67"/>
      <c r="AF39" s="67"/>
      <c r="AG39" s="67"/>
      <c r="AH39" s="67"/>
      <c r="AI39" s="67"/>
      <c r="AJ39" s="82"/>
    </row>
    <row r="40" spans="1:36" x14ac:dyDescent="0.25">
      <c r="A40" s="79" t="s">
        <v>149</v>
      </c>
      <c r="B40" s="75"/>
      <c r="C40" s="75"/>
      <c r="D40" s="75"/>
      <c r="E40" s="75"/>
      <c r="F40" s="75"/>
      <c r="G40" s="75"/>
      <c r="H40" s="75"/>
      <c r="I40" s="75"/>
      <c r="J40" s="75"/>
      <c r="K40" s="75"/>
      <c r="L40" s="75"/>
      <c r="M40" s="75"/>
      <c r="N40" s="67"/>
      <c r="O40" s="80"/>
      <c r="P40" s="67"/>
      <c r="Q40" s="84" t="s">
        <v>126</v>
      </c>
      <c r="R40" s="78"/>
      <c r="S40" s="92"/>
      <c r="T40" s="67"/>
      <c r="U40" s="67"/>
      <c r="V40" s="67"/>
      <c r="W40" s="67"/>
      <c r="X40" s="67"/>
      <c r="Y40" s="67"/>
      <c r="Z40" s="67"/>
      <c r="AA40" s="67"/>
      <c r="AB40" s="67"/>
      <c r="AC40" s="67"/>
      <c r="AD40" s="67"/>
      <c r="AE40" s="67"/>
      <c r="AF40" s="67"/>
      <c r="AG40" s="67"/>
      <c r="AH40" s="67"/>
      <c r="AI40" s="67"/>
      <c r="AJ40" s="82"/>
    </row>
    <row r="41" spans="1:36" x14ac:dyDescent="0.25">
      <c r="A41" s="93"/>
      <c r="B41" s="94"/>
      <c r="C41" s="94"/>
      <c r="D41" s="94"/>
      <c r="E41" s="94"/>
      <c r="F41" s="94"/>
      <c r="G41" s="94"/>
      <c r="H41" s="94"/>
      <c r="I41" s="94"/>
      <c r="J41" s="94"/>
      <c r="K41" s="94"/>
      <c r="L41" s="94"/>
      <c r="M41" s="94"/>
      <c r="N41" s="94"/>
      <c r="O41" s="94"/>
      <c r="P41" s="95"/>
      <c r="Q41" s="95"/>
      <c r="R41" s="96"/>
      <c r="S41" s="97" t="s">
        <v>150</v>
      </c>
      <c r="T41" s="95"/>
      <c r="U41" s="95"/>
      <c r="V41" s="95"/>
      <c r="W41" s="95"/>
      <c r="X41" s="95"/>
      <c r="Y41" s="95"/>
      <c r="Z41" s="95"/>
      <c r="AA41" s="95"/>
      <c r="AB41" s="95"/>
      <c r="AC41" s="95"/>
      <c r="AD41" s="95"/>
      <c r="AE41" s="95"/>
      <c r="AF41" s="95"/>
      <c r="AG41" s="95"/>
      <c r="AH41" s="95"/>
      <c r="AI41" s="95"/>
      <c r="AJ41" s="96"/>
    </row>
    <row r="42" spans="1:36" x14ac:dyDescent="0.25">
      <c r="A42" s="66"/>
      <c r="B42" s="66"/>
      <c r="C42" s="66"/>
      <c r="D42" s="66"/>
      <c r="E42" s="66"/>
      <c r="F42" s="66"/>
      <c r="G42" s="66"/>
      <c r="H42" s="66"/>
      <c r="I42" s="66"/>
      <c r="J42" s="66"/>
      <c r="K42" s="66"/>
      <c r="L42" s="66"/>
      <c r="M42" s="66"/>
      <c r="N42" s="66"/>
      <c r="O42" s="66"/>
      <c r="P42" s="66"/>
      <c r="Q42" s="66"/>
      <c r="R42" s="66"/>
      <c r="S42" s="66"/>
      <c r="T42" s="66"/>
      <c r="U42" s="66"/>
      <c r="V42" s="66"/>
      <c r="W42" s="66"/>
      <c r="X42" s="66"/>
      <c r="Y42" s="66"/>
      <c r="Z42" s="66"/>
      <c r="AA42" s="66"/>
      <c r="AB42" s="66"/>
      <c r="AC42" s="66"/>
      <c r="AD42" s="66"/>
      <c r="AE42" s="66"/>
      <c r="AF42" s="66"/>
      <c r="AG42" s="66"/>
      <c r="AH42" s="66"/>
      <c r="AI42" s="66"/>
      <c r="AJ42" s="66"/>
    </row>
    <row r="43" spans="1:36" x14ac:dyDescent="0.25">
      <c r="A43" s="66"/>
      <c r="B43" s="66"/>
      <c r="C43" s="66"/>
      <c r="D43" s="66"/>
      <c r="E43" s="66"/>
      <c r="F43" s="66"/>
      <c r="G43" s="66"/>
      <c r="H43" s="66"/>
      <c r="I43" s="66"/>
      <c r="J43" s="66"/>
      <c r="K43" s="66"/>
      <c r="L43" s="66"/>
      <c r="M43" s="66"/>
      <c r="N43" s="66"/>
      <c r="O43" s="66"/>
      <c r="P43" s="66"/>
      <c r="Q43" s="66"/>
      <c r="R43" s="66"/>
      <c r="S43" s="66"/>
      <c r="T43" s="66"/>
      <c r="U43" s="66"/>
      <c r="V43" s="66"/>
      <c r="W43" s="66"/>
      <c r="X43" s="66"/>
      <c r="Y43" s="66"/>
      <c r="Z43" s="66"/>
      <c r="AA43" s="66"/>
      <c r="AB43" s="66"/>
      <c r="AC43" s="66"/>
      <c r="AD43" s="66"/>
      <c r="AE43" s="66"/>
      <c r="AF43" s="66"/>
      <c r="AG43" s="66"/>
      <c r="AH43" s="66"/>
      <c r="AI43" s="66"/>
      <c r="AJ43" s="66"/>
    </row>
    <row r="44" spans="1:36" x14ac:dyDescent="0.25">
      <c r="A44" s="66"/>
      <c r="B44" s="66"/>
      <c r="C44" s="66"/>
      <c r="D44" s="66"/>
      <c r="E44" s="66"/>
      <c r="F44" s="66"/>
      <c r="G44" s="66"/>
      <c r="H44" s="66"/>
      <c r="I44" s="66"/>
      <c r="J44" s="66"/>
      <c r="K44" s="66"/>
      <c r="L44" s="66"/>
      <c r="M44" s="66"/>
      <c r="N44" s="66"/>
      <c r="O44" s="66"/>
      <c r="P44" s="66"/>
      <c r="Q44" s="66"/>
      <c r="R44" s="66"/>
      <c r="S44" s="66"/>
      <c r="T44" s="66"/>
      <c r="U44" s="66"/>
      <c r="V44" s="66"/>
      <c r="W44" s="66"/>
      <c r="X44" s="66"/>
      <c r="Y44" s="66"/>
      <c r="Z44" s="66"/>
      <c r="AA44" s="66"/>
      <c r="AB44" s="66"/>
      <c r="AC44" s="66"/>
      <c r="AD44" s="66"/>
      <c r="AE44" s="66"/>
      <c r="AF44" s="66"/>
      <c r="AG44" s="66"/>
      <c r="AH44" s="66"/>
      <c r="AI44" s="66"/>
      <c r="AJ44" s="66"/>
    </row>
    <row r="45" spans="1:36" x14ac:dyDescent="0.25">
      <c r="A45" s="66"/>
      <c r="B45" s="66"/>
      <c r="C45" s="66"/>
      <c r="D45" s="66"/>
      <c r="E45" s="66"/>
      <c r="F45" s="66"/>
      <c r="G45" s="66"/>
      <c r="H45" s="66"/>
      <c r="I45" s="66"/>
      <c r="J45" s="66"/>
      <c r="K45" s="66"/>
      <c r="L45" s="66"/>
      <c r="M45" s="66"/>
      <c r="N45" s="66"/>
      <c r="O45" s="66"/>
      <c r="P45" s="66"/>
      <c r="Q45" s="66"/>
      <c r="R45" s="66"/>
      <c r="S45" s="66"/>
      <c r="T45" s="66"/>
      <c r="U45" s="66"/>
      <c r="V45" s="66"/>
      <c r="W45" s="66"/>
      <c r="X45" s="66"/>
      <c r="Y45" s="66"/>
      <c r="Z45" s="66"/>
      <c r="AA45" s="66"/>
      <c r="AB45" s="66"/>
      <c r="AC45" s="66"/>
      <c r="AD45" s="66"/>
      <c r="AE45" s="66"/>
      <c r="AF45" s="66"/>
      <c r="AG45" s="66"/>
      <c r="AH45" s="66"/>
      <c r="AI45" s="66"/>
      <c r="AJ45" s="66"/>
    </row>
    <row r="46" spans="1:36" x14ac:dyDescent="0.25">
      <c r="A46" s="66"/>
      <c r="B46" s="66"/>
      <c r="C46" s="66"/>
      <c r="D46" s="66"/>
      <c r="E46" s="66"/>
      <c r="F46" s="66"/>
      <c r="G46" s="66"/>
      <c r="H46" s="66"/>
      <c r="I46" s="66"/>
      <c r="J46" s="66"/>
      <c r="K46" s="66"/>
      <c r="L46" s="66"/>
      <c r="M46" s="66"/>
      <c r="N46" s="66"/>
      <c r="O46" s="66"/>
      <c r="P46" s="66"/>
      <c r="Q46" s="66"/>
      <c r="R46" s="66"/>
      <c r="S46" s="66"/>
      <c r="T46" s="66"/>
      <c r="U46" s="66"/>
      <c r="V46" s="66"/>
      <c r="W46" s="66"/>
      <c r="X46" s="66"/>
      <c r="Y46" s="66"/>
      <c r="Z46" s="66"/>
      <c r="AA46" s="66"/>
      <c r="AB46" s="66"/>
      <c r="AC46" s="66"/>
      <c r="AD46" s="66"/>
      <c r="AE46" s="66"/>
      <c r="AF46" s="66"/>
      <c r="AG46" s="66"/>
      <c r="AH46" s="66"/>
      <c r="AI46" s="66"/>
      <c r="AJ46" s="66"/>
    </row>
    <row r="47" spans="1:36" x14ac:dyDescent="0.25">
      <c r="A47" s="66"/>
      <c r="B47" s="66"/>
      <c r="C47" s="66"/>
      <c r="D47" s="66"/>
      <c r="E47" s="66"/>
      <c r="F47" s="66"/>
      <c r="G47" s="66"/>
      <c r="H47" s="66"/>
      <c r="I47" s="66"/>
      <c r="J47" s="66"/>
      <c r="K47" s="66"/>
      <c r="L47" s="66"/>
      <c r="M47" s="66"/>
      <c r="N47" s="66"/>
      <c r="O47" s="66"/>
      <c r="P47" s="66"/>
      <c r="Q47" s="66"/>
      <c r="R47" s="66"/>
      <c r="S47" s="66"/>
      <c r="T47" s="66"/>
      <c r="U47" s="66"/>
      <c r="V47" s="66"/>
      <c r="W47" s="66"/>
      <c r="X47" s="66"/>
      <c r="Y47" s="66"/>
      <c r="Z47" s="66"/>
      <c r="AA47" s="66"/>
      <c r="AB47" s="66"/>
      <c r="AC47" s="66"/>
      <c r="AD47" s="66"/>
      <c r="AE47" s="66"/>
      <c r="AF47" s="66"/>
      <c r="AG47" s="66"/>
      <c r="AH47" s="66"/>
      <c r="AI47" s="66"/>
      <c r="AJ47" s="66"/>
    </row>
    <row r="48" spans="1:36" x14ac:dyDescent="0.25">
      <c r="A48" s="98"/>
      <c r="B48" s="98"/>
      <c r="C48" s="98"/>
      <c r="D48" s="98"/>
      <c r="E48" s="98"/>
      <c r="F48" s="98"/>
      <c r="G48" s="98"/>
      <c r="H48" s="98"/>
      <c r="I48" s="98"/>
      <c r="J48" s="98"/>
      <c r="K48" s="98"/>
      <c r="L48" s="98"/>
      <c r="M48" s="66"/>
      <c r="N48" s="66"/>
      <c r="O48" s="66"/>
      <c r="P48" s="66"/>
      <c r="Q48" s="66"/>
      <c r="R48" s="66"/>
      <c r="S48" s="66"/>
      <c r="T48" s="66"/>
      <c r="U48" s="66"/>
      <c r="V48" s="66"/>
      <c r="W48" s="66"/>
      <c r="X48" s="66"/>
      <c r="Y48" s="66"/>
      <c r="Z48" s="66"/>
      <c r="AA48" s="66"/>
      <c r="AB48" s="66"/>
      <c r="AC48" s="66"/>
      <c r="AD48" s="66"/>
      <c r="AE48" s="66"/>
      <c r="AF48" s="66"/>
      <c r="AG48" s="66"/>
      <c r="AH48" s="66"/>
      <c r="AI48" s="66"/>
      <c r="AJ48" s="66"/>
    </row>
    <row r="49" spans="1:36" x14ac:dyDescent="0.25">
      <c r="A49" s="69"/>
      <c r="B49" s="69"/>
      <c r="C49" s="69"/>
      <c r="D49" s="69"/>
      <c r="E49" s="69"/>
      <c r="F49" s="69"/>
      <c r="G49" s="69"/>
      <c r="H49" s="69"/>
      <c r="I49" s="69"/>
      <c r="J49" s="69"/>
      <c r="K49" s="69"/>
      <c r="L49" s="69"/>
      <c r="M49" s="66"/>
      <c r="N49" s="66"/>
      <c r="O49" s="66"/>
      <c r="P49" s="66"/>
      <c r="Q49" s="66"/>
      <c r="R49" s="66"/>
      <c r="S49" s="66"/>
      <c r="T49" s="66"/>
      <c r="U49" s="66"/>
      <c r="V49" s="66"/>
      <c r="W49" s="66"/>
      <c r="X49" s="66"/>
      <c r="Y49" s="66"/>
      <c r="Z49" s="66"/>
      <c r="AA49" s="66"/>
      <c r="AB49" s="66"/>
      <c r="AC49" s="66"/>
      <c r="AD49" s="66"/>
      <c r="AE49" s="66"/>
      <c r="AF49" s="66"/>
      <c r="AG49" s="66"/>
      <c r="AH49" s="66"/>
      <c r="AI49" s="66"/>
      <c r="AJ49" s="66"/>
    </row>
    <row r="50" spans="1:36" ht="16.5" x14ac:dyDescent="0.25">
      <c r="A50" s="99" t="s">
        <v>151</v>
      </c>
      <c r="B50" s="66"/>
      <c r="C50" s="66"/>
      <c r="D50" s="66"/>
      <c r="E50" s="66"/>
      <c r="F50" s="66"/>
      <c r="G50" s="66"/>
      <c r="H50" s="66"/>
      <c r="I50" s="66"/>
      <c r="J50" s="66"/>
      <c r="K50" s="66"/>
      <c r="L50" s="66"/>
      <c r="M50" s="66"/>
      <c r="N50" s="66"/>
      <c r="O50" s="66"/>
      <c r="P50" s="66"/>
      <c r="Q50" s="66"/>
      <c r="R50" s="66"/>
      <c r="S50" s="66"/>
      <c r="T50" s="66"/>
      <c r="U50" s="66"/>
      <c r="V50" s="66"/>
      <c r="W50" s="66"/>
      <c r="X50" s="66"/>
      <c r="Y50" s="66"/>
      <c r="Z50" s="66"/>
      <c r="AA50" s="66"/>
      <c r="AB50" s="66"/>
      <c r="AC50" s="66"/>
      <c r="AD50" s="66"/>
      <c r="AE50" s="66"/>
      <c r="AF50" s="66"/>
      <c r="AG50" s="66"/>
      <c r="AH50" s="66"/>
      <c r="AI50" s="66"/>
      <c r="AJ50" s="66"/>
    </row>
    <row r="51" spans="1:36" x14ac:dyDescent="0.25">
      <c r="A51" s="802" t="s">
        <v>152</v>
      </c>
      <c r="B51" s="802"/>
      <c r="C51" s="802"/>
      <c r="D51" s="802"/>
      <c r="E51" s="802"/>
      <c r="F51" s="802"/>
      <c r="G51" s="802"/>
      <c r="H51" s="802"/>
      <c r="I51" s="802"/>
      <c r="J51" s="802"/>
      <c r="K51" s="802"/>
      <c r="L51" s="802"/>
      <c r="M51" s="802"/>
      <c r="N51" s="802"/>
      <c r="O51" s="802"/>
      <c r="P51" s="802"/>
      <c r="Q51" s="802"/>
      <c r="R51" s="802"/>
      <c r="S51" s="802"/>
      <c r="T51" s="802"/>
      <c r="U51" s="802"/>
      <c r="V51" s="802"/>
      <c r="W51" s="802"/>
      <c r="X51" s="802"/>
      <c r="Y51" s="802"/>
      <c r="Z51" s="802"/>
      <c r="AA51" s="802"/>
      <c r="AB51" s="802"/>
      <c r="AC51" s="802"/>
      <c r="AD51" s="802"/>
      <c r="AE51" s="802"/>
      <c r="AF51" s="802"/>
      <c r="AG51" s="802"/>
      <c r="AH51" s="802"/>
      <c r="AI51" s="802"/>
      <c r="AJ51" s="66"/>
    </row>
    <row r="52" spans="1:36" x14ac:dyDescent="0.25">
      <c r="A52" s="66"/>
      <c r="B52" s="66"/>
      <c r="C52" s="66"/>
      <c r="D52" s="66"/>
      <c r="E52" s="66"/>
      <c r="F52" s="66"/>
      <c r="G52" s="66"/>
      <c r="H52" s="66"/>
      <c r="I52" s="66"/>
      <c r="J52" s="66"/>
      <c r="K52" s="66"/>
      <c r="L52" s="66"/>
      <c r="M52" s="66"/>
      <c r="N52" s="66"/>
      <c r="O52" s="66"/>
      <c r="P52" s="66"/>
      <c r="Q52" s="66"/>
      <c r="R52" s="66"/>
      <c r="S52" s="66"/>
      <c r="T52" s="66"/>
      <c r="U52" s="66"/>
      <c r="V52" s="66"/>
      <c r="W52" s="66"/>
      <c r="X52" s="66"/>
      <c r="Y52" s="66"/>
      <c r="Z52" s="66"/>
      <c r="AA52" s="66"/>
      <c r="AB52" s="66"/>
      <c r="AC52" s="66"/>
      <c r="AD52" s="66"/>
      <c r="AE52" s="66"/>
      <c r="AF52" s="66"/>
      <c r="AG52" s="66"/>
      <c r="AH52" s="66"/>
      <c r="AI52" s="66"/>
      <c r="AJ52" s="66"/>
    </row>
    <row r="53" spans="1:36" x14ac:dyDescent="0.25">
      <c r="A53" s="791"/>
      <c r="B53" s="791"/>
      <c r="C53" s="791"/>
      <c r="D53" s="791"/>
      <c r="E53" s="791"/>
      <c r="F53" s="791"/>
      <c r="G53" s="791"/>
      <c r="H53" s="791"/>
      <c r="I53" s="791"/>
      <c r="J53" s="791"/>
      <c r="K53" s="791"/>
      <c r="L53" s="791"/>
      <c r="M53" s="791"/>
      <c r="N53" s="791"/>
      <c r="O53" s="791"/>
      <c r="P53" s="791"/>
      <c r="Q53" s="791"/>
      <c r="R53" s="791"/>
      <c r="S53" s="791"/>
      <c r="T53" s="791"/>
      <c r="U53" s="791"/>
      <c r="V53" s="791"/>
      <c r="W53" s="791"/>
      <c r="X53" s="791"/>
      <c r="Y53" s="791"/>
      <c r="Z53" s="791"/>
      <c r="AA53" s="791"/>
      <c r="AB53" s="791"/>
      <c r="AC53" s="791"/>
      <c r="AD53" s="791"/>
      <c r="AE53" s="791"/>
      <c r="AF53" s="791"/>
      <c r="AG53" s="791"/>
      <c r="AH53" s="791"/>
      <c r="AI53" s="791"/>
      <c r="AJ53" s="791"/>
    </row>
    <row r="54" spans="1:36" ht="15.75" x14ac:dyDescent="0.25">
      <c r="A54" s="792" t="s">
        <v>153</v>
      </c>
      <c r="B54" s="792"/>
      <c r="C54" s="792"/>
      <c r="D54" s="792"/>
      <c r="E54" s="792"/>
      <c r="F54" s="792"/>
      <c r="G54" s="792"/>
      <c r="H54" s="792"/>
      <c r="I54" s="792"/>
      <c r="J54" s="792"/>
      <c r="K54" s="792"/>
      <c r="L54" s="792"/>
      <c r="M54" s="792"/>
      <c r="N54" s="792"/>
      <c r="O54" s="792"/>
      <c r="P54" s="792"/>
      <c r="Q54" s="792"/>
      <c r="R54" s="792"/>
      <c r="S54" s="792"/>
      <c r="T54" s="792"/>
      <c r="U54" s="792"/>
      <c r="V54" s="792"/>
      <c r="W54" s="792"/>
      <c r="X54" s="792"/>
      <c r="Y54" s="792"/>
      <c r="Z54" s="792"/>
      <c r="AA54" s="792"/>
      <c r="AB54" s="792"/>
      <c r="AC54" s="792"/>
      <c r="AD54" s="792"/>
      <c r="AE54" s="792"/>
      <c r="AF54" s="792"/>
      <c r="AG54" s="792"/>
      <c r="AH54" s="792"/>
      <c r="AI54" s="792"/>
      <c r="AJ54" s="792"/>
    </row>
    <row r="55" spans="1:36" x14ac:dyDescent="0.25">
      <c r="A55" s="98"/>
      <c r="B55" s="98"/>
      <c r="C55" s="98"/>
      <c r="D55" s="98"/>
      <c r="E55" s="98"/>
      <c r="F55" s="98"/>
      <c r="G55" s="98"/>
      <c r="H55" s="98"/>
      <c r="I55" s="98"/>
      <c r="J55" s="98"/>
      <c r="K55" s="98"/>
      <c r="L55" s="98"/>
      <c r="M55" s="98"/>
      <c r="N55" s="98"/>
      <c r="O55" s="98"/>
      <c r="P55" s="98"/>
      <c r="Q55" s="98"/>
      <c r="R55" s="98"/>
      <c r="S55" s="98"/>
      <c r="T55" s="98"/>
      <c r="U55" s="98"/>
      <c r="V55" s="98"/>
      <c r="W55" s="98"/>
      <c r="X55" s="98"/>
      <c r="Y55" s="98"/>
      <c r="Z55" s="98"/>
      <c r="AA55" s="98"/>
      <c r="AB55" s="98"/>
      <c r="AC55" s="98"/>
      <c r="AD55" s="98"/>
      <c r="AE55" s="98"/>
      <c r="AF55" s="98"/>
      <c r="AG55" s="98"/>
      <c r="AH55" s="98"/>
      <c r="AI55" s="98"/>
      <c r="AJ55" s="98"/>
    </row>
    <row r="56" spans="1:36" ht="10.9" customHeight="1" x14ac:dyDescent="0.25">
      <c r="A56" s="100" t="s">
        <v>154</v>
      </c>
      <c r="B56" s="101"/>
      <c r="C56" s="101"/>
      <c r="D56" s="101"/>
      <c r="E56" s="101"/>
      <c r="F56" s="101"/>
      <c r="G56" s="101"/>
      <c r="H56" s="101"/>
      <c r="I56" s="101"/>
      <c r="J56" s="101"/>
      <c r="K56" s="101"/>
      <c r="L56" s="102"/>
      <c r="M56" s="100" t="s">
        <v>155</v>
      </c>
      <c r="N56" s="101"/>
      <c r="O56" s="101"/>
      <c r="P56" s="101"/>
      <c r="Q56" s="101"/>
      <c r="R56" s="101"/>
      <c r="S56" s="101"/>
      <c r="T56" s="101"/>
      <c r="U56" s="101"/>
      <c r="V56" s="101"/>
      <c r="W56" s="101"/>
      <c r="X56" s="102"/>
      <c r="Y56" s="101" t="s">
        <v>156</v>
      </c>
      <c r="Z56" s="101"/>
      <c r="AA56" s="101"/>
      <c r="AB56" s="101"/>
      <c r="AC56" s="101"/>
      <c r="AD56" s="101"/>
      <c r="AE56" s="101"/>
      <c r="AF56" s="101"/>
      <c r="AG56" s="101"/>
      <c r="AH56" s="101"/>
      <c r="AI56" s="101"/>
      <c r="AJ56" s="102"/>
    </row>
    <row r="57" spans="1:36" ht="10.9" customHeight="1" x14ac:dyDescent="0.25">
      <c r="A57" s="103" t="s">
        <v>157</v>
      </c>
      <c r="B57" s="101"/>
      <c r="C57" s="101"/>
      <c r="D57" s="101"/>
      <c r="E57" s="101"/>
      <c r="F57" s="101"/>
      <c r="G57" s="101"/>
      <c r="H57" s="101"/>
      <c r="I57" s="101"/>
      <c r="J57" s="101"/>
      <c r="K57" s="101"/>
      <c r="L57" s="102"/>
      <c r="M57" s="103" t="s">
        <v>158</v>
      </c>
      <c r="N57" s="101"/>
      <c r="O57" s="101"/>
      <c r="P57" s="101"/>
      <c r="Q57" s="101"/>
      <c r="R57" s="101"/>
      <c r="S57" s="101"/>
      <c r="T57" s="101"/>
      <c r="U57" s="101"/>
      <c r="V57" s="101"/>
      <c r="W57" s="101"/>
      <c r="X57" s="102"/>
      <c r="Y57" s="101" t="s">
        <v>159</v>
      </c>
      <c r="Z57" s="101"/>
      <c r="AA57" s="101"/>
      <c r="AB57" s="101"/>
      <c r="AC57" s="101"/>
      <c r="AD57" s="101"/>
      <c r="AE57" s="101"/>
      <c r="AF57" s="101"/>
      <c r="AG57" s="101"/>
      <c r="AH57" s="101"/>
      <c r="AI57" s="101"/>
      <c r="AJ57" s="102"/>
    </row>
    <row r="58" spans="1:36" ht="10.9" customHeight="1" x14ac:dyDescent="0.25">
      <c r="A58" s="103" t="s">
        <v>160</v>
      </c>
      <c r="B58" s="101"/>
      <c r="C58" s="101"/>
      <c r="D58" s="101"/>
      <c r="E58" s="101"/>
      <c r="F58" s="101"/>
      <c r="G58" s="101"/>
      <c r="H58" s="101"/>
      <c r="I58" s="101"/>
      <c r="J58" s="101"/>
      <c r="K58" s="101"/>
      <c r="L58" s="102"/>
      <c r="M58" s="100" t="s">
        <v>161</v>
      </c>
      <c r="N58" s="101"/>
      <c r="O58" s="101"/>
      <c r="P58" s="101"/>
      <c r="Q58" s="101"/>
      <c r="R58" s="101"/>
      <c r="S58" s="101"/>
      <c r="T58" s="101"/>
      <c r="U58" s="101"/>
      <c r="V58" s="101"/>
      <c r="W58" s="101"/>
      <c r="X58" s="102"/>
      <c r="Y58" s="101" t="s">
        <v>162</v>
      </c>
      <c r="Z58" s="101"/>
      <c r="AA58" s="101"/>
      <c r="AB58" s="101"/>
      <c r="AC58" s="101"/>
      <c r="AD58" s="101"/>
      <c r="AE58" s="101"/>
      <c r="AF58" s="101"/>
      <c r="AG58" s="101"/>
      <c r="AH58" s="101"/>
      <c r="AI58" s="101"/>
      <c r="AJ58" s="102"/>
    </row>
    <row r="59" spans="1:36" ht="10.9" customHeight="1" x14ac:dyDescent="0.25">
      <c r="A59" s="103" t="s">
        <v>163</v>
      </c>
      <c r="B59" s="101"/>
      <c r="C59" s="101"/>
      <c r="D59" s="101"/>
      <c r="E59" s="101"/>
      <c r="F59" s="101"/>
      <c r="G59" s="101"/>
      <c r="H59" s="101"/>
      <c r="I59" s="101"/>
      <c r="J59" s="101"/>
      <c r="K59" s="101"/>
      <c r="L59" s="102"/>
      <c r="M59" s="103" t="s">
        <v>164</v>
      </c>
      <c r="N59" s="101"/>
      <c r="O59" s="101"/>
      <c r="P59" s="101"/>
      <c r="Q59" s="101"/>
      <c r="R59" s="101"/>
      <c r="S59" s="101"/>
      <c r="T59" s="101"/>
      <c r="U59" s="101"/>
      <c r="V59" s="101"/>
      <c r="W59" s="101"/>
      <c r="X59" s="102"/>
      <c r="Y59" s="101" t="s">
        <v>165</v>
      </c>
      <c r="Z59" s="101"/>
      <c r="AA59" s="101"/>
      <c r="AB59" s="101"/>
      <c r="AC59" s="101"/>
      <c r="AD59" s="101"/>
      <c r="AE59" s="101"/>
      <c r="AF59" s="101"/>
      <c r="AG59" s="101"/>
      <c r="AH59" s="101"/>
      <c r="AI59" s="101"/>
      <c r="AJ59" s="102"/>
    </row>
    <row r="60" spans="1:36" ht="10.9" customHeight="1" x14ac:dyDescent="0.25">
      <c r="A60" s="103" t="s">
        <v>166</v>
      </c>
      <c r="B60" s="101"/>
      <c r="C60" s="101"/>
      <c r="D60" s="101"/>
      <c r="E60" s="101"/>
      <c r="F60" s="101"/>
      <c r="G60" s="101"/>
      <c r="H60" s="101"/>
      <c r="I60" s="101"/>
      <c r="J60" s="101"/>
      <c r="K60" s="101"/>
      <c r="L60" s="102"/>
      <c r="M60" s="103" t="s">
        <v>167</v>
      </c>
      <c r="N60" s="101"/>
      <c r="O60" s="101"/>
      <c r="P60" s="101"/>
      <c r="Q60" s="101"/>
      <c r="R60" s="101"/>
      <c r="S60" s="101"/>
      <c r="T60" s="101"/>
      <c r="U60" s="101"/>
      <c r="V60" s="101"/>
      <c r="W60" s="101"/>
      <c r="X60" s="102"/>
      <c r="Y60" s="104" t="s">
        <v>168</v>
      </c>
      <c r="Z60" s="101"/>
      <c r="AA60" s="101"/>
      <c r="AB60" s="101"/>
      <c r="AC60" s="101"/>
      <c r="AD60" s="101"/>
      <c r="AE60" s="101"/>
      <c r="AF60" s="101"/>
      <c r="AG60" s="101"/>
      <c r="AH60" s="101"/>
      <c r="AI60" s="101"/>
      <c r="AJ60" s="102"/>
    </row>
    <row r="61" spans="1:36" ht="10.9" customHeight="1" x14ac:dyDescent="0.25">
      <c r="A61" s="103" t="s">
        <v>169</v>
      </c>
      <c r="B61" s="101"/>
      <c r="C61" s="101"/>
      <c r="D61" s="101"/>
      <c r="E61" s="101"/>
      <c r="F61" s="101"/>
      <c r="G61" s="101"/>
      <c r="H61" s="101"/>
      <c r="I61" s="101"/>
      <c r="J61" s="101"/>
      <c r="K61" s="101"/>
      <c r="L61" s="102"/>
      <c r="M61" s="100" t="s">
        <v>170</v>
      </c>
      <c r="N61" s="101"/>
      <c r="O61" s="101"/>
      <c r="P61" s="101"/>
      <c r="Q61" s="101"/>
      <c r="R61" s="101"/>
      <c r="S61" s="101"/>
      <c r="T61" s="101"/>
      <c r="U61" s="101"/>
      <c r="V61" s="101"/>
      <c r="W61" s="101"/>
      <c r="X61" s="102"/>
      <c r="Y61" s="101" t="s">
        <v>171</v>
      </c>
      <c r="Z61" s="101"/>
      <c r="AA61" s="101"/>
      <c r="AB61" s="101"/>
      <c r="AC61" s="101"/>
      <c r="AD61" s="101"/>
      <c r="AE61" s="101"/>
      <c r="AF61" s="101"/>
      <c r="AG61" s="101"/>
      <c r="AH61" s="101"/>
      <c r="AI61" s="101"/>
      <c r="AJ61" s="102"/>
    </row>
    <row r="62" spans="1:36" ht="10.9" customHeight="1" x14ac:dyDescent="0.25">
      <c r="A62" s="103" t="s">
        <v>172</v>
      </c>
      <c r="B62" s="101"/>
      <c r="C62" s="101"/>
      <c r="D62" s="101"/>
      <c r="E62" s="101"/>
      <c r="F62" s="101"/>
      <c r="G62" s="101"/>
      <c r="H62" s="101"/>
      <c r="I62" s="101"/>
      <c r="J62" s="101"/>
      <c r="K62" s="101"/>
      <c r="L62" s="102"/>
      <c r="M62" s="103" t="s">
        <v>173</v>
      </c>
      <c r="N62" s="101"/>
      <c r="O62" s="101"/>
      <c r="P62" s="101"/>
      <c r="Q62" s="101"/>
      <c r="R62" s="101"/>
      <c r="S62" s="101"/>
      <c r="T62" s="101"/>
      <c r="U62" s="101"/>
      <c r="V62" s="101"/>
      <c r="W62" s="101"/>
      <c r="X62" s="102"/>
      <c r="Y62" s="101" t="s">
        <v>174</v>
      </c>
      <c r="Z62" s="101"/>
      <c r="AA62" s="101"/>
      <c r="AB62" s="101"/>
      <c r="AC62" s="101"/>
      <c r="AD62" s="101"/>
      <c r="AE62" s="101"/>
      <c r="AF62" s="101"/>
      <c r="AG62" s="101"/>
      <c r="AH62" s="101"/>
      <c r="AI62" s="101"/>
      <c r="AJ62" s="102"/>
    </row>
    <row r="63" spans="1:36" ht="10.9" customHeight="1" x14ac:dyDescent="0.25">
      <c r="A63" s="103" t="s">
        <v>175</v>
      </c>
      <c r="B63" s="101"/>
      <c r="C63" s="101"/>
      <c r="D63" s="101"/>
      <c r="E63" s="101"/>
      <c r="F63" s="101"/>
      <c r="G63" s="101"/>
      <c r="H63" s="101"/>
      <c r="I63" s="101"/>
      <c r="J63" s="101"/>
      <c r="K63" s="101"/>
      <c r="L63" s="102"/>
      <c r="M63" s="103" t="s">
        <v>176</v>
      </c>
      <c r="N63" s="101"/>
      <c r="O63" s="101"/>
      <c r="P63" s="101"/>
      <c r="Q63" s="101"/>
      <c r="R63" s="101"/>
      <c r="S63" s="101"/>
      <c r="T63" s="101"/>
      <c r="U63" s="101"/>
      <c r="V63" s="101"/>
      <c r="W63" s="101"/>
      <c r="X63" s="102"/>
      <c r="Y63" s="101" t="s">
        <v>177</v>
      </c>
      <c r="Z63" s="101"/>
      <c r="AA63" s="101"/>
      <c r="AB63" s="101"/>
      <c r="AC63" s="101"/>
      <c r="AD63" s="101"/>
      <c r="AE63" s="101"/>
      <c r="AF63" s="101"/>
      <c r="AG63" s="101"/>
      <c r="AH63" s="101"/>
      <c r="AI63" s="101"/>
      <c r="AJ63" s="102"/>
    </row>
    <row r="64" spans="1:36" ht="10.9" customHeight="1" x14ac:dyDescent="0.25">
      <c r="A64" s="100" t="s">
        <v>178</v>
      </c>
      <c r="B64" s="101"/>
      <c r="C64" s="101"/>
      <c r="D64" s="101"/>
      <c r="E64" s="101"/>
      <c r="F64" s="101"/>
      <c r="G64" s="101"/>
      <c r="H64" s="101"/>
      <c r="I64" s="101"/>
      <c r="J64" s="101"/>
      <c r="K64" s="101"/>
      <c r="L64" s="102"/>
      <c r="M64" s="103" t="s">
        <v>179</v>
      </c>
      <c r="N64" s="101"/>
      <c r="O64" s="101"/>
      <c r="P64" s="101"/>
      <c r="Q64" s="101"/>
      <c r="R64" s="101"/>
      <c r="S64" s="101"/>
      <c r="T64" s="101"/>
      <c r="U64" s="101"/>
      <c r="V64" s="101"/>
      <c r="W64" s="101"/>
      <c r="X64" s="102"/>
      <c r="Y64" s="101" t="s">
        <v>180</v>
      </c>
      <c r="Z64" s="101"/>
      <c r="AA64" s="101"/>
      <c r="AB64" s="101"/>
      <c r="AC64" s="101"/>
      <c r="AD64" s="101"/>
      <c r="AE64" s="101"/>
      <c r="AF64" s="101"/>
      <c r="AG64" s="101"/>
      <c r="AH64" s="101"/>
      <c r="AI64" s="101"/>
      <c r="AJ64" s="102"/>
    </row>
    <row r="65" spans="1:36" ht="10.9" customHeight="1" x14ac:dyDescent="0.25">
      <c r="A65" s="103" t="s">
        <v>181</v>
      </c>
      <c r="B65" s="101"/>
      <c r="C65" s="101"/>
      <c r="D65" s="101"/>
      <c r="E65" s="101"/>
      <c r="F65" s="101"/>
      <c r="G65" s="101"/>
      <c r="H65" s="101"/>
      <c r="I65" s="101"/>
      <c r="J65" s="101"/>
      <c r="K65" s="101"/>
      <c r="L65" s="102"/>
      <c r="M65" s="100" t="s">
        <v>182</v>
      </c>
      <c r="N65" s="101"/>
      <c r="O65" s="101"/>
      <c r="P65" s="101"/>
      <c r="Q65" s="101"/>
      <c r="R65" s="101"/>
      <c r="S65" s="101"/>
      <c r="T65" s="101"/>
      <c r="U65" s="101"/>
      <c r="V65" s="101"/>
      <c r="W65" s="101"/>
      <c r="X65" s="102"/>
      <c r="Y65" s="101" t="s">
        <v>183</v>
      </c>
      <c r="Z65" s="101"/>
      <c r="AA65" s="101"/>
      <c r="AB65" s="101"/>
      <c r="AC65" s="101"/>
      <c r="AD65" s="101"/>
      <c r="AE65" s="101"/>
      <c r="AF65" s="101"/>
      <c r="AG65" s="101"/>
      <c r="AH65" s="101"/>
      <c r="AI65" s="101"/>
      <c r="AJ65" s="102"/>
    </row>
    <row r="66" spans="1:36" ht="10.9" customHeight="1" x14ac:dyDescent="0.25">
      <c r="A66" s="103" t="s">
        <v>184</v>
      </c>
      <c r="B66" s="101"/>
      <c r="C66" s="101"/>
      <c r="D66" s="101"/>
      <c r="E66" s="101"/>
      <c r="F66" s="101"/>
      <c r="G66" s="101"/>
      <c r="H66" s="101"/>
      <c r="I66" s="101"/>
      <c r="J66" s="101"/>
      <c r="K66" s="101"/>
      <c r="L66" s="102"/>
      <c r="M66" s="103" t="s">
        <v>185</v>
      </c>
      <c r="N66" s="101"/>
      <c r="O66" s="101"/>
      <c r="P66" s="101"/>
      <c r="Q66" s="101"/>
      <c r="R66" s="101"/>
      <c r="S66" s="101"/>
      <c r="T66" s="101"/>
      <c r="U66" s="101"/>
      <c r="V66" s="101"/>
      <c r="W66" s="101"/>
      <c r="X66" s="102"/>
      <c r="Y66" s="104" t="s">
        <v>186</v>
      </c>
      <c r="Z66" s="101"/>
      <c r="AA66" s="101"/>
      <c r="AB66" s="101"/>
      <c r="AC66" s="101"/>
      <c r="AD66" s="101"/>
      <c r="AE66" s="101"/>
      <c r="AF66" s="101"/>
      <c r="AG66" s="101"/>
      <c r="AH66" s="101"/>
      <c r="AI66" s="101"/>
      <c r="AJ66" s="102"/>
    </row>
    <row r="67" spans="1:36" ht="10.9" customHeight="1" x14ac:dyDescent="0.25">
      <c r="A67" s="103" t="s">
        <v>187</v>
      </c>
      <c r="B67" s="101"/>
      <c r="C67" s="101"/>
      <c r="D67" s="101"/>
      <c r="E67" s="101"/>
      <c r="F67" s="101"/>
      <c r="G67" s="101"/>
      <c r="H67" s="101"/>
      <c r="I67" s="101"/>
      <c r="J67" s="101"/>
      <c r="K67" s="101"/>
      <c r="L67" s="102"/>
      <c r="M67" s="103" t="s">
        <v>188</v>
      </c>
      <c r="N67" s="101"/>
      <c r="O67" s="101"/>
      <c r="P67" s="101"/>
      <c r="Q67" s="101"/>
      <c r="R67" s="101"/>
      <c r="S67" s="101"/>
      <c r="T67" s="101"/>
      <c r="U67" s="101"/>
      <c r="V67" s="101"/>
      <c r="W67" s="101"/>
      <c r="X67" s="102"/>
      <c r="Y67" s="101" t="s">
        <v>189</v>
      </c>
      <c r="Z67" s="101"/>
      <c r="AA67" s="101"/>
      <c r="AB67" s="101"/>
      <c r="AC67" s="101"/>
      <c r="AD67" s="101"/>
      <c r="AE67" s="101"/>
      <c r="AF67" s="101"/>
      <c r="AG67" s="101"/>
      <c r="AH67" s="101"/>
      <c r="AI67" s="101"/>
      <c r="AJ67" s="102"/>
    </row>
    <row r="68" spans="1:36" ht="10.9" customHeight="1" x14ac:dyDescent="0.25">
      <c r="A68" s="103" t="s">
        <v>190</v>
      </c>
      <c r="B68" s="101"/>
      <c r="C68" s="101"/>
      <c r="D68" s="101"/>
      <c r="E68" s="101"/>
      <c r="F68" s="101"/>
      <c r="G68" s="101"/>
      <c r="H68" s="101"/>
      <c r="I68" s="101"/>
      <c r="J68" s="101"/>
      <c r="K68" s="101"/>
      <c r="L68" s="102"/>
      <c r="M68" s="103" t="s">
        <v>191</v>
      </c>
      <c r="N68" s="101"/>
      <c r="O68" s="101"/>
      <c r="P68" s="101"/>
      <c r="Q68" s="101"/>
      <c r="R68" s="101"/>
      <c r="S68" s="101"/>
      <c r="T68" s="101"/>
      <c r="U68" s="101"/>
      <c r="V68" s="101"/>
      <c r="W68" s="101"/>
      <c r="X68" s="102"/>
      <c r="Y68" s="103" t="s">
        <v>192</v>
      </c>
      <c r="Z68" s="101"/>
      <c r="AA68" s="101"/>
      <c r="AB68" s="101"/>
      <c r="AC68" s="101"/>
      <c r="AD68" s="101"/>
      <c r="AE68" s="101"/>
      <c r="AF68" s="101"/>
      <c r="AG68" s="101"/>
      <c r="AH68" s="101"/>
      <c r="AI68" s="101"/>
      <c r="AJ68" s="102"/>
    </row>
    <row r="69" spans="1:36" ht="10.9" customHeight="1" x14ac:dyDescent="0.25">
      <c r="A69" s="103" t="s">
        <v>193</v>
      </c>
      <c r="B69" s="101"/>
      <c r="C69" s="101"/>
      <c r="D69" s="101"/>
      <c r="E69" s="101"/>
      <c r="F69" s="101"/>
      <c r="G69" s="101"/>
      <c r="H69" s="101"/>
      <c r="I69" s="101"/>
      <c r="J69" s="101"/>
      <c r="K69" s="101"/>
      <c r="L69" s="102"/>
      <c r="M69" s="103" t="s">
        <v>194</v>
      </c>
      <c r="N69" s="101"/>
      <c r="O69" s="101"/>
      <c r="P69" s="101"/>
      <c r="Q69" s="101"/>
      <c r="R69" s="101"/>
      <c r="S69" s="101"/>
      <c r="T69" s="101"/>
      <c r="U69" s="101"/>
      <c r="V69" s="101"/>
      <c r="W69" s="101"/>
      <c r="X69" s="102"/>
      <c r="Y69" s="103" t="s">
        <v>195</v>
      </c>
      <c r="Z69" s="101"/>
      <c r="AA69" s="101"/>
      <c r="AB69" s="101"/>
      <c r="AC69" s="101"/>
      <c r="AD69" s="101"/>
      <c r="AE69" s="101"/>
      <c r="AF69" s="101"/>
      <c r="AG69" s="101"/>
      <c r="AH69" s="101"/>
      <c r="AI69" s="101"/>
      <c r="AJ69" s="102"/>
    </row>
    <row r="70" spans="1:36" ht="10.9" customHeight="1" x14ac:dyDescent="0.25">
      <c r="A70" s="103" t="s">
        <v>196</v>
      </c>
      <c r="B70" s="101"/>
      <c r="C70" s="101"/>
      <c r="D70" s="101"/>
      <c r="E70" s="101"/>
      <c r="F70" s="101"/>
      <c r="G70" s="101"/>
      <c r="H70" s="101"/>
      <c r="I70" s="101"/>
      <c r="J70" s="101"/>
      <c r="K70" s="101"/>
      <c r="L70" s="102"/>
      <c r="M70" s="103" t="s">
        <v>197</v>
      </c>
      <c r="N70" s="101"/>
      <c r="O70" s="101"/>
      <c r="P70" s="101"/>
      <c r="Q70" s="101"/>
      <c r="R70" s="101"/>
      <c r="S70" s="101"/>
      <c r="T70" s="101"/>
      <c r="U70" s="101"/>
      <c r="V70" s="101"/>
      <c r="W70" s="101"/>
      <c r="X70" s="102"/>
      <c r="Y70" s="103" t="s">
        <v>198</v>
      </c>
      <c r="Z70" s="104"/>
      <c r="AA70" s="104"/>
      <c r="AB70" s="104"/>
      <c r="AC70" s="104"/>
      <c r="AD70" s="104"/>
      <c r="AE70" s="104"/>
      <c r="AF70" s="104"/>
      <c r="AG70" s="104"/>
      <c r="AH70" s="104"/>
      <c r="AI70" s="104"/>
      <c r="AJ70" s="105"/>
    </row>
    <row r="71" spans="1:36" ht="10.9" customHeight="1" x14ac:dyDescent="0.25">
      <c r="A71" s="103" t="s">
        <v>199</v>
      </c>
      <c r="B71" s="101"/>
      <c r="C71" s="101"/>
      <c r="D71" s="101"/>
      <c r="E71" s="101"/>
      <c r="F71" s="101"/>
      <c r="G71" s="101"/>
      <c r="H71" s="101"/>
      <c r="I71" s="101"/>
      <c r="J71" s="101"/>
      <c r="K71" s="101"/>
      <c r="L71" s="102"/>
      <c r="M71" s="100" t="s">
        <v>200</v>
      </c>
      <c r="N71" s="101"/>
      <c r="O71" s="101"/>
      <c r="P71" s="101"/>
      <c r="Q71" s="101"/>
      <c r="R71" s="101"/>
      <c r="S71" s="101"/>
      <c r="T71" s="101"/>
      <c r="U71" s="101"/>
      <c r="V71" s="101"/>
      <c r="W71" s="101"/>
      <c r="X71" s="102"/>
      <c r="Y71" s="103" t="s">
        <v>201</v>
      </c>
      <c r="Z71" s="101"/>
      <c r="AA71" s="101"/>
      <c r="AB71" s="101"/>
      <c r="AC71" s="101"/>
      <c r="AD71" s="101"/>
      <c r="AE71" s="101"/>
      <c r="AF71" s="101"/>
      <c r="AG71" s="101"/>
      <c r="AH71" s="101"/>
      <c r="AI71" s="101"/>
      <c r="AJ71" s="102"/>
    </row>
    <row r="72" spans="1:36" ht="10.9" customHeight="1" x14ac:dyDescent="0.25">
      <c r="A72" s="103" t="s">
        <v>202</v>
      </c>
      <c r="B72" s="101"/>
      <c r="C72" s="101"/>
      <c r="D72" s="101"/>
      <c r="E72" s="101"/>
      <c r="F72" s="101"/>
      <c r="G72" s="101"/>
      <c r="H72" s="101"/>
      <c r="I72" s="101"/>
      <c r="J72" s="101"/>
      <c r="K72" s="101"/>
      <c r="L72" s="102"/>
      <c r="M72" s="100" t="s">
        <v>203</v>
      </c>
      <c r="N72" s="101"/>
      <c r="O72" s="101"/>
      <c r="P72" s="101"/>
      <c r="Q72" s="101"/>
      <c r="R72" s="101"/>
      <c r="S72" s="101"/>
      <c r="T72" s="101"/>
      <c r="U72" s="101"/>
      <c r="V72" s="101"/>
      <c r="W72" s="101"/>
      <c r="X72" s="102"/>
      <c r="Y72" s="103" t="s">
        <v>204</v>
      </c>
      <c r="Z72" s="101"/>
      <c r="AA72" s="101"/>
      <c r="AB72" s="101"/>
      <c r="AC72" s="101"/>
      <c r="AD72" s="101"/>
      <c r="AE72" s="101"/>
      <c r="AF72" s="101"/>
      <c r="AG72" s="101"/>
      <c r="AH72" s="101"/>
      <c r="AI72" s="101"/>
      <c r="AJ72" s="102"/>
    </row>
    <row r="73" spans="1:36" ht="10.9" customHeight="1" x14ac:dyDescent="0.25">
      <c r="A73" s="103" t="s">
        <v>205</v>
      </c>
      <c r="B73" s="101"/>
      <c r="C73" s="101"/>
      <c r="D73" s="101"/>
      <c r="E73" s="101"/>
      <c r="F73" s="101"/>
      <c r="G73" s="101"/>
      <c r="H73" s="101"/>
      <c r="I73" s="101"/>
      <c r="J73" s="101"/>
      <c r="K73" s="101"/>
      <c r="L73" s="102"/>
      <c r="M73" s="103" t="s">
        <v>206</v>
      </c>
      <c r="N73" s="101"/>
      <c r="O73" s="101"/>
      <c r="P73" s="101"/>
      <c r="Q73" s="101"/>
      <c r="R73" s="101"/>
      <c r="S73" s="101"/>
      <c r="T73" s="101"/>
      <c r="U73" s="101"/>
      <c r="V73" s="101"/>
      <c r="W73" s="101"/>
      <c r="X73" s="102"/>
      <c r="Y73" s="103" t="s">
        <v>207</v>
      </c>
      <c r="Z73" s="101"/>
      <c r="AA73" s="101"/>
      <c r="AB73" s="101"/>
      <c r="AC73" s="101"/>
      <c r="AD73" s="101"/>
      <c r="AE73" s="101"/>
      <c r="AF73" s="101"/>
      <c r="AG73" s="101"/>
      <c r="AH73" s="101"/>
      <c r="AI73" s="101"/>
      <c r="AJ73" s="102"/>
    </row>
    <row r="74" spans="1:36" ht="10.9" customHeight="1" x14ac:dyDescent="0.25">
      <c r="A74" s="103" t="s">
        <v>208</v>
      </c>
      <c r="B74" s="101"/>
      <c r="C74" s="101"/>
      <c r="D74" s="101"/>
      <c r="E74" s="101"/>
      <c r="F74" s="101"/>
      <c r="G74" s="101"/>
      <c r="H74" s="101"/>
      <c r="I74" s="101"/>
      <c r="J74" s="101"/>
      <c r="K74" s="101"/>
      <c r="L74" s="102"/>
      <c r="M74" s="103" t="s">
        <v>209</v>
      </c>
      <c r="N74" s="101"/>
      <c r="O74" s="101"/>
      <c r="P74" s="101"/>
      <c r="Q74" s="101"/>
      <c r="R74" s="101"/>
      <c r="S74" s="101"/>
      <c r="T74" s="101"/>
      <c r="U74" s="101"/>
      <c r="V74" s="101"/>
      <c r="W74" s="101"/>
      <c r="X74" s="102"/>
      <c r="Y74" s="100" t="s">
        <v>210</v>
      </c>
      <c r="Z74" s="101"/>
      <c r="AA74" s="101"/>
      <c r="AB74" s="101"/>
      <c r="AC74" s="101"/>
      <c r="AD74" s="101"/>
      <c r="AE74" s="101"/>
      <c r="AF74" s="101"/>
      <c r="AG74" s="101"/>
      <c r="AH74" s="101"/>
      <c r="AI74" s="101"/>
      <c r="AJ74" s="102"/>
    </row>
    <row r="75" spans="1:36" ht="10.9" customHeight="1" x14ac:dyDescent="0.25">
      <c r="A75" s="103" t="s">
        <v>211</v>
      </c>
      <c r="B75" s="101"/>
      <c r="C75" s="101"/>
      <c r="D75" s="101"/>
      <c r="E75" s="101"/>
      <c r="F75" s="101"/>
      <c r="G75" s="101"/>
      <c r="H75" s="101"/>
      <c r="I75" s="101"/>
      <c r="J75" s="101"/>
      <c r="K75" s="101"/>
      <c r="L75" s="102"/>
      <c r="M75" s="100" t="s">
        <v>212</v>
      </c>
      <c r="N75" s="101"/>
      <c r="O75" s="101"/>
      <c r="P75" s="101"/>
      <c r="Q75" s="101"/>
      <c r="R75" s="101"/>
      <c r="S75" s="101"/>
      <c r="T75" s="101"/>
      <c r="U75" s="101"/>
      <c r="V75" s="101"/>
      <c r="W75" s="101"/>
      <c r="X75" s="102"/>
      <c r="Y75" s="103" t="s">
        <v>213</v>
      </c>
      <c r="Z75" s="101"/>
      <c r="AA75" s="101"/>
      <c r="AB75" s="101"/>
      <c r="AC75" s="101"/>
      <c r="AD75" s="101"/>
      <c r="AE75" s="101"/>
      <c r="AF75" s="101"/>
      <c r="AG75" s="101"/>
      <c r="AH75" s="101"/>
      <c r="AI75" s="101"/>
      <c r="AJ75" s="102"/>
    </row>
    <row r="76" spans="1:36" ht="10.9" customHeight="1" x14ac:dyDescent="0.25">
      <c r="A76" s="100" t="s">
        <v>214</v>
      </c>
      <c r="B76" s="101"/>
      <c r="C76" s="101"/>
      <c r="D76" s="101"/>
      <c r="E76" s="101"/>
      <c r="F76" s="101"/>
      <c r="G76" s="101"/>
      <c r="H76" s="101"/>
      <c r="I76" s="101"/>
      <c r="J76" s="101"/>
      <c r="K76" s="101"/>
      <c r="L76" s="102"/>
      <c r="M76" s="103" t="s">
        <v>215</v>
      </c>
      <c r="N76" s="101"/>
      <c r="O76" s="101"/>
      <c r="P76" s="101"/>
      <c r="Q76" s="101"/>
      <c r="R76" s="101"/>
      <c r="S76" s="101"/>
      <c r="T76" s="101"/>
      <c r="U76" s="101"/>
      <c r="V76" s="101"/>
      <c r="W76" s="101"/>
      <c r="X76" s="102"/>
      <c r="Y76" s="103" t="s">
        <v>216</v>
      </c>
      <c r="Z76" s="101"/>
      <c r="AA76" s="101"/>
      <c r="AB76" s="101"/>
      <c r="AC76" s="101"/>
      <c r="AD76" s="101"/>
      <c r="AE76" s="101"/>
      <c r="AF76" s="101"/>
      <c r="AG76" s="101"/>
      <c r="AH76" s="101"/>
      <c r="AI76" s="101"/>
      <c r="AJ76" s="102"/>
    </row>
    <row r="77" spans="1:36" ht="10.9" customHeight="1" x14ac:dyDescent="0.25">
      <c r="A77" s="103" t="s">
        <v>217</v>
      </c>
      <c r="B77" s="101"/>
      <c r="C77" s="101"/>
      <c r="D77" s="101"/>
      <c r="E77" s="101"/>
      <c r="F77" s="101"/>
      <c r="G77" s="101"/>
      <c r="H77" s="101"/>
      <c r="I77" s="101"/>
      <c r="J77" s="101"/>
      <c r="K77" s="101"/>
      <c r="L77" s="102"/>
      <c r="M77" s="100" t="s">
        <v>218</v>
      </c>
      <c r="N77" s="101"/>
      <c r="O77" s="101"/>
      <c r="P77" s="101"/>
      <c r="Q77" s="101"/>
      <c r="R77" s="101"/>
      <c r="S77" s="101"/>
      <c r="T77" s="101"/>
      <c r="U77" s="101"/>
      <c r="V77" s="101"/>
      <c r="W77" s="101"/>
      <c r="X77" s="102"/>
      <c r="Y77" s="103" t="s">
        <v>219</v>
      </c>
      <c r="Z77" s="101"/>
      <c r="AA77" s="101"/>
      <c r="AB77" s="101"/>
      <c r="AC77" s="101"/>
      <c r="AD77" s="101"/>
      <c r="AE77" s="101"/>
      <c r="AF77" s="101"/>
      <c r="AG77" s="101"/>
      <c r="AH77" s="101"/>
      <c r="AI77" s="101"/>
      <c r="AJ77" s="102"/>
    </row>
    <row r="78" spans="1:36" ht="10.9" customHeight="1" x14ac:dyDescent="0.25">
      <c r="A78" s="103" t="s">
        <v>220</v>
      </c>
      <c r="B78" s="101"/>
      <c r="C78" s="101"/>
      <c r="D78" s="101"/>
      <c r="E78" s="101"/>
      <c r="F78" s="101"/>
      <c r="G78" s="101"/>
      <c r="H78" s="101"/>
      <c r="I78" s="101"/>
      <c r="J78" s="101"/>
      <c r="K78" s="101"/>
      <c r="L78" s="102"/>
      <c r="M78" s="103" t="s">
        <v>221</v>
      </c>
      <c r="N78" s="101"/>
      <c r="O78" s="101"/>
      <c r="P78" s="101"/>
      <c r="Q78" s="101"/>
      <c r="R78" s="101"/>
      <c r="S78" s="101"/>
      <c r="T78" s="101"/>
      <c r="U78" s="101"/>
      <c r="V78" s="101"/>
      <c r="W78" s="101"/>
      <c r="X78" s="102"/>
      <c r="Y78" s="103" t="s">
        <v>222</v>
      </c>
      <c r="Z78" s="101"/>
      <c r="AA78" s="101"/>
      <c r="AB78" s="101"/>
      <c r="AC78" s="101"/>
      <c r="AD78" s="101"/>
      <c r="AE78" s="101"/>
      <c r="AF78" s="101"/>
      <c r="AG78" s="101"/>
      <c r="AH78" s="101"/>
      <c r="AI78" s="101"/>
      <c r="AJ78" s="102"/>
    </row>
    <row r="79" spans="1:36" ht="10.9" customHeight="1" x14ac:dyDescent="0.25">
      <c r="A79" s="103" t="s">
        <v>223</v>
      </c>
      <c r="B79" s="101"/>
      <c r="C79" s="101"/>
      <c r="D79" s="101"/>
      <c r="E79" s="101"/>
      <c r="F79" s="101"/>
      <c r="G79" s="101"/>
      <c r="H79" s="101"/>
      <c r="I79" s="101"/>
      <c r="J79" s="101"/>
      <c r="K79" s="101"/>
      <c r="L79" s="102"/>
      <c r="M79" s="103" t="s">
        <v>224</v>
      </c>
      <c r="N79" s="101"/>
      <c r="O79" s="101"/>
      <c r="P79" s="101"/>
      <c r="Q79" s="101"/>
      <c r="R79" s="101"/>
      <c r="S79" s="101"/>
      <c r="T79" s="101"/>
      <c r="U79" s="101"/>
      <c r="V79" s="101"/>
      <c r="W79" s="101"/>
      <c r="X79" s="102"/>
      <c r="Y79" s="101" t="s">
        <v>225</v>
      </c>
      <c r="Z79" s="101"/>
      <c r="AA79" s="101"/>
      <c r="AB79" s="101"/>
      <c r="AC79" s="101"/>
      <c r="AD79" s="101"/>
      <c r="AE79" s="101"/>
      <c r="AF79" s="101"/>
      <c r="AG79" s="101"/>
      <c r="AH79" s="101"/>
      <c r="AI79" s="101"/>
      <c r="AJ79" s="102"/>
    </row>
    <row r="80" spans="1:36" ht="10.9" customHeight="1" x14ac:dyDescent="0.25">
      <c r="A80" s="103" t="s">
        <v>226</v>
      </c>
      <c r="B80" s="101"/>
      <c r="C80" s="101"/>
      <c r="D80" s="101"/>
      <c r="E80" s="101"/>
      <c r="F80" s="101"/>
      <c r="G80" s="101"/>
      <c r="H80" s="101"/>
      <c r="I80" s="101"/>
      <c r="J80" s="101"/>
      <c r="K80" s="101"/>
      <c r="L80" s="102"/>
      <c r="M80" s="103" t="s">
        <v>227</v>
      </c>
      <c r="N80" s="101"/>
      <c r="O80" s="101"/>
      <c r="P80" s="101"/>
      <c r="Q80" s="101"/>
      <c r="R80" s="101"/>
      <c r="S80" s="101"/>
      <c r="T80" s="101"/>
      <c r="U80" s="101"/>
      <c r="V80" s="101"/>
      <c r="W80" s="101"/>
      <c r="X80" s="102"/>
      <c r="Y80" s="101" t="s">
        <v>228</v>
      </c>
      <c r="Z80" s="101"/>
      <c r="AA80" s="101"/>
      <c r="AB80" s="101"/>
      <c r="AC80" s="101"/>
      <c r="AD80" s="101"/>
      <c r="AE80" s="101"/>
      <c r="AF80" s="101"/>
      <c r="AG80" s="101"/>
      <c r="AH80" s="101"/>
      <c r="AI80" s="101"/>
      <c r="AJ80" s="102"/>
    </row>
    <row r="81" spans="1:36" ht="10.9" customHeight="1" x14ac:dyDescent="0.25">
      <c r="A81" s="103" t="s">
        <v>229</v>
      </c>
      <c r="B81" s="101"/>
      <c r="C81" s="101"/>
      <c r="D81" s="101"/>
      <c r="E81" s="101"/>
      <c r="F81" s="101"/>
      <c r="G81" s="101"/>
      <c r="H81" s="101"/>
      <c r="I81" s="101"/>
      <c r="J81" s="101"/>
      <c r="K81" s="101"/>
      <c r="L81" s="102"/>
      <c r="M81" s="103" t="s">
        <v>230</v>
      </c>
      <c r="N81" s="101"/>
      <c r="O81" s="101"/>
      <c r="P81" s="101"/>
      <c r="Q81" s="101"/>
      <c r="R81" s="101"/>
      <c r="S81" s="101"/>
      <c r="T81" s="101"/>
      <c r="U81" s="101"/>
      <c r="V81" s="101"/>
      <c r="W81" s="101"/>
      <c r="X81" s="102"/>
      <c r="Y81" s="101" t="s">
        <v>231</v>
      </c>
      <c r="Z81" s="101"/>
      <c r="AA81" s="101"/>
      <c r="AB81" s="101"/>
      <c r="AC81" s="101"/>
      <c r="AD81" s="101"/>
      <c r="AE81" s="101"/>
      <c r="AF81" s="101"/>
      <c r="AG81" s="101"/>
      <c r="AH81" s="101"/>
      <c r="AI81" s="101"/>
      <c r="AJ81" s="102"/>
    </row>
    <row r="82" spans="1:36" ht="10.9" customHeight="1" x14ac:dyDescent="0.25">
      <c r="A82" s="100" t="s">
        <v>232</v>
      </c>
      <c r="B82" s="101"/>
      <c r="C82" s="101"/>
      <c r="D82" s="101"/>
      <c r="E82" s="101"/>
      <c r="F82" s="101"/>
      <c r="G82" s="101"/>
      <c r="H82" s="101"/>
      <c r="I82" s="101"/>
      <c r="J82" s="101"/>
      <c r="K82" s="101"/>
      <c r="L82" s="102"/>
      <c r="M82" s="103" t="s">
        <v>233</v>
      </c>
      <c r="N82" s="101"/>
      <c r="O82" s="101"/>
      <c r="P82" s="101"/>
      <c r="Q82" s="101"/>
      <c r="R82" s="101"/>
      <c r="S82" s="101"/>
      <c r="T82" s="101"/>
      <c r="U82" s="101"/>
      <c r="V82" s="101"/>
      <c r="W82" s="101"/>
      <c r="X82" s="102"/>
      <c r="Y82" s="104" t="s">
        <v>234</v>
      </c>
      <c r="Z82" s="101"/>
      <c r="AA82" s="101"/>
      <c r="AB82" s="101"/>
      <c r="AC82" s="101"/>
      <c r="AD82" s="101"/>
      <c r="AE82" s="101"/>
      <c r="AF82" s="101"/>
      <c r="AG82" s="101"/>
      <c r="AH82" s="101"/>
      <c r="AI82" s="101"/>
      <c r="AJ82" s="102"/>
    </row>
    <row r="83" spans="1:36" ht="10.9" customHeight="1" x14ac:dyDescent="0.25">
      <c r="A83" s="103" t="s">
        <v>235</v>
      </c>
      <c r="B83" s="101"/>
      <c r="C83" s="101"/>
      <c r="D83" s="101"/>
      <c r="E83" s="101"/>
      <c r="F83" s="101"/>
      <c r="G83" s="101"/>
      <c r="H83" s="101"/>
      <c r="I83" s="101"/>
      <c r="J83" s="101"/>
      <c r="K83" s="101"/>
      <c r="L83" s="102"/>
      <c r="M83" s="103" t="s">
        <v>236</v>
      </c>
      <c r="N83" s="101"/>
      <c r="O83" s="101"/>
      <c r="P83" s="101"/>
      <c r="Q83" s="101"/>
      <c r="R83" s="101"/>
      <c r="S83" s="101"/>
      <c r="T83" s="101"/>
      <c r="U83" s="101"/>
      <c r="V83" s="101"/>
      <c r="W83" s="101"/>
      <c r="X83" s="102"/>
      <c r="Y83" s="101" t="s">
        <v>237</v>
      </c>
      <c r="Z83" s="101"/>
      <c r="AA83" s="101"/>
      <c r="AB83" s="101"/>
      <c r="AC83" s="101"/>
      <c r="AD83" s="101"/>
      <c r="AE83" s="101"/>
      <c r="AF83" s="101"/>
      <c r="AG83" s="101"/>
      <c r="AH83" s="101"/>
      <c r="AI83" s="101"/>
      <c r="AJ83" s="102"/>
    </row>
    <row r="84" spans="1:36" ht="10.9" customHeight="1" x14ac:dyDescent="0.25">
      <c r="A84" s="103" t="s">
        <v>238</v>
      </c>
      <c r="B84" s="101"/>
      <c r="C84" s="101"/>
      <c r="D84" s="101"/>
      <c r="E84" s="101"/>
      <c r="F84" s="101"/>
      <c r="G84" s="101"/>
      <c r="H84" s="101"/>
      <c r="I84" s="101"/>
      <c r="J84" s="101"/>
      <c r="K84" s="101"/>
      <c r="L84" s="102"/>
      <c r="M84" s="103" t="s">
        <v>239</v>
      </c>
      <c r="N84" s="101"/>
      <c r="O84" s="101"/>
      <c r="P84" s="101"/>
      <c r="Q84" s="101"/>
      <c r="R84" s="101"/>
      <c r="S84" s="101"/>
      <c r="T84" s="101"/>
      <c r="U84" s="101"/>
      <c r="V84" s="101"/>
      <c r="W84" s="101"/>
      <c r="X84" s="102"/>
      <c r="Y84" s="101" t="s">
        <v>240</v>
      </c>
      <c r="Z84" s="101"/>
      <c r="AA84" s="101"/>
      <c r="AB84" s="101"/>
      <c r="AC84" s="101"/>
      <c r="AD84" s="101"/>
      <c r="AE84" s="101"/>
      <c r="AF84" s="101"/>
      <c r="AG84" s="101"/>
      <c r="AH84" s="101"/>
      <c r="AI84" s="101"/>
      <c r="AJ84" s="102"/>
    </row>
    <row r="85" spans="1:36" ht="10.9" customHeight="1" x14ac:dyDescent="0.25">
      <c r="A85" s="100" t="s">
        <v>241</v>
      </c>
      <c r="B85" s="101"/>
      <c r="C85" s="101"/>
      <c r="D85" s="101"/>
      <c r="E85" s="101"/>
      <c r="F85" s="101"/>
      <c r="G85" s="101"/>
      <c r="H85" s="101"/>
      <c r="I85" s="101"/>
      <c r="J85" s="101"/>
      <c r="K85" s="101"/>
      <c r="L85" s="102"/>
      <c r="M85" s="100" t="s">
        <v>242</v>
      </c>
      <c r="N85" s="101"/>
      <c r="O85" s="101"/>
      <c r="P85" s="101"/>
      <c r="Q85" s="101"/>
      <c r="R85" s="101"/>
      <c r="S85" s="101"/>
      <c r="T85" s="101"/>
      <c r="U85" s="101"/>
      <c r="V85" s="101"/>
      <c r="W85" s="101"/>
      <c r="X85" s="102"/>
      <c r="Y85" s="104" t="s">
        <v>243</v>
      </c>
      <c r="Z85" s="101"/>
      <c r="AA85" s="101"/>
      <c r="AB85" s="101"/>
      <c r="AC85" s="101"/>
      <c r="AD85" s="101"/>
      <c r="AE85" s="101"/>
      <c r="AF85" s="101"/>
      <c r="AG85" s="101"/>
      <c r="AH85" s="101"/>
      <c r="AI85" s="101"/>
      <c r="AJ85" s="102"/>
    </row>
    <row r="86" spans="1:36" ht="10.9" customHeight="1" x14ac:dyDescent="0.25">
      <c r="A86" s="103" t="s">
        <v>244</v>
      </c>
      <c r="B86" s="101"/>
      <c r="C86" s="101"/>
      <c r="D86" s="101"/>
      <c r="E86" s="101"/>
      <c r="F86" s="101"/>
      <c r="G86" s="101"/>
      <c r="H86" s="101"/>
      <c r="I86" s="101"/>
      <c r="J86" s="101"/>
      <c r="K86" s="101"/>
      <c r="L86" s="102"/>
      <c r="M86" s="103" t="s">
        <v>245</v>
      </c>
      <c r="N86" s="101"/>
      <c r="O86" s="101"/>
      <c r="P86" s="101"/>
      <c r="Q86" s="101"/>
      <c r="R86" s="101"/>
      <c r="S86" s="101"/>
      <c r="T86" s="101"/>
      <c r="U86" s="101"/>
      <c r="V86" s="101"/>
      <c r="W86" s="101"/>
      <c r="X86" s="102"/>
      <c r="Y86" s="101" t="s">
        <v>246</v>
      </c>
      <c r="Z86" s="101"/>
      <c r="AA86" s="101"/>
      <c r="AB86" s="101"/>
      <c r="AC86" s="101"/>
      <c r="AD86" s="101"/>
      <c r="AE86" s="101"/>
      <c r="AF86" s="101"/>
      <c r="AG86" s="101"/>
      <c r="AH86" s="101"/>
      <c r="AI86" s="101"/>
      <c r="AJ86" s="102"/>
    </row>
    <row r="87" spans="1:36" ht="10.9" customHeight="1" x14ac:dyDescent="0.25">
      <c r="A87" s="103" t="s">
        <v>247</v>
      </c>
      <c r="B87" s="101"/>
      <c r="C87" s="101"/>
      <c r="D87" s="101"/>
      <c r="E87" s="101"/>
      <c r="F87" s="101"/>
      <c r="G87" s="101"/>
      <c r="H87" s="101"/>
      <c r="I87" s="101"/>
      <c r="J87" s="101"/>
      <c r="K87" s="101"/>
      <c r="L87" s="102"/>
      <c r="M87" s="103" t="s">
        <v>248</v>
      </c>
      <c r="N87" s="101"/>
      <c r="O87" s="101"/>
      <c r="P87" s="101"/>
      <c r="Q87" s="101"/>
      <c r="R87" s="101"/>
      <c r="S87" s="101"/>
      <c r="T87" s="101"/>
      <c r="U87" s="101"/>
      <c r="V87" s="101"/>
      <c r="W87" s="101"/>
      <c r="X87" s="102"/>
      <c r="Y87" s="101" t="s">
        <v>249</v>
      </c>
      <c r="Z87" s="101"/>
      <c r="AA87" s="101"/>
      <c r="AB87" s="101"/>
      <c r="AC87" s="101"/>
      <c r="AD87" s="101"/>
      <c r="AE87" s="101"/>
      <c r="AF87" s="101"/>
      <c r="AG87" s="101"/>
      <c r="AH87" s="101"/>
      <c r="AI87" s="101"/>
      <c r="AJ87" s="102"/>
    </row>
    <row r="88" spans="1:36" ht="10.9" customHeight="1" x14ac:dyDescent="0.25">
      <c r="A88" s="100" t="s">
        <v>250</v>
      </c>
      <c r="B88" s="101"/>
      <c r="C88" s="101"/>
      <c r="D88" s="101"/>
      <c r="E88" s="101"/>
      <c r="F88" s="101"/>
      <c r="G88" s="101"/>
      <c r="H88" s="101"/>
      <c r="I88" s="101"/>
      <c r="J88" s="101"/>
      <c r="K88" s="101"/>
      <c r="L88" s="102"/>
      <c r="M88" s="103" t="s">
        <v>251</v>
      </c>
      <c r="N88" s="101"/>
      <c r="O88" s="101"/>
      <c r="P88" s="101"/>
      <c r="Q88" s="101"/>
      <c r="R88" s="101"/>
      <c r="S88" s="101"/>
      <c r="T88" s="101"/>
      <c r="U88" s="101"/>
      <c r="V88" s="101"/>
      <c r="W88" s="101"/>
      <c r="X88" s="102"/>
      <c r="Y88" s="101" t="s">
        <v>252</v>
      </c>
      <c r="Z88" s="101"/>
      <c r="AA88" s="101"/>
      <c r="AB88" s="101"/>
      <c r="AC88" s="101"/>
      <c r="AD88" s="101"/>
      <c r="AE88" s="101"/>
      <c r="AF88" s="101"/>
      <c r="AG88" s="101"/>
      <c r="AH88" s="101"/>
      <c r="AI88" s="101"/>
      <c r="AJ88" s="102"/>
    </row>
    <row r="89" spans="1:36" ht="10.9" customHeight="1" x14ac:dyDescent="0.25">
      <c r="A89" s="103" t="s">
        <v>253</v>
      </c>
      <c r="B89" s="101"/>
      <c r="C89" s="101"/>
      <c r="D89" s="101"/>
      <c r="E89" s="101"/>
      <c r="F89" s="101"/>
      <c r="G89" s="101"/>
      <c r="H89" s="101"/>
      <c r="I89" s="101"/>
      <c r="J89" s="101"/>
      <c r="K89" s="101"/>
      <c r="L89" s="102"/>
      <c r="M89" s="100" t="s">
        <v>254</v>
      </c>
      <c r="N89" s="101"/>
      <c r="O89" s="101"/>
      <c r="P89" s="101"/>
      <c r="Q89" s="101"/>
      <c r="R89" s="101"/>
      <c r="S89" s="101"/>
      <c r="T89" s="101"/>
      <c r="U89" s="101"/>
      <c r="V89" s="101"/>
      <c r="W89" s="101"/>
      <c r="X89" s="102"/>
      <c r="Y89" s="104" t="s">
        <v>255</v>
      </c>
      <c r="Z89" s="101"/>
      <c r="AA89" s="101"/>
      <c r="AB89" s="101"/>
      <c r="AC89" s="101"/>
      <c r="AD89" s="101"/>
      <c r="AE89" s="101"/>
      <c r="AF89" s="101"/>
      <c r="AG89" s="101"/>
      <c r="AH89" s="101"/>
      <c r="AI89" s="101"/>
      <c r="AJ89" s="102"/>
    </row>
    <row r="90" spans="1:36" ht="10.9" customHeight="1" x14ac:dyDescent="0.25">
      <c r="A90" s="103" t="s">
        <v>256</v>
      </c>
      <c r="B90" s="101"/>
      <c r="C90" s="101"/>
      <c r="D90" s="101"/>
      <c r="E90" s="101"/>
      <c r="F90" s="101"/>
      <c r="G90" s="101"/>
      <c r="H90" s="101"/>
      <c r="I90" s="101"/>
      <c r="J90" s="101"/>
      <c r="K90" s="101"/>
      <c r="L90" s="102"/>
      <c r="M90" s="100" t="s">
        <v>257</v>
      </c>
      <c r="N90" s="101"/>
      <c r="O90" s="101"/>
      <c r="P90" s="101"/>
      <c r="Q90" s="101"/>
      <c r="R90" s="101"/>
      <c r="S90" s="101"/>
      <c r="T90" s="101"/>
      <c r="U90" s="101"/>
      <c r="V90" s="101"/>
      <c r="W90" s="101"/>
      <c r="X90" s="102"/>
      <c r="Y90" s="101" t="s">
        <v>258</v>
      </c>
      <c r="Z90" s="101"/>
      <c r="AA90" s="101"/>
      <c r="AB90" s="101"/>
      <c r="AC90" s="101"/>
      <c r="AD90" s="101"/>
      <c r="AE90" s="101"/>
      <c r="AF90" s="101"/>
      <c r="AG90" s="101"/>
      <c r="AH90" s="101"/>
      <c r="AI90" s="101"/>
      <c r="AJ90" s="102"/>
    </row>
    <row r="91" spans="1:36" ht="10.9" customHeight="1" x14ac:dyDescent="0.25">
      <c r="A91" s="100" t="s">
        <v>259</v>
      </c>
      <c r="B91" s="101"/>
      <c r="C91" s="101"/>
      <c r="D91" s="101"/>
      <c r="E91" s="101"/>
      <c r="F91" s="101"/>
      <c r="G91" s="101"/>
      <c r="H91" s="101"/>
      <c r="I91" s="101"/>
      <c r="J91" s="101"/>
      <c r="K91" s="101"/>
      <c r="L91" s="102"/>
      <c r="M91" s="103" t="s">
        <v>260</v>
      </c>
      <c r="N91" s="101"/>
      <c r="O91" s="101"/>
      <c r="P91" s="101"/>
      <c r="Q91" s="101"/>
      <c r="R91" s="101"/>
      <c r="S91" s="101"/>
      <c r="T91" s="101"/>
      <c r="U91" s="101"/>
      <c r="V91" s="101"/>
      <c r="W91" s="101"/>
      <c r="X91" s="102"/>
      <c r="Y91" s="101" t="s">
        <v>261</v>
      </c>
      <c r="Z91" s="101"/>
      <c r="AA91" s="101"/>
      <c r="AB91" s="101"/>
      <c r="AC91" s="101"/>
      <c r="AD91" s="101"/>
      <c r="AE91" s="101"/>
      <c r="AF91" s="101"/>
      <c r="AG91" s="101"/>
      <c r="AH91" s="101"/>
      <c r="AI91" s="101"/>
      <c r="AJ91" s="102"/>
    </row>
    <row r="92" spans="1:36" ht="10.9" customHeight="1" x14ac:dyDescent="0.25">
      <c r="A92" s="103" t="s">
        <v>262</v>
      </c>
      <c r="B92" s="101"/>
      <c r="C92" s="101"/>
      <c r="D92" s="101"/>
      <c r="E92" s="101"/>
      <c r="F92" s="101"/>
      <c r="G92" s="101"/>
      <c r="H92" s="101"/>
      <c r="I92" s="101"/>
      <c r="J92" s="101"/>
      <c r="K92" s="101"/>
      <c r="L92" s="102"/>
      <c r="M92" s="103" t="s">
        <v>263</v>
      </c>
      <c r="N92" s="104"/>
      <c r="O92" s="104"/>
      <c r="P92" s="104"/>
      <c r="Q92" s="104"/>
      <c r="R92" s="104"/>
      <c r="S92" s="104"/>
      <c r="T92" s="104"/>
      <c r="U92" s="104"/>
      <c r="V92" s="104"/>
      <c r="W92" s="104"/>
      <c r="X92" s="105"/>
      <c r="Y92" s="104" t="s">
        <v>264</v>
      </c>
      <c r="Z92" s="101"/>
      <c r="AA92" s="101"/>
      <c r="AB92" s="101"/>
      <c r="AC92" s="101"/>
      <c r="AD92" s="101"/>
      <c r="AE92" s="101"/>
      <c r="AF92" s="101"/>
      <c r="AG92" s="101"/>
      <c r="AH92" s="101"/>
      <c r="AI92" s="101"/>
      <c r="AJ92" s="102"/>
    </row>
    <row r="93" spans="1:36" ht="10.9" customHeight="1" x14ac:dyDescent="0.25">
      <c r="A93" s="103" t="s">
        <v>265</v>
      </c>
      <c r="B93" s="101"/>
      <c r="C93" s="101"/>
      <c r="D93" s="101"/>
      <c r="E93" s="101"/>
      <c r="F93" s="101"/>
      <c r="G93" s="101"/>
      <c r="H93" s="101"/>
      <c r="I93" s="101"/>
      <c r="J93" s="101"/>
      <c r="K93" s="101"/>
      <c r="L93" s="102"/>
      <c r="M93" s="103" t="s">
        <v>266</v>
      </c>
      <c r="N93" s="101"/>
      <c r="O93" s="101"/>
      <c r="P93" s="101"/>
      <c r="Q93" s="101"/>
      <c r="R93" s="101"/>
      <c r="S93" s="101"/>
      <c r="T93" s="101"/>
      <c r="U93" s="101"/>
      <c r="V93" s="101"/>
      <c r="W93" s="101"/>
      <c r="X93" s="102"/>
      <c r="Y93" s="103" t="s">
        <v>267</v>
      </c>
      <c r="Z93" s="101"/>
      <c r="AA93" s="101"/>
      <c r="AB93" s="101"/>
      <c r="AC93" s="101"/>
      <c r="AD93" s="101"/>
      <c r="AE93" s="101"/>
      <c r="AF93" s="101"/>
      <c r="AG93" s="101"/>
      <c r="AH93" s="101"/>
      <c r="AI93" s="101"/>
      <c r="AJ93" s="102"/>
    </row>
    <row r="94" spans="1:36" ht="10.9" customHeight="1" x14ac:dyDescent="0.25">
      <c r="A94" s="103" t="s">
        <v>268</v>
      </c>
      <c r="B94" s="101"/>
      <c r="C94" s="101"/>
      <c r="D94" s="101"/>
      <c r="E94" s="101"/>
      <c r="F94" s="101"/>
      <c r="G94" s="101"/>
      <c r="H94" s="101"/>
      <c r="I94" s="101"/>
      <c r="J94" s="101"/>
      <c r="K94" s="101"/>
      <c r="L94" s="102"/>
      <c r="M94" s="103" t="s">
        <v>269</v>
      </c>
      <c r="N94" s="101"/>
      <c r="O94" s="101"/>
      <c r="P94" s="101"/>
      <c r="Q94" s="101"/>
      <c r="R94" s="101"/>
      <c r="S94" s="101"/>
      <c r="T94" s="101"/>
      <c r="U94" s="101"/>
      <c r="V94" s="101"/>
      <c r="W94" s="101"/>
      <c r="X94" s="101"/>
      <c r="Y94" s="103" t="s">
        <v>270</v>
      </c>
      <c r="Z94" s="101"/>
      <c r="AA94" s="101"/>
      <c r="AB94" s="101"/>
      <c r="AC94" s="101"/>
      <c r="AD94" s="101"/>
      <c r="AE94" s="101"/>
      <c r="AF94" s="101"/>
      <c r="AG94" s="101"/>
      <c r="AH94" s="101"/>
      <c r="AI94" s="101"/>
      <c r="AJ94" s="102"/>
    </row>
    <row r="95" spans="1:36" ht="10.9" customHeight="1" x14ac:dyDescent="0.25">
      <c r="A95" s="103" t="s">
        <v>271</v>
      </c>
      <c r="B95" s="101"/>
      <c r="C95" s="101"/>
      <c r="D95" s="101"/>
      <c r="E95" s="101"/>
      <c r="F95" s="101"/>
      <c r="G95" s="101"/>
      <c r="H95" s="101"/>
      <c r="I95" s="101"/>
      <c r="J95" s="101"/>
      <c r="K95" s="101"/>
      <c r="L95" s="102"/>
      <c r="M95" s="103" t="s">
        <v>272</v>
      </c>
      <c r="N95" s="104"/>
      <c r="O95" s="101"/>
      <c r="P95" s="101"/>
      <c r="Q95" s="101"/>
      <c r="R95" s="101"/>
      <c r="S95" s="101"/>
      <c r="T95" s="101"/>
      <c r="U95" s="101"/>
      <c r="V95" s="101"/>
      <c r="W95" s="101"/>
      <c r="X95" s="101"/>
      <c r="Y95" s="103" t="s">
        <v>273</v>
      </c>
      <c r="Z95" s="101"/>
      <c r="AA95" s="101"/>
      <c r="AB95" s="101"/>
      <c r="AC95" s="101"/>
      <c r="AD95" s="101"/>
      <c r="AE95" s="101"/>
      <c r="AF95" s="101"/>
      <c r="AG95" s="101"/>
      <c r="AH95" s="101"/>
      <c r="AI95" s="101"/>
      <c r="AJ95" s="102"/>
    </row>
    <row r="96" spans="1:36" ht="10.9" customHeight="1" x14ac:dyDescent="0.25">
      <c r="A96" s="100" t="s">
        <v>274</v>
      </c>
      <c r="B96" s="101"/>
      <c r="C96" s="101"/>
      <c r="D96" s="101"/>
      <c r="E96" s="101"/>
      <c r="F96" s="101"/>
      <c r="G96" s="101"/>
      <c r="H96" s="101"/>
      <c r="I96" s="101"/>
      <c r="J96" s="101"/>
      <c r="K96" s="101"/>
      <c r="L96" s="102"/>
      <c r="M96" s="100" t="s">
        <v>275</v>
      </c>
      <c r="N96" s="101"/>
      <c r="O96" s="101"/>
      <c r="P96" s="101"/>
      <c r="Q96" s="101"/>
      <c r="R96" s="101"/>
      <c r="S96" s="101"/>
      <c r="T96" s="101"/>
      <c r="U96" s="101"/>
      <c r="V96" s="101"/>
      <c r="W96" s="101"/>
      <c r="X96" s="101"/>
      <c r="Y96" s="103" t="s">
        <v>276</v>
      </c>
      <c r="Z96" s="101"/>
      <c r="AA96" s="101"/>
      <c r="AB96" s="101"/>
      <c r="AC96" s="101"/>
      <c r="AD96" s="101"/>
      <c r="AE96" s="101"/>
      <c r="AF96" s="101"/>
      <c r="AG96" s="101"/>
      <c r="AH96" s="101"/>
      <c r="AI96" s="101"/>
      <c r="AJ96" s="102"/>
    </row>
    <row r="97" spans="1:36" ht="10.9" customHeight="1" x14ac:dyDescent="0.25">
      <c r="A97" s="100" t="s">
        <v>277</v>
      </c>
      <c r="B97" s="101"/>
      <c r="C97" s="101"/>
      <c r="D97" s="101"/>
      <c r="E97" s="101"/>
      <c r="F97" s="101"/>
      <c r="G97" s="101"/>
      <c r="H97" s="101"/>
      <c r="I97" s="101"/>
      <c r="J97" s="101"/>
      <c r="K97" s="101"/>
      <c r="L97" s="102"/>
      <c r="M97" s="103" t="s">
        <v>278</v>
      </c>
      <c r="N97" s="101"/>
      <c r="O97" s="101"/>
      <c r="P97" s="101"/>
      <c r="Q97" s="101"/>
      <c r="R97" s="101"/>
      <c r="S97" s="101"/>
      <c r="T97" s="101"/>
      <c r="U97" s="101"/>
      <c r="V97" s="101"/>
      <c r="W97" s="101"/>
      <c r="X97" s="101"/>
      <c r="Y97" s="100" t="s">
        <v>279</v>
      </c>
      <c r="Z97" s="101"/>
      <c r="AA97" s="101"/>
      <c r="AB97" s="101"/>
      <c r="AC97" s="101"/>
      <c r="AD97" s="101"/>
      <c r="AE97" s="101"/>
      <c r="AF97" s="101"/>
      <c r="AG97" s="101"/>
      <c r="AH97" s="101"/>
      <c r="AI97" s="101"/>
      <c r="AJ97" s="102"/>
    </row>
    <row r="98" spans="1:36" ht="10.9" customHeight="1" x14ac:dyDescent="0.25">
      <c r="A98" s="103" t="s">
        <v>280</v>
      </c>
      <c r="B98" s="101"/>
      <c r="C98" s="101"/>
      <c r="D98" s="101"/>
      <c r="E98" s="101"/>
      <c r="F98" s="101"/>
      <c r="G98" s="101"/>
      <c r="H98" s="101"/>
      <c r="I98" s="101"/>
      <c r="J98" s="101"/>
      <c r="K98" s="101"/>
      <c r="L98" s="102"/>
      <c r="M98" s="103" t="s">
        <v>281</v>
      </c>
      <c r="N98" s="104"/>
      <c r="O98" s="101"/>
      <c r="P98" s="101"/>
      <c r="Q98" s="101"/>
      <c r="R98" s="101"/>
      <c r="S98" s="101"/>
      <c r="T98" s="101"/>
      <c r="U98" s="101"/>
      <c r="V98" s="101"/>
      <c r="W98" s="101"/>
      <c r="X98" s="101"/>
      <c r="Y98" s="103" t="s">
        <v>282</v>
      </c>
      <c r="Z98" s="101"/>
      <c r="AA98" s="101"/>
      <c r="AB98" s="101"/>
      <c r="AC98" s="101"/>
      <c r="AD98" s="101"/>
      <c r="AE98" s="101"/>
      <c r="AF98" s="101"/>
      <c r="AG98" s="101"/>
      <c r="AH98" s="101"/>
      <c r="AI98" s="101"/>
      <c r="AJ98" s="102"/>
    </row>
    <row r="99" spans="1:36" ht="10.9" customHeight="1" x14ac:dyDescent="0.25">
      <c r="A99" s="103" t="s">
        <v>283</v>
      </c>
      <c r="B99" s="101"/>
      <c r="C99" s="101"/>
      <c r="D99" s="101"/>
      <c r="E99" s="101"/>
      <c r="F99" s="101"/>
      <c r="G99" s="101"/>
      <c r="H99" s="101"/>
      <c r="I99" s="101"/>
      <c r="J99" s="101"/>
      <c r="K99" s="101"/>
      <c r="L99" s="102"/>
      <c r="M99" s="100" t="s">
        <v>284</v>
      </c>
      <c r="N99" s="104"/>
      <c r="O99" s="101"/>
      <c r="P99" s="101"/>
      <c r="Q99" s="101"/>
      <c r="R99" s="101"/>
      <c r="S99" s="101"/>
      <c r="T99" s="101"/>
      <c r="U99" s="101"/>
      <c r="V99" s="101"/>
      <c r="W99" s="101"/>
      <c r="X99" s="101"/>
      <c r="Y99" s="103" t="s">
        <v>285</v>
      </c>
      <c r="Z99" s="101"/>
      <c r="AA99" s="101"/>
      <c r="AB99" s="101"/>
      <c r="AC99" s="101"/>
      <c r="AD99" s="101"/>
      <c r="AE99" s="101"/>
      <c r="AF99" s="101"/>
      <c r="AG99" s="101"/>
      <c r="AH99" s="101"/>
      <c r="AI99" s="101"/>
      <c r="AJ99" s="102"/>
    </row>
    <row r="100" spans="1:36" ht="10.9" customHeight="1" x14ac:dyDescent="0.25">
      <c r="A100" s="100" t="s">
        <v>286</v>
      </c>
      <c r="B100" s="101"/>
      <c r="C100" s="101"/>
      <c r="D100" s="101"/>
      <c r="E100" s="101"/>
      <c r="F100" s="101"/>
      <c r="G100" s="101"/>
      <c r="H100" s="101"/>
      <c r="I100" s="101"/>
      <c r="J100" s="101"/>
      <c r="K100" s="101"/>
      <c r="L100" s="102"/>
      <c r="M100" s="104" t="s">
        <v>287</v>
      </c>
      <c r="N100" s="101"/>
      <c r="O100" s="101"/>
      <c r="P100" s="101"/>
      <c r="Q100" s="101"/>
      <c r="R100" s="101"/>
      <c r="S100" s="101"/>
      <c r="T100" s="101"/>
      <c r="U100" s="101"/>
      <c r="V100" s="101"/>
      <c r="W100" s="101"/>
      <c r="X100" s="101"/>
      <c r="Y100" s="103" t="s">
        <v>288</v>
      </c>
      <c r="Z100" s="101"/>
      <c r="AA100" s="101"/>
      <c r="AB100" s="101"/>
      <c r="AC100" s="101"/>
      <c r="AD100" s="101"/>
      <c r="AE100" s="101"/>
      <c r="AF100" s="101"/>
      <c r="AG100" s="101"/>
      <c r="AH100" s="101"/>
      <c r="AI100" s="101"/>
      <c r="AJ100" s="102"/>
    </row>
    <row r="101" spans="1:36" ht="10.9" customHeight="1" x14ac:dyDescent="0.25">
      <c r="A101" s="103" t="s">
        <v>289</v>
      </c>
      <c r="B101" s="101"/>
      <c r="C101" s="101"/>
      <c r="D101" s="101"/>
      <c r="E101" s="101"/>
      <c r="F101" s="101"/>
      <c r="G101" s="101"/>
      <c r="H101" s="101"/>
      <c r="I101" s="101"/>
      <c r="J101" s="101"/>
      <c r="K101" s="101"/>
      <c r="L101" s="102"/>
      <c r="M101" s="101" t="s">
        <v>290</v>
      </c>
      <c r="N101" s="101"/>
      <c r="O101" s="101"/>
      <c r="P101" s="101"/>
      <c r="Q101" s="101"/>
      <c r="R101" s="101"/>
      <c r="S101" s="101"/>
      <c r="T101" s="101"/>
      <c r="U101" s="101"/>
      <c r="V101" s="101"/>
      <c r="W101" s="101"/>
      <c r="X101" s="102"/>
      <c r="Y101" s="101" t="s">
        <v>291</v>
      </c>
      <c r="Z101" s="101"/>
      <c r="AA101" s="101"/>
      <c r="AB101" s="101"/>
      <c r="AC101" s="101"/>
      <c r="AD101" s="101"/>
      <c r="AE101" s="101"/>
      <c r="AF101" s="101"/>
      <c r="AG101" s="101"/>
      <c r="AH101" s="101"/>
      <c r="AI101" s="101"/>
      <c r="AJ101" s="102"/>
    </row>
    <row r="102" spans="1:36" ht="10.9" customHeight="1" x14ac:dyDescent="0.25">
      <c r="A102" s="103" t="s">
        <v>292</v>
      </c>
      <c r="B102" s="101"/>
      <c r="C102" s="101"/>
      <c r="D102" s="101"/>
      <c r="E102" s="101"/>
      <c r="F102" s="101"/>
      <c r="G102" s="101"/>
      <c r="H102" s="101"/>
      <c r="I102" s="101"/>
      <c r="J102" s="101"/>
      <c r="K102" s="101"/>
      <c r="L102" s="102"/>
      <c r="M102" s="101" t="s">
        <v>293</v>
      </c>
      <c r="N102" s="101"/>
      <c r="O102" s="101"/>
      <c r="P102" s="101"/>
      <c r="Q102" s="101"/>
      <c r="R102" s="101"/>
      <c r="S102" s="101"/>
      <c r="T102" s="101"/>
      <c r="U102" s="101"/>
      <c r="V102" s="101"/>
      <c r="W102" s="101"/>
      <c r="X102" s="102"/>
      <c r="Y102" s="104" t="s">
        <v>294</v>
      </c>
      <c r="Z102" s="101"/>
      <c r="AA102" s="101"/>
      <c r="AB102" s="101"/>
      <c r="AC102" s="101"/>
      <c r="AD102" s="101"/>
      <c r="AE102" s="101"/>
      <c r="AF102" s="101"/>
      <c r="AG102" s="101"/>
      <c r="AH102" s="101"/>
      <c r="AI102" s="101"/>
      <c r="AJ102" s="102"/>
    </row>
    <row r="103" spans="1:36" ht="10.9" customHeight="1" x14ac:dyDescent="0.25">
      <c r="A103" s="100" t="s">
        <v>295</v>
      </c>
      <c r="B103" s="101"/>
      <c r="C103" s="101"/>
      <c r="D103" s="101"/>
      <c r="E103" s="101"/>
      <c r="F103" s="101"/>
      <c r="G103" s="101"/>
      <c r="H103" s="101"/>
      <c r="I103" s="101"/>
      <c r="J103" s="101"/>
      <c r="K103" s="101"/>
      <c r="L103" s="102"/>
      <c r="M103" s="101" t="s">
        <v>296</v>
      </c>
      <c r="N103" s="101"/>
      <c r="O103" s="101"/>
      <c r="P103" s="101"/>
      <c r="Q103" s="101"/>
      <c r="R103" s="101"/>
      <c r="S103" s="101"/>
      <c r="T103" s="101"/>
      <c r="U103" s="101"/>
      <c r="V103" s="101"/>
      <c r="W103" s="101"/>
      <c r="X103" s="102"/>
      <c r="Y103" s="101" t="s">
        <v>297</v>
      </c>
      <c r="Z103" s="101"/>
      <c r="AA103" s="101"/>
      <c r="AB103" s="101"/>
      <c r="AC103" s="101"/>
      <c r="AD103" s="101"/>
      <c r="AE103" s="101"/>
      <c r="AF103" s="101"/>
      <c r="AG103" s="101"/>
      <c r="AH103" s="101"/>
      <c r="AI103" s="101"/>
      <c r="AJ103" s="102"/>
    </row>
    <row r="104" spans="1:36" ht="10.9" customHeight="1" x14ac:dyDescent="0.25">
      <c r="A104" s="103" t="s">
        <v>298</v>
      </c>
      <c r="B104" s="101"/>
      <c r="C104" s="101"/>
      <c r="D104" s="101"/>
      <c r="E104" s="101"/>
      <c r="F104" s="101"/>
      <c r="G104" s="101"/>
      <c r="H104" s="101"/>
      <c r="I104" s="101"/>
      <c r="J104" s="101"/>
      <c r="K104" s="101"/>
      <c r="L104" s="102"/>
      <c r="M104" s="101" t="s">
        <v>299</v>
      </c>
      <c r="N104" s="101"/>
      <c r="O104" s="101"/>
      <c r="P104" s="101"/>
      <c r="Q104" s="101"/>
      <c r="R104" s="101"/>
      <c r="S104" s="101"/>
      <c r="T104" s="101"/>
      <c r="U104" s="101"/>
      <c r="V104" s="101"/>
      <c r="W104" s="101"/>
      <c r="X104" s="102"/>
      <c r="Y104" s="104" t="s">
        <v>300</v>
      </c>
      <c r="Z104" s="101"/>
      <c r="AA104" s="101"/>
      <c r="AB104" s="101"/>
      <c r="AC104" s="101"/>
      <c r="AD104" s="101"/>
      <c r="AE104" s="101"/>
      <c r="AF104" s="101"/>
      <c r="AG104" s="101"/>
      <c r="AH104" s="101"/>
      <c r="AI104" s="101"/>
      <c r="AJ104" s="102"/>
    </row>
    <row r="105" spans="1:36" ht="10.9" customHeight="1" x14ac:dyDescent="0.25">
      <c r="A105" s="103" t="s">
        <v>301</v>
      </c>
      <c r="B105" s="101"/>
      <c r="C105" s="101"/>
      <c r="D105" s="101"/>
      <c r="E105" s="101"/>
      <c r="F105" s="101"/>
      <c r="G105" s="101"/>
      <c r="H105" s="101"/>
      <c r="I105" s="101"/>
      <c r="J105" s="101"/>
      <c r="K105" s="101"/>
      <c r="L105" s="102"/>
      <c r="M105" s="104" t="s">
        <v>302</v>
      </c>
      <c r="N105" s="101"/>
      <c r="O105" s="101"/>
      <c r="P105" s="101"/>
      <c r="Q105" s="101"/>
      <c r="R105" s="101"/>
      <c r="S105" s="101"/>
      <c r="T105" s="101"/>
      <c r="U105" s="101"/>
      <c r="V105" s="101"/>
      <c r="W105" s="101"/>
      <c r="X105" s="102"/>
      <c r="Y105" s="101" t="s">
        <v>303</v>
      </c>
      <c r="Z105" s="101"/>
      <c r="AA105" s="101"/>
      <c r="AB105" s="101"/>
      <c r="AC105" s="101"/>
      <c r="AD105" s="101"/>
      <c r="AE105" s="101"/>
      <c r="AF105" s="101"/>
      <c r="AG105" s="101"/>
      <c r="AH105" s="101"/>
      <c r="AI105" s="101"/>
      <c r="AJ105" s="102"/>
    </row>
    <row r="106" spans="1:36" ht="10.9" customHeight="1" x14ac:dyDescent="0.25">
      <c r="A106" s="100" t="s">
        <v>304</v>
      </c>
      <c r="B106" s="101"/>
      <c r="C106" s="101"/>
      <c r="D106" s="101"/>
      <c r="E106" s="101"/>
      <c r="F106" s="101"/>
      <c r="G106" s="101"/>
      <c r="H106" s="101"/>
      <c r="I106" s="101"/>
      <c r="J106" s="101"/>
      <c r="K106" s="101"/>
      <c r="L106" s="102"/>
      <c r="M106" s="104" t="s">
        <v>305</v>
      </c>
      <c r="N106" s="101"/>
      <c r="O106" s="101"/>
      <c r="P106" s="101"/>
      <c r="Q106" s="101"/>
      <c r="R106" s="101"/>
      <c r="S106" s="101"/>
      <c r="T106" s="101"/>
      <c r="U106" s="101"/>
      <c r="V106" s="101"/>
      <c r="W106" s="101"/>
      <c r="X106" s="102"/>
      <c r="Y106" s="101" t="s">
        <v>306</v>
      </c>
      <c r="Z106" s="101"/>
      <c r="AA106" s="101"/>
      <c r="AB106" s="101"/>
      <c r="AC106" s="101"/>
      <c r="AD106" s="101"/>
      <c r="AE106" s="101"/>
      <c r="AF106" s="101"/>
      <c r="AG106" s="101"/>
      <c r="AH106" s="101"/>
      <c r="AI106" s="101"/>
      <c r="AJ106" s="102"/>
    </row>
    <row r="107" spans="1:36" ht="10.9" customHeight="1" x14ac:dyDescent="0.25">
      <c r="A107" s="100" t="s">
        <v>307</v>
      </c>
      <c r="B107" s="101"/>
      <c r="C107" s="101"/>
      <c r="D107" s="101"/>
      <c r="E107" s="101"/>
      <c r="F107" s="101"/>
      <c r="G107" s="101"/>
      <c r="H107" s="101"/>
      <c r="I107" s="101"/>
      <c r="J107" s="101"/>
      <c r="K107" s="101"/>
      <c r="L107" s="102"/>
      <c r="M107" s="104" t="s">
        <v>308</v>
      </c>
      <c r="N107" s="101"/>
      <c r="O107" s="101"/>
      <c r="P107" s="101"/>
      <c r="Q107" s="101"/>
      <c r="R107" s="101"/>
      <c r="S107" s="101"/>
      <c r="T107" s="101"/>
      <c r="U107" s="101"/>
      <c r="V107" s="101"/>
      <c r="W107" s="101"/>
      <c r="X107" s="102"/>
      <c r="Y107" s="101" t="s">
        <v>309</v>
      </c>
      <c r="Z107" s="101"/>
      <c r="AA107" s="101"/>
      <c r="AB107" s="101"/>
      <c r="AC107" s="101"/>
      <c r="AD107" s="101"/>
      <c r="AE107" s="101"/>
      <c r="AF107" s="101"/>
      <c r="AG107" s="101"/>
      <c r="AH107" s="101"/>
      <c r="AI107" s="101"/>
      <c r="AJ107" s="102"/>
    </row>
    <row r="108" spans="1:36" ht="10.9" customHeight="1" x14ac:dyDescent="0.25">
      <c r="A108" s="103" t="s">
        <v>310</v>
      </c>
      <c r="B108" s="101"/>
      <c r="C108" s="101"/>
      <c r="D108" s="101"/>
      <c r="E108" s="101"/>
      <c r="F108" s="101"/>
      <c r="G108" s="101"/>
      <c r="H108" s="101"/>
      <c r="I108" s="101"/>
      <c r="J108" s="101"/>
      <c r="K108" s="101"/>
      <c r="L108" s="102"/>
      <c r="M108" s="104" t="s">
        <v>311</v>
      </c>
      <c r="N108" s="101"/>
      <c r="O108" s="101"/>
      <c r="P108" s="101"/>
      <c r="Q108" s="101"/>
      <c r="R108" s="101"/>
      <c r="S108" s="101"/>
      <c r="T108" s="101"/>
      <c r="U108" s="101"/>
      <c r="V108" s="101"/>
      <c r="W108" s="101"/>
      <c r="X108" s="102"/>
      <c r="Y108" s="104" t="s">
        <v>312</v>
      </c>
      <c r="Z108" s="101"/>
      <c r="AA108" s="101"/>
      <c r="AB108" s="101"/>
      <c r="AC108" s="101"/>
      <c r="AD108" s="101"/>
      <c r="AE108" s="101"/>
      <c r="AF108" s="101"/>
      <c r="AG108" s="101"/>
      <c r="AH108" s="101"/>
      <c r="AI108" s="101"/>
      <c r="AJ108" s="102"/>
    </row>
    <row r="109" spans="1:36" ht="10.9" customHeight="1" x14ac:dyDescent="0.25">
      <c r="A109" s="103" t="s">
        <v>313</v>
      </c>
      <c r="B109" s="101"/>
      <c r="C109" s="101"/>
      <c r="D109" s="101"/>
      <c r="E109" s="101"/>
      <c r="F109" s="101"/>
      <c r="G109" s="101"/>
      <c r="H109" s="101"/>
      <c r="I109" s="101"/>
      <c r="J109" s="101"/>
      <c r="K109" s="101"/>
      <c r="L109" s="102"/>
      <c r="M109" s="101" t="s">
        <v>314</v>
      </c>
      <c r="N109" s="101"/>
      <c r="O109" s="101"/>
      <c r="P109" s="101"/>
      <c r="Q109" s="101"/>
      <c r="R109" s="101"/>
      <c r="S109" s="101"/>
      <c r="T109" s="101"/>
      <c r="U109" s="101"/>
      <c r="V109" s="101"/>
      <c r="W109" s="101"/>
      <c r="X109" s="102"/>
      <c r="Y109" s="101" t="s">
        <v>315</v>
      </c>
      <c r="Z109" s="101"/>
      <c r="AA109" s="101"/>
      <c r="AB109" s="101"/>
      <c r="AC109" s="101"/>
      <c r="AD109" s="101"/>
      <c r="AE109" s="101"/>
      <c r="AF109" s="101"/>
      <c r="AG109" s="101"/>
      <c r="AH109" s="101"/>
      <c r="AI109" s="101"/>
      <c r="AJ109" s="102"/>
    </row>
    <row r="110" spans="1:36" ht="10.9" customHeight="1" x14ac:dyDescent="0.25">
      <c r="A110" s="103" t="s">
        <v>316</v>
      </c>
      <c r="B110" s="101"/>
      <c r="C110" s="101"/>
      <c r="D110" s="101"/>
      <c r="E110" s="101"/>
      <c r="F110" s="101"/>
      <c r="G110" s="101"/>
      <c r="H110" s="101"/>
      <c r="I110" s="101"/>
      <c r="J110" s="101"/>
      <c r="K110" s="101"/>
      <c r="L110" s="102"/>
      <c r="M110" s="101" t="s">
        <v>317</v>
      </c>
      <c r="N110" s="101"/>
      <c r="O110" s="101"/>
      <c r="P110" s="101"/>
      <c r="Q110" s="101"/>
      <c r="R110" s="101"/>
      <c r="S110" s="101"/>
      <c r="T110" s="101"/>
      <c r="U110" s="101"/>
      <c r="V110" s="101"/>
      <c r="W110" s="101"/>
      <c r="X110" s="102"/>
      <c r="Y110" s="101" t="s">
        <v>318</v>
      </c>
      <c r="Z110" s="101"/>
      <c r="AA110" s="101"/>
      <c r="AB110" s="101"/>
      <c r="AC110" s="101"/>
      <c r="AD110" s="101"/>
      <c r="AE110" s="101"/>
      <c r="AF110" s="101"/>
      <c r="AG110" s="101"/>
      <c r="AH110" s="101"/>
      <c r="AI110" s="101"/>
      <c r="AJ110" s="102"/>
    </row>
    <row r="111" spans="1:36" ht="10.9" customHeight="1" x14ac:dyDescent="0.25">
      <c r="A111" s="100" t="s">
        <v>319</v>
      </c>
      <c r="B111" s="101"/>
      <c r="C111" s="101"/>
      <c r="D111" s="101"/>
      <c r="E111" s="101"/>
      <c r="F111" s="101"/>
      <c r="G111" s="101"/>
      <c r="H111" s="101"/>
      <c r="I111" s="101"/>
      <c r="J111" s="101"/>
      <c r="K111" s="101"/>
      <c r="L111" s="102"/>
      <c r="M111" s="101" t="s">
        <v>320</v>
      </c>
      <c r="N111" s="101"/>
      <c r="O111" s="101"/>
      <c r="P111" s="101"/>
      <c r="Q111" s="101"/>
      <c r="R111" s="101"/>
      <c r="S111" s="101"/>
      <c r="T111" s="101"/>
      <c r="U111" s="101"/>
      <c r="V111" s="101"/>
      <c r="W111" s="101"/>
      <c r="X111" s="102"/>
      <c r="Y111" s="101" t="s">
        <v>321</v>
      </c>
      <c r="Z111" s="101"/>
      <c r="AA111" s="101"/>
      <c r="AB111" s="101"/>
      <c r="AC111" s="101"/>
      <c r="AD111" s="101"/>
      <c r="AE111" s="101"/>
      <c r="AF111" s="101"/>
      <c r="AG111" s="101"/>
      <c r="AH111" s="101"/>
      <c r="AI111" s="101"/>
      <c r="AJ111" s="102"/>
    </row>
    <row r="112" spans="1:36" ht="10.9" customHeight="1" x14ac:dyDescent="0.25">
      <c r="A112" s="103" t="s">
        <v>322</v>
      </c>
      <c r="B112" s="101"/>
      <c r="C112" s="101"/>
      <c r="D112" s="101"/>
      <c r="E112" s="101"/>
      <c r="F112" s="101"/>
      <c r="G112" s="101"/>
      <c r="H112" s="101"/>
      <c r="I112" s="101"/>
      <c r="J112" s="101"/>
      <c r="K112" s="101"/>
      <c r="L112" s="102"/>
      <c r="M112" s="101" t="s">
        <v>323</v>
      </c>
      <c r="N112" s="101"/>
      <c r="O112" s="101"/>
      <c r="P112" s="101"/>
      <c r="Q112" s="101"/>
      <c r="R112" s="101"/>
      <c r="S112" s="101"/>
      <c r="T112" s="101"/>
      <c r="U112" s="101"/>
      <c r="V112" s="101"/>
      <c r="W112" s="101"/>
      <c r="X112" s="102"/>
      <c r="Y112" s="101" t="s">
        <v>324</v>
      </c>
      <c r="Z112" s="101"/>
      <c r="AA112" s="101"/>
      <c r="AB112" s="101"/>
      <c r="AC112" s="101"/>
      <c r="AD112" s="101"/>
      <c r="AE112" s="101"/>
      <c r="AF112" s="101"/>
      <c r="AG112" s="101"/>
      <c r="AH112" s="101"/>
      <c r="AI112" s="101"/>
      <c r="AJ112" s="102"/>
    </row>
    <row r="113" spans="1:36" ht="10.9" customHeight="1" x14ac:dyDescent="0.25">
      <c r="A113" s="100" t="s">
        <v>325</v>
      </c>
      <c r="B113" s="101"/>
      <c r="C113" s="101"/>
      <c r="D113" s="101"/>
      <c r="E113" s="101"/>
      <c r="F113" s="101"/>
      <c r="G113" s="101"/>
      <c r="H113" s="101"/>
      <c r="I113" s="101"/>
      <c r="J113" s="101"/>
      <c r="K113" s="101"/>
      <c r="L113" s="102"/>
      <c r="M113" s="104" t="s">
        <v>326</v>
      </c>
      <c r="N113" s="101"/>
      <c r="O113" s="101"/>
      <c r="P113" s="101"/>
      <c r="Q113" s="101"/>
      <c r="R113" s="101"/>
      <c r="S113" s="101"/>
      <c r="T113" s="101"/>
      <c r="U113" s="101"/>
      <c r="V113" s="101"/>
      <c r="W113" s="101"/>
      <c r="X113" s="102"/>
      <c r="Y113" s="101" t="s">
        <v>327</v>
      </c>
      <c r="Z113" s="101"/>
      <c r="AA113" s="101"/>
      <c r="AB113" s="101"/>
      <c r="AC113" s="101"/>
      <c r="AD113" s="101"/>
      <c r="AE113" s="101"/>
      <c r="AF113" s="101"/>
      <c r="AG113" s="101"/>
      <c r="AH113" s="101"/>
      <c r="AI113" s="101"/>
      <c r="AJ113" s="102"/>
    </row>
    <row r="114" spans="1:36" ht="10.9" customHeight="1" x14ac:dyDescent="0.25">
      <c r="A114" s="100" t="s">
        <v>328</v>
      </c>
      <c r="B114" s="101"/>
      <c r="C114" s="101"/>
      <c r="D114" s="101"/>
      <c r="E114" s="101"/>
      <c r="F114" s="101"/>
      <c r="G114" s="101"/>
      <c r="H114" s="101"/>
      <c r="I114" s="101"/>
      <c r="J114" s="101"/>
      <c r="K114" s="101"/>
      <c r="L114" s="102"/>
      <c r="M114" s="101" t="s">
        <v>329</v>
      </c>
      <c r="N114" s="101"/>
      <c r="O114" s="101"/>
      <c r="P114" s="101"/>
      <c r="Q114" s="101"/>
      <c r="R114" s="101"/>
      <c r="S114" s="101"/>
      <c r="T114" s="101"/>
      <c r="U114" s="101"/>
      <c r="V114" s="101"/>
      <c r="W114" s="101"/>
      <c r="X114" s="102"/>
      <c r="Y114" s="101" t="s">
        <v>330</v>
      </c>
      <c r="Z114" s="101"/>
      <c r="AA114" s="101"/>
      <c r="AB114" s="101"/>
      <c r="AC114" s="101"/>
      <c r="AD114" s="101"/>
      <c r="AE114" s="101"/>
      <c r="AF114" s="101"/>
      <c r="AG114" s="101"/>
      <c r="AH114" s="101"/>
      <c r="AI114" s="101"/>
      <c r="AJ114" s="102"/>
    </row>
    <row r="115" spans="1:36" ht="10.9" customHeight="1" x14ac:dyDescent="0.25">
      <c r="A115" s="103" t="s">
        <v>331</v>
      </c>
      <c r="B115" s="101"/>
      <c r="C115" s="101"/>
      <c r="D115" s="101"/>
      <c r="E115" s="101"/>
      <c r="F115" s="101"/>
      <c r="G115" s="101"/>
      <c r="H115" s="101"/>
      <c r="I115" s="101"/>
      <c r="J115" s="101"/>
      <c r="K115" s="101"/>
      <c r="L115" s="102"/>
      <c r="M115" s="101" t="s">
        <v>332</v>
      </c>
      <c r="N115" s="101"/>
      <c r="O115" s="101"/>
      <c r="P115" s="101"/>
      <c r="Q115" s="101"/>
      <c r="R115" s="101"/>
      <c r="S115" s="101"/>
      <c r="T115" s="101"/>
      <c r="U115" s="101"/>
      <c r="V115" s="101"/>
      <c r="W115" s="101"/>
      <c r="X115" s="102"/>
      <c r="Y115" s="101" t="s">
        <v>333</v>
      </c>
      <c r="Z115" s="101"/>
      <c r="AA115" s="101"/>
      <c r="AB115" s="101"/>
      <c r="AC115" s="101"/>
      <c r="AD115" s="101"/>
      <c r="AE115" s="101"/>
      <c r="AF115" s="101"/>
      <c r="AG115" s="101"/>
      <c r="AH115" s="101"/>
      <c r="AI115" s="101"/>
      <c r="AJ115" s="102"/>
    </row>
    <row r="116" spans="1:36" ht="10.9" customHeight="1" x14ac:dyDescent="0.25">
      <c r="A116" s="103" t="s">
        <v>334</v>
      </c>
      <c r="B116" s="101"/>
      <c r="C116" s="101"/>
      <c r="D116" s="101"/>
      <c r="E116" s="101"/>
      <c r="F116" s="101"/>
      <c r="G116" s="101"/>
      <c r="H116" s="101"/>
      <c r="I116" s="101"/>
      <c r="J116" s="101"/>
      <c r="K116" s="101"/>
      <c r="L116" s="102"/>
      <c r="M116" s="101" t="s">
        <v>231</v>
      </c>
      <c r="N116" s="101"/>
      <c r="O116" s="101"/>
      <c r="P116" s="101"/>
      <c r="Q116" s="101"/>
      <c r="R116" s="101"/>
      <c r="S116" s="101"/>
      <c r="T116" s="101"/>
      <c r="U116" s="101"/>
      <c r="V116" s="101"/>
      <c r="W116" s="101"/>
      <c r="X116" s="102"/>
      <c r="Y116" s="100" t="s">
        <v>335</v>
      </c>
      <c r="Z116" s="101"/>
      <c r="AA116" s="101"/>
      <c r="AB116" s="101"/>
      <c r="AC116" s="101"/>
      <c r="AD116" s="101"/>
      <c r="AE116" s="101"/>
      <c r="AF116" s="101"/>
      <c r="AG116" s="101"/>
      <c r="AH116" s="101"/>
      <c r="AI116" s="101"/>
      <c r="AJ116" s="102"/>
    </row>
    <row r="117" spans="1:36" ht="10.9" customHeight="1" x14ac:dyDescent="0.25">
      <c r="A117" s="103" t="s">
        <v>336</v>
      </c>
      <c r="B117" s="101"/>
      <c r="C117" s="101"/>
      <c r="D117" s="101"/>
      <c r="E117" s="101"/>
      <c r="F117" s="101"/>
      <c r="G117" s="101"/>
      <c r="H117" s="101"/>
      <c r="I117" s="101"/>
      <c r="J117" s="101"/>
      <c r="K117" s="101"/>
      <c r="L117" s="102"/>
      <c r="M117" s="104" t="s">
        <v>337</v>
      </c>
      <c r="N117" s="101"/>
      <c r="O117" s="101"/>
      <c r="P117" s="101"/>
      <c r="Q117" s="101"/>
      <c r="R117" s="101"/>
      <c r="S117" s="101"/>
      <c r="T117" s="101"/>
      <c r="U117" s="101"/>
      <c r="V117" s="101"/>
      <c r="W117" s="101"/>
      <c r="X117" s="102"/>
      <c r="Y117" s="104" t="s">
        <v>338</v>
      </c>
      <c r="Z117" s="101"/>
      <c r="AA117" s="101"/>
      <c r="AB117" s="101"/>
      <c r="AC117" s="101"/>
      <c r="AD117" s="101"/>
      <c r="AE117" s="101"/>
      <c r="AF117" s="101"/>
      <c r="AG117" s="101"/>
      <c r="AH117" s="101"/>
      <c r="AI117" s="101"/>
      <c r="AJ117" s="102"/>
    </row>
    <row r="118" spans="1:36" ht="10.9" customHeight="1" x14ac:dyDescent="0.25">
      <c r="A118" s="103" t="s">
        <v>339</v>
      </c>
      <c r="B118" s="101"/>
      <c r="C118" s="101"/>
      <c r="D118" s="101"/>
      <c r="E118" s="101"/>
      <c r="F118" s="101"/>
      <c r="G118" s="101"/>
      <c r="H118" s="101"/>
      <c r="I118" s="101"/>
      <c r="J118" s="101"/>
      <c r="K118" s="101"/>
      <c r="L118" s="102"/>
      <c r="M118" s="101" t="s">
        <v>340</v>
      </c>
      <c r="N118" s="101"/>
      <c r="O118" s="101"/>
      <c r="P118" s="101"/>
      <c r="Q118" s="101"/>
      <c r="R118" s="101"/>
      <c r="S118" s="101"/>
      <c r="T118" s="101"/>
      <c r="U118" s="101"/>
      <c r="V118" s="101"/>
      <c r="W118" s="101"/>
      <c r="X118" s="102"/>
      <c r="Y118" s="101" t="s">
        <v>341</v>
      </c>
      <c r="Z118" s="104"/>
      <c r="AA118" s="104"/>
      <c r="AB118" s="104"/>
      <c r="AC118" s="104"/>
      <c r="AD118" s="104"/>
      <c r="AE118" s="104"/>
      <c r="AF118" s="104"/>
      <c r="AG118" s="104"/>
      <c r="AH118" s="104"/>
      <c r="AI118" s="104"/>
      <c r="AJ118" s="105"/>
    </row>
    <row r="119" spans="1:36" ht="10.9" customHeight="1" x14ac:dyDescent="0.25">
      <c r="A119" s="103" t="s">
        <v>342</v>
      </c>
      <c r="B119" s="101"/>
      <c r="C119" s="101"/>
      <c r="D119" s="101"/>
      <c r="E119" s="101"/>
      <c r="F119" s="101"/>
      <c r="G119" s="101"/>
      <c r="H119" s="101"/>
      <c r="I119" s="101"/>
      <c r="J119" s="101"/>
      <c r="K119" s="101"/>
      <c r="L119" s="102"/>
      <c r="M119" s="101" t="s">
        <v>343</v>
      </c>
      <c r="N119" s="101"/>
      <c r="O119" s="101"/>
      <c r="P119" s="101"/>
      <c r="Q119" s="101"/>
      <c r="R119" s="101"/>
      <c r="S119" s="101"/>
      <c r="T119" s="101"/>
      <c r="U119" s="101"/>
      <c r="V119" s="101"/>
      <c r="W119" s="101"/>
      <c r="X119" s="102"/>
      <c r="Y119" s="101" t="s">
        <v>344</v>
      </c>
      <c r="Z119" s="101"/>
      <c r="AA119" s="101"/>
      <c r="AB119" s="101"/>
      <c r="AC119" s="101"/>
      <c r="AD119" s="101"/>
      <c r="AE119" s="101"/>
      <c r="AF119" s="101"/>
      <c r="AG119" s="101"/>
      <c r="AH119" s="101"/>
      <c r="AI119" s="101"/>
      <c r="AJ119" s="102"/>
    </row>
    <row r="120" spans="1:36" ht="10.9" customHeight="1" x14ac:dyDescent="0.25">
      <c r="A120" s="100" t="s">
        <v>345</v>
      </c>
      <c r="B120" s="101"/>
      <c r="C120" s="101"/>
      <c r="D120" s="101"/>
      <c r="E120" s="101"/>
      <c r="F120" s="101"/>
      <c r="G120" s="101"/>
      <c r="H120" s="101"/>
      <c r="I120" s="101"/>
      <c r="J120" s="101"/>
      <c r="K120" s="101"/>
      <c r="L120" s="102"/>
      <c r="M120" s="104" t="s">
        <v>346</v>
      </c>
      <c r="N120" s="101"/>
      <c r="O120" s="101"/>
      <c r="P120" s="101"/>
      <c r="Q120" s="101"/>
      <c r="R120" s="101"/>
      <c r="S120" s="101"/>
      <c r="T120" s="101"/>
      <c r="U120" s="101"/>
      <c r="V120" s="101"/>
      <c r="W120" s="101"/>
      <c r="X120" s="102"/>
      <c r="Y120" s="104" t="s">
        <v>347</v>
      </c>
      <c r="Z120" s="101"/>
      <c r="AA120" s="101"/>
      <c r="AB120" s="101"/>
      <c r="AC120" s="101"/>
      <c r="AD120" s="101"/>
      <c r="AE120" s="101"/>
      <c r="AF120" s="101"/>
      <c r="AG120" s="101"/>
      <c r="AH120" s="101"/>
      <c r="AI120" s="101"/>
      <c r="AJ120" s="102"/>
    </row>
    <row r="121" spans="1:36" ht="10.9" customHeight="1" x14ac:dyDescent="0.25">
      <c r="A121" s="103" t="s">
        <v>348</v>
      </c>
      <c r="B121" s="101"/>
      <c r="C121" s="101"/>
      <c r="D121" s="101"/>
      <c r="E121" s="101"/>
      <c r="F121" s="101"/>
      <c r="G121" s="101"/>
      <c r="H121" s="101"/>
      <c r="I121" s="101"/>
      <c r="J121" s="101"/>
      <c r="K121" s="101"/>
      <c r="L121" s="102"/>
      <c r="M121" s="104" t="s">
        <v>349</v>
      </c>
      <c r="N121" s="101"/>
      <c r="O121" s="101"/>
      <c r="P121" s="101"/>
      <c r="Q121" s="101"/>
      <c r="R121" s="101"/>
      <c r="S121" s="101"/>
      <c r="T121" s="101"/>
      <c r="U121" s="101"/>
      <c r="V121" s="101"/>
      <c r="W121" s="101"/>
      <c r="X121" s="102"/>
      <c r="Y121" s="101" t="s">
        <v>350</v>
      </c>
      <c r="Z121" s="101"/>
      <c r="AA121" s="101"/>
      <c r="AB121" s="101"/>
      <c r="AC121" s="101"/>
      <c r="AD121" s="101"/>
      <c r="AE121" s="101"/>
      <c r="AF121" s="101"/>
      <c r="AG121" s="101"/>
      <c r="AH121" s="101"/>
      <c r="AI121" s="101"/>
      <c r="AJ121" s="102"/>
    </row>
    <row r="122" spans="1:36" ht="10.9" customHeight="1" x14ac:dyDescent="0.25">
      <c r="A122" s="103" t="s">
        <v>351</v>
      </c>
      <c r="B122" s="101"/>
      <c r="C122" s="101"/>
      <c r="D122" s="101"/>
      <c r="E122" s="101"/>
      <c r="F122" s="101"/>
      <c r="G122" s="101"/>
      <c r="H122" s="101"/>
      <c r="I122" s="101"/>
      <c r="J122" s="101"/>
      <c r="K122" s="101"/>
      <c r="L122" s="102"/>
      <c r="M122" s="101" t="s">
        <v>352</v>
      </c>
      <c r="N122" s="101"/>
      <c r="O122" s="101"/>
      <c r="P122" s="101"/>
      <c r="Q122" s="101"/>
      <c r="R122" s="101"/>
      <c r="S122" s="101"/>
      <c r="T122" s="101"/>
      <c r="U122" s="101"/>
      <c r="V122" s="101"/>
      <c r="W122" s="101"/>
      <c r="X122" s="102"/>
      <c r="Y122" s="101"/>
      <c r="Z122" s="101"/>
      <c r="AA122" s="101"/>
      <c r="AB122" s="101"/>
      <c r="AC122" s="101"/>
      <c r="AD122" s="101"/>
      <c r="AE122" s="101"/>
      <c r="AF122" s="101"/>
      <c r="AG122" s="101"/>
      <c r="AH122" s="101"/>
      <c r="AI122" s="101"/>
      <c r="AJ122" s="102"/>
    </row>
    <row r="123" spans="1:36" ht="10.9" customHeight="1" x14ac:dyDescent="0.25">
      <c r="A123" s="103" t="s">
        <v>353</v>
      </c>
      <c r="B123" s="101"/>
      <c r="C123" s="101"/>
      <c r="D123" s="101"/>
      <c r="E123" s="101"/>
      <c r="F123" s="101"/>
      <c r="G123" s="101"/>
      <c r="H123" s="101"/>
      <c r="I123" s="101"/>
      <c r="J123" s="101"/>
      <c r="K123" s="101"/>
      <c r="L123" s="102"/>
      <c r="M123" s="101" t="s">
        <v>354</v>
      </c>
      <c r="N123" s="101"/>
      <c r="O123" s="101"/>
      <c r="P123" s="101"/>
      <c r="Q123" s="101"/>
      <c r="R123" s="101"/>
      <c r="S123" s="101"/>
      <c r="T123" s="101"/>
      <c r="U123" s="101"/>
      <c r="V123" s="101"/>
      <c r="W123" s="101"/>
      <c r="X123" s="102"/>
      <c r="Y123" s="101"/>
      <c r="Z123" s="101"/>
      <c r="AA123" s="101"/>
      <c r="AB123" s="101"/>
      <c r="AC123" s="101"/>
      <c r="AD123" s="101"/>
      <c r="AE123" s="101"/>
      <c r="AF123" s="101"/>
      <c r="AG123" s="101"/>
      <c r="AH123" s="101"/>
      <c r="AI123" s="101"/>
      <c r="AJ123" s="102"/>
    </row>
    <row r="124" spans="1:36" ht="10.9" customHeight="1" x14ac:dyDescent="0.25">
      <c r="A124" s="103" t="s">
        <v>355</v>
      </c>
      <c r="B124" s="101"/>
      <c r="C124" s="101"/>
      <c r="D124" s="101"/>
      <c r="E124" s="101"/>
      <c r="F124" s="101"/>
      <c r="G124" s="101"/>
      <c r="H124" s="101"/>
      <c r="I124" s="101"/>
      <c r="J124" s="101"/>
      <c r="K124" s="101"/>
      <c r="L124" s="102"/>
      <c r="M124" s="101" t="s">
        <v>356</v>
      </c>
      <c r="N124" s="101"/>
      <c r="O124" s="101"/>
      <c r="P124" s="101"/>
      <c r="Q124" s="101"/>
      <c r="R124" s="101"/>
      <c r="S124" s="101"/>
      <c r="T124" s="101"/>
      <c r="U124" s="101"/>
      <c r="V124" s="101"/>
      <c r="W124" s="101"/>
      <c r="X124" s="102"/>
      <c r="Y124" s="101"/>
      <c r="Z124" s="101"/>
      <c r="AA124" s="101"/>
      <c r="AB124" s="101"/>
      <c r="AC124" s="101"/>
      <c r="AD124" s="101"/>
      <c r="AE124" s="101"/>
      <c r="AF124" s="101"/>
      <c r="AG124" s="101"/>
      <c r="AH124" s="101"/>
      <c r="AI124" s="101"/>
      <c r="AJ124" s="102"/>
    </row>
    <row r="125" spans="1:36" ht="10.9" customHeight="1" x14ac:dyDescent="0.25">
      <c r="A125" s="106" t="s">
        <v>357</v>
      </c>
      <c r="B125" s="107"/>
      <c r="C125" s="107"/>
      <c r="D125" s="107"/>
      <c r="E125" s="107"/>
      <c r="F125" s="107"/>
      <c r="G125" s="107"/>
      <c r="H125" s="107"/>
      <c r="I125" s="107"/>
      <c r="J125" s="107"/>
      <c r="K125" s="107"/>
      <c r="L125" s="108"/>
      <c r="M125" s="107" t="s">
        <v>358</v>
      </c>
      <c r="N125" s="107"/>
      <c r="O125" s="107"/>
      <c r="P125" s="107"/>
      <c r="Q125" s="107"/>
      <c r="R125" s="107"/>
      <c r="S125" s="107"/>
      <c r="T125" s="107"/>
      <c r="U125" s="107"/>
      <c r="V125" s="107"/>
      <c r="W125" s="107"/>
      <c r="X125" s="108"/>
      <c r="Y125" s="107"/>
      <c r="Z125" s="107"/>
      <c r="AA125" s="107"/>
      <c r="AB125" s="107"/>
      <c r="AC125" s="107"/>
      <c r="AD125" s="107"/>
      <c r="AE125" s="107"/>
      <c r="AF125" s="107"/>
      <c r="AG125" s="107"/>
      <c r="AH125" s="107"/>
      <c r="AI125" s="107"/>
      <c r="AJ125" s="108"/>
    </row>
    <row r="126" spans="1:36" ht="7.9" customHeight="1" x14ac:dyDescent="0.25">
      <c r="A126" s="109"/>
      <c r="B126" s="110"/>
      <c r="C126" s="110"/>
      <c r="D126" s="110"/>
      <c r="E126" s="110"/>
      <c r="F126" s="110"/>
      <c r="G126" s="110"/>
      <c r="H126" s="110"/>
      <c r="I126" s="110"/>
      <c r="J126" s="110"/>
      <c r="K126" s="110"/>
      <c r="L126" s="110"/>
      <c r="M126" s="109"/>
      <c r="N126" s="110"/>
      <c r="O126" s="110"/>
      <c r="P126" s="110"/>
      <c r="Q126" s="110"/>
      <c r="R126" s="110"/>
      <c r="S126" s="110"/>
      <c r="T126" s="110"/>
      <c r="U126" s="110"/>
      <c r="V126" s="110"/>
      <c r="W126" s="110"/>
      <c r="X126" s="110"/>
      <c r="Y126" s="109"/>
      <c r="Z126" s="110"/>
      <c r="AA126" s="110"/>
      <c r="AB126" s="110"/>
      <c r="AC126" s="110"/>
      <c r="AD126" s="110"/>
      <c r="AE126" s="110"/>
      <c r="AF126" s="110"/>
      <c r="AG126" s="110"/>
      <c r="AH126" s="110"/>
      <c r="AI126" s="110"/>
      <c r="AJ126" s="109"/>
    </row>
  </sheetData>
  <mergeCells count="8">
    <mergeCell ref="A53:AJ53"/>
    <mergeCell ref="A54:AJ54"/>
    <mergeCell ref="A3:AJ3"/>
    <mergeCell ref="S5:AH5"/>
    <mergeCell ref="A6:R6"/>
    <mergeCell ref="S6:AJ6"/>
    <mergeCell ref="A30:R30"/>
    <mergeCell ref="A51:AI51"/>
  </mergeCells>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EF4656-8D27-4D42-B94F-BF10D431DC1A}">
  <dimension ref="A1:S61"/>
  <sheetViews>
    <sheetView workbookViewId="0">
      <selection activeCell="F16" sqref="A1:XFD1048576"/>
    </sheetView>
  </sheetViews>
  <sheetFormatPr baseColWidth="10" defaultRowHeight="15" x14ac:dyDescent="0.25"/>
  <cols>
    <col min="1" max="1" width="3.28515625" customWidth="1"/>
    <col min="2" max="2" width="4.28515625" customWidth="1"/>
    <col min="3" max="3" width="6.7109375" customWidth="1"/>
    <col min="4" max="7" width="5.7109375" customWidth="1"/>
    <col min="8" max="8" width="3.7109375" customWidth="1"/>
    <col min="9" max="9" width="5.7109375" customWidth="1"/>
    <col min="10" max="11" width="6.7109375" customWidth="1"/>
    <col min="12" max="13" width="6" customWidth="1"/>
    <col min="14" max="17" width="5.7109375" customWidth="1"/>
    <col min="18" max="18" width="6.7109375" customWidth="1"/>
    <col min="19" max="19" width="1.7109375" customWidth="1"/>
  </cols>
  <sheetData>
    <row r="1" spans="1:19" x14ac:dyDescent="0.25">
      <c r="A1" s="791" t="s">
        <v>359</v>
      </c>
      <c r="B1" s="791"/>
      <c r="C1" s="791"/>
      <c r="D1" s="791"/>
      <c r="E1" s="791"/>
      <c r="F1" s="791"/>
      <c r="G1" s="791"/>
      <c r="H1" s="791"/>
      <c r="I1" s="791"/>
      <c r="J1" s="791"/>
      <c r="K1" s="791"/>
      <c r="L1" s="791"/>
      <c r="M1" s="791"/>
      <c r="N1" s="791"/>
      <c r="O1" s="791"/>
      <c r="P1" s="791"/>
      <c r="Q1" s="791"/>
      <c r="R1" s="791"/>
      <c r="S1" s="791"/>
    </row>
    <row r="2" spans="1:19" ht="3.6" customHeight="1" x14ac:dyDescent="0.25">
      <c r="A2" s="83"/>
      <c r="B2" s="83"/>
      <c r="C2" s="83"/>
      <c r="D2" s="83"/>
      <c r="E2" s="83"/>
      <c r="F2" s="83"/>
      <c r="G2" s="83"/>
      <c r="H2" s="83"/>
      <c r="I2" s="83"/>
      <c r="J2" s="83"/>
      <c r="K2" s="83"/>
      <c r="L2" s="83"/>
      <c r="M2" s="83"/>
      <c r="N2" s="83"/>
      <c r="O2" s="83"/>
      <c r="P2" s="903"/>
      <c r="Q2" s="903"/>
      <c r="R2" s="903"/>
      <c r="S2" s="83"/>
    </row>
    <row r="3" spans="1:19" x14ac:dyDescent="0.25">
      <c r="A3" s="904" t="s">
        <v>360</v>
      </c>
      <c r="B3" s="904"/>
      <c r="C3" s="904"/>
      <c r="D3" s="904"/>
      <c r="E3" s="904"/>
      <c r="F3" s="904"/>
      <c r="G3" s="904"/>
      <c r="H3" s="904"/>
      <c r="I3" s="904"/>
      <c r="J3" s="904"/>
      <c r="K3" s="904"/>
      <c r="L3" s="904"/>
      <c r="M3" s="904"/>
      <c r="N3" s="904"/>
      <c r="O3" s="904"/>
      <c r="P3" s="904"/>
      <c r="Q3" s="904"/>
      <c r="R3" s="904"/>
      <c r="S3" s="904"/>
    </row>
    <row r="4" spans="1:19" ht="6" customHeight="1" x14ac:dyDescent="0.25">
      <c r="A4" s="65"/>
      <c r="B4" s="65"/>
      <c r="C4" s="65"/>
      <c r="D4" s="65"/>
      <c r="E4" s="65"/>
      <c r="F4" s="65"/>
      <c r="G4" s="65"/>
      <c r="H4" s="65"/>
      <c r="I4" s="65"/>
      <c r="J4" s="83"/>
      <c r="K4" s="83"/>
      <c r="L4" s="83"/>
      <c r="M4" s="83"/>
      <c r="N4" s="83"/>
      <c r="O4" s="83"/>
      <c r="P4" s="83"/>
      <c r="Q4" s="83"/>
      <c r="R4" s="83"/>
      <c r="S4" s="83"/>
    </row>
    <row r="5" spans="1:19" x14ac:dyDescent="0.25">
      <c r="A5" s="897" t="s">
        <v>361</v>
      </c>
      <c r="B5" s="897"/>
      <c r="C5" s="897"/>
      <c r="D5" s="897"/>
      <c r="E5" s="897"/>
      <c r="F5" s="896" t="s">
        <v>2</v>
      </c>
      <c r="G5" s="896"/>
      <c r="H5" s="896"/>
      <c r="I5" s="896"/>
      <c r="J5" s="896"/>
      <c r="K5" s="896"/>
      <c r="L5" s="896"/>
      <c r="M5" s="896"/>
      <c r="N5" s="896"/>
      <c r="O5" s="896"/>
      <c r="P5" s="896"/>
      <c r="Q5" s="896"/>
      <c r="R5" s="896"/>
      <c r="S5" s="65"/>
    </row>
    <row r="6" spans="1:19" x14ac:dyDescent="0.25">
      <c r="A6" s="896" t="s">
        <v>4</v>
      </c>
      <c r="B6" s="896"/>
      <c r="C6" s="896"/>
      <c r="D6" s="896"/>
      <c r="E6" s="896"/>
      <c r="F6" s="896"/>
      <c r="G6" s="896"/>
      <c r="H6" s="896"/>
      <c r="I6" s="896"/>
      <c r="J6" s="896"/>
      <c r="K6" s="896"/>
      <c r="L6" s="896"/>
      <c r="M6" s="905" t="s">
        <v>362</v>
      </c>
      <c r="N6" s="905"/>
      <c r="O6" s="896" t="s">
        <v>6</v>
      </c>
      <c r="P6" s="896"/>
      <c r="Q6" s="896"/>
      <c r="R6" s="896"/>
      <c r="S6" s="65"/>
    </row>
    <row r="7" spans="1:19" x14ac:dyDescent="0.25">
      <c r="A7" s="895" t="s">
        <v>363</v>
      </c>
      <c r="B7" s="895"/>
      <c r="C7" s="896">
        <v>4431</v>
      </c>
      <c r="D7" s="896"/>
      <c r="E7" s="896"/>
      <c r="F7" s="896"/>
      <c r="G7" s="896"/>
      <c r="H7" s="896"/>
      <c r="I7" s="896"/>
      <c r="J7" s="896"/>
      <c r="K7" s="896"/>
      <c r="L7" s="896"/>
      <c r="M7" s="896"/>
      <c r="N7" s="896"/>
      <c r="O7" s="896"/>
      <c r="P7" s="896"/>
      <c r="Q7" s="896"/>
      <c r="R7" s="896"/>
      <c r="S7" s="65"/>
    </row>
    <row r="8" spans="1:19" x14ac:dyDescent="0.25">
      <c r="A8" s="897" t="s">
        <v>364</v>
      </c>
      <c r="B8" s="897"/>
      <c r="C8" s="897"/>
      <c r="D8" s="897"/>
      <c r="E8" s="898" t="s">
        <v>12</v>
      </c>
      <c r="F8" s="898"/>
      <c r="G8" s="898"/>
      <c r="H8" s="899" t="s">
        <v>365</v>
      </c>
      <c r="I8" s="899"/>
      <c r="J8" s="899"/>
      <c r="K8" s="899"/>
      <c r="L8" s="900">
        <v>46022</v>
      </c>
      <c r="M8" s="901"/>
      <c r="N8" s="899" t="s">
        <v>366</v>
      </c>
      <c r="O8" s="899"/>
      <c r="P8" s="899"/>
      <c r="Q8" s="902">
        <v>12</v>
      </c>
      <c r="R8" s="902"/>
      <c r="S8" s="65"/>
    </row>
    <row r="9" spans="1:19" x14ac:dyDescent="0.25">
      <c r="A9" s="885" t="s">
        <v>367</v>
      </c>
      <c r="B9" s="885"/>
      <c r="C9" s="885"/>
      <c r="D9" s="885"/>
      <c r="E9" s="885"/>
      <c r="F9" s="886" t="s">
        <v>8</v>
      </c>
      <c r="G9" s="886"/>
      <c r="H9" s="886"/>
      <c r="I9" s="886"/>
      <c r="J9" s="886"/>
      <c r="K9" s="886"/>
      <c r="L9" s="886"/>
      <c r="M9" s="886"/>
      <c r="N9" s="886"/>
      <c r="O9" s="886"/>
      <c r="P9" s="886"/>
      <c r="Q9" s="886"/>
      <c r="R9" s="886"/>
      <c r="S9" s="65"/>
    </row>
    <row r="10" spans="1:19" x14ac:dyDescent="0.25">
      <c r="A10" s="116" t="s">
        <v>368</v>
      </c>
      <c r="B10" s="117" t="s">
        <v>369</v>
      </c>
      <c r="C10" s="65"/>
      <c r="D10" s="65"/>
      <c r="E10" s="65"/>
      <c r="F10" s="65"/>
      <c r="G10" s="65"/>
      <c r="H10" s="65"/>
      <c r="I10" s="118" t="s">
        <v>370</v>
      </c>
      <c r="J10" s="887" t="s">
        <v>20</v>
      </c>
      <c r="K10" s="887"/>
      <c r="L10" s="887"/>
      <c r="M10" s="887"/>
      <c r="N10" s="887"/>
      <c r="O10" s="119" t="s">
        <v>371</v>
      </c>
      <c r="P10" s="887">
        <v>46022</v>
      </c>
      <c r="Q10" s="887"/>
      <c r="R10" s="887"/>
      <c r="S10" s="89"/>
    </row>
    <row r="11" spans="1:19" ht="7.9" customHeight="1" x14ac:dyDescent="0.25">
      <c r="A11" s="120"/>
      <c r="B11" s="65"/>
      <c r="C11" s="65"/>
      <c r="D11" s="65"/>
      <c r="E11" s="65"/>
      <c r="F11" s="65"/>
      <c r="G11" s="65"/>
      <c r="H11" s="65"/>
      <c r="I11" s="65"/>
      <c r="J11" s="65"/>
      <c r="K11" s="65"/>
      <c r="L11" s="65"/>
      <c r="M11" s="65"/>
      <c r="N11" s="65"/>
      <c r="O11" s="65"/>
      <c r="P11" s="65"/>
      <c r="Q11" s="65"/>
      <c r="R11" s="65"/>
      <c r="S11" s="65"/>
    </row>
    <row r="12" spans="1:19" x14ac:dyDescent="0.25">
      <c r="A12" s="116" t="s">
        <v>372</v>
      </c>
      <c r="B12" s="117" t="s">
        <v>373</v>
      </c>
      <c r="C12" s="65"/>
      <c r="D12" s="65"/>
      <c r="E12" s="65"/>
      <c r="F12" s="65"/>
      <c r="G12" s="65"/>
      <c r="H12" s="65"/>
      <c r="I12" s="65"/>
      <c r="J12" s="888"/>
      <c r="K12" s="889"/>
      <c r="L12" s="65"/>
      <c r="M12" s="65"/>
      <c r="N12" s="65"/>
      <c r="O12" s="65"/>
      <c r="P12" s="65"/>
      <c r="Q12" s="65"/>
      <c r="R12" s="65"/>
      <c r="S12" s="65"/>
    </row>
    <row r="13" spans="1:19" x14ac:dyDescent="0.25">
      <c r="A13" s="120"/>
      <c r="B13" s="65"/>
      <c r="C13" s="65"/>
      <c r="D13" s="65"/>
      <c r="E13" s="65"/>
      <c r="F13" s="65"/>
      <c r="G13" s="65"/>
      <c r="H13" s="65"/>
      <c r="I13" s="65"/>
      <c r="J13" s="65"/>
      <c r="K13" s="65"/>
      <c r="L13" s="65"/>
      <c r="M13" s="65"/>
      <c r="N13" s="65"/>
      <c r="O13" s="65"/>
      <c r="P13" s="65"/>
      <c r="Q13" s="116" t="s">
        <v>374</v>
      </c>
      <c r="R13" s="65"/>
      <c r="S13" s="65"/>
    </row>
    <row r="14" spans="1:19" x14ac:dyDescent="0.25">
      <c r="A14" s="116" t="s">
        <v>375</v>
      </c>
      <c r="B14" s="117" t="s">
        <v>376</v>
      </c>
      <c r="C14" s="65"/>
      <c r="D14" s="65"/>
      <c r="E14" s="65"/>
      <c r="F14" s="65"/>
      <c r="G14" s="65"/>
      <c r="H14" s="65"/>
      <c r="I14" s="65"/>
      <c r="J14" s="890">
        <v>46022</v>
      </c>
      <c r="K14" s="891"/>
      <c r="L14" s="892" t="s">
        <v>377</v>
      </c>
      <c r="M14" s="893"/>
      <c r="N14" s="893"/>
      <c r="O14" s="893"/>
      <c r="P14" s="893"/>
      <c r="Q14" s="894"/>
      <c r="R14" s="121">
        <v>12</v>
      </c>
      <c r="S14" s="65"/>
    </row>
    <row r="15" spans="1:19" ht="7.9" customHeight="1" x14ac:dyDescent="0.25">
      <c r="A15" s="120"/>
      <c r="B15" s="65"/>
      <c r="C15" s="65"/>
      <c r="D15" s="65"/>
      <c r="E15" s="65"/>
      <c r="F15" s="65"/>
      <c r="G15" s="65"/>
      <c r="H15" s="65"/>
      <c r="I15" s="65"/>
      <c r="J15" s="65"/>
      <c r="K15" s="65"/>
      <c r="L15" s="65"/>
      <c r="M15" s="65"/>
      <c r="N15" s="65"/>
      <c r="O15" s="65"/>
      <c r="P15" s="65"/>
      <c r="Q15" s="65"/>
      <c r="R15" s="65"/>
      <c r="S15" s="65"/>
    </row>
    <row r="16" spans="1:19" x14ac:dyDescent="0.25">
      <c r="A16" s="116" t="s">
        <v>378</v>
      </c>
      <c r="B16" s="874"/>
      <c r="C16" s="876"/>
      <c r="D16" s="879" t="s">
        <v>28</v>
      </c>
      <c r="E16" s="880"/>
      <c r="F16" s="880"/>
      <c r="G16" s="881"/>
      <c r="H16" s="65"/>
      <c r="I16" s="65"/>
      <c r="J16" s="65"/>
      <c r="K16" s="65"/>
      <c r="L16" s="116" t="s">
        <v>379</v>
      </c>
      <c r="M16" s="882"/>
      <c r="N16" s="883"/>
      <c r="O16" s="883"/>
      <c r="P16" s="883"/>
      <c r="Q16" s="884"/>
      <c r="R16" s="65"/>
      <c r="S16" s="65"/>
    </row>
    <row r="17" spans="1:19" x14ac:dyDescent="0.25">
      <c r="A17" s="120"/>
      <c r="B17" s="853" t="s">
        <v>380</v>
      </c>
      <c r="C17" s="853"/>
      <c r="D17" s="853" t="s">
        <v>381</v>
      </c>
      <c r="E17" s="853"/>
      <c r="F17" s="853"/>
      <c r="G17" s="853"/>
      <c r="H17" s="122"/>
      <c r="I17" s="65"/>
      <c r="J17" s="65"/>
      <c r="K17" s="65"/>
      <c r="L17" s="809" t="s">
        <v>382</v>
      </c>
      <c r="M17" s="809"/>
      <c r="N17" s="809"/>
      <c r="O17" s="809"/>
      <c r="P17" s="809"/>
      <c r="Q17" s="809"/>
      <c r="R17" s="65"/>
      <c r="S17" s="124"/>
    </row>
    <row r="18" spans="1:19" x14ac:dyDescent="0.25">
      <c r="A18" s="116" t="s">
        <v>383</v>
      </c>
      <c r="B18" s="65"/>
      <c r="C18" s="865" t="s">
        <v>30</v>
      </c>
      <c r="D18" s="866"/>
      <c r="E18" s="867"/>
      <c r="F18" s="65"/>
      <c r="G18" s="116" t="s">
        <v>384</v>
      </c>
      <c r="H18" s="874"/>
      <c r="I18" s="875"/>
      <c r="J18" s="875"/>
      <c r="K18" s="876"/>
      <c r="L18" s="65"/>
      <c r="M18" s="65"/>
      <c r="N18" s="116" t="s">
        <v>385</v>
      </c>
      <c r="O18" s="877"/>
      <c r="P18" s="875"/>
      <c r="Q18" s="875"/>
      <c r="R18" s="876"/>
      <c r="S18" s="65"/>
    </row>
    <row r="19" spans="1:19" x14ac:dyDescent="0.25">
      <c r="A19" s="125"/>
      <c r="B19" s="65"/>
      <c r="C19" s="809" t="s">
        <v>386</v>
      </c>
      <c r="D19" s="809"/>
      <c r="E19" s="809"/>
      <c r="F19" s="124"/>
      <c r="G19" s="65"/>
      <c r="H19" s="809" t="s">
        <v>387</v>
      </c>
      <c r="I19" s="809"/>
      <c r="J19" s="809"/>
      <c r="K19" s="809"/>
      <c r="L19" s="124"/>
      <c r="M19" s="65"/>
      <c r="N19" s="65"/>
      <c r="O19" s="878" t="s">
        <v>388</v>
      </c>
      <c r="P19" s="878"/>
      <c r="Q19" s="878"/>
      <c r="R19" s="878"/>
      <c r="S19" s="126"/>
    </row>
    <row r="20" spans="1:19" x14ac:dyDescent="0.25">
      <c r="A20" s="116" t="s">
        <v>389</v>
      </c>
      <c r="B20" s="859" t="s">
        <v>2</v>
      </c>
      <c r="C20" s="860"/>
      <c r="D20" s="860"/>
      <c r="E20" s="860"/>
      <c r="F20" s="860"/>
      <c r="G20" s="860"/>
      <c r="H20" s="860"/>
      <c r="I20" s="860"/>
      <c r="J20" s="860"/>
      <c r="K20" s="860"/>
      <c r="L20" s="860"/>
      <c r="M20" s="860"/>
      <c r="N20" s="861"/>
      <c r="O20" s="862" t="s">
        <v>6</v>
      </c>
      <c r="P20" s="863"/>
      <c r="Q20" s="863"/>
      <c r="R20" s="864"/>
      <c r="S20" s="127"/>
    </row>
    <row r="21" spans="1:19" x14ac:dyDescent="0.25">
      <c r="A21" s="830" t="s">
        <v>390</v>
      </c>
      <c r="B21" s="830"/>
      <c r="C21" s="830"/>
      <c r="D21" s="830"/>
      <c r="E21" s="830"/>
      <c r="F21" s="830"/>
      <c r="G21" s="830"/>
      <c r="H21" s="830"/>
      <c r="I21" s="830"/>
      <c r="J21" s="830"/>
      <c r="K21" s="830"/>
      <c r="L21" s="830"/>
      <c r="M21" s="830"/>
      <c r="N21" s="830"/>
      <c r="O21" s="830"/>
      <c r="P21" s="809" t="s">
        <v>391</v>
      </c>
      <c r="Q21" s="809"/>
      <c r="R21" s="809"/>
      <c r="S21" s="127"/>
    </row>
    <row r="22" spans="1:19" ht="6.6" customHeight="1" x14ac:dyDescent="0.25">
      <c r="A22" s="89"/>
      <c r="B22" s="65"/>
      <c r="C22" s="65"/>
      <c r="D22" s="65"/>
      <c r="E22" s="65"/>
      <c r="F22" s="65"/>
      <c r="G22" s="65"/>
      <c r="H22" s="65"/>
      <c r="I22" s="65"/>
      <c r="J22" s="65"/>
      <c r="K22" s="65"/>
      <c r="L22" s="65"/>
      <c r="M22" s="65"/>
      <c r="N22" s="65"/>
      <c r="O22" s="65"/>
      <c r="P22" s="65"/>
      <c r="Q22" s="65"/>
      <c r="R22" s="65"/>
      <c r="S22" s="65"/>
    </row>
    <row r="23" spans="1:19" x14ac:dyDescent="0.25">
      <c r="A23" s="116" t="s">
        <v>392</v>
      </c>
      <c r="B23" s="65"/>
      <c r="C23" s="865">
        <v>25242546</v>
      </c>
      <c r="D23" s="866"/>
      <c r="E23" s="867"/>
      <c r="F23" s="65"/>
      <c r="G23" s="868"/>
      <c r="H23" s="869"/>
      <c r="I23" s="869"/>
      <c r="J23" s="869"/>
      <c r="K23" s="870"/>
      <c r="L23" s="65"/>
      <c r="M23" s="130"/>
      <c r="N23" s="871"/>
      <c r="O23" s="872"/>
      <c r="P23" s="871"/>
      <c r="Q23" s="873"/>
      <c r="R23" s="872"/>
      <c r="S23" s="131"/>
    </row>
    <row r="24" spans="1:19" x14ac:dyDescent="0.25">
      <c r="A24" s="120"/>
      <c r="B24" s="65"/>
      <c r="C24" s="809" t="s">
        <v>393</v>
      </c>
      <c r="D24" s="809"/>
      <c r="E24" s="809"/>
      <c r="F24" s="124"/>
      <c r="G24" s="809" t="s">
        <v>394</v>
      </c>
      <c r="H24" s="809"/>
      <c r="I24" s="809"/>
      <c r="J24" s="809"/>
      <c r="K24" s="809"/>
      <c r="L24" s="65"/>
      <c r="M24" s="123" t="s">
        <v>395</v>
      </c>
      <c r="N24" s="809" t="s">
        <v>396</v>
      </c>
      <c r="O24" s="809"/>
      <c r="P24" s="809" t="s">
        <v>397</v>
      </c>
      <c r="Q24" s="809"/>
      <c r="R24" s="809"/>
      <c r="S24" s="124"/>
    </row>
    <row r="25" spans="1:19" ht="3.6" customHeight="1" x14ac:dyDescent="0.25">
      <c r="A25" s="89"/>
      <c r="B25" s="65"/>
      <c r="C25" s="124"/>
      <c r="D25" s="124"/>
      <c r="E25" s="124"/>
      <c r="F25" s="124"/>
      <c r="G25" s="65"/>
      <c r="H25" s="65"/>
      <c r="I25" s="65"/>
      <c r="J25" s="124"/>
      <c r="K25" s="124"/>
      <c r="L25" s="65"/>
      <c r="M25" s="124"/>
      <c r="N25" s="124"/>
      <c r="O25" s="124"/>
      <c r="P25" s="124"/>
      <c r="Q25" s="124"/>
      <c r="R25" s="124"/>
      <c r="S25" s="124"/>
    </row>
    <row r="26" spans="1:19" x14ac:dyDescent="0.25">
      <c r="A26" s="116" t="s">
        <v>398</v>
      </c>
      <c r="B26" s="855" t="s">
        <v>15</v>
      </c>
      <c r="C26" s="856"/>
      <c r="D26" s="856"/>
      <c r="E26" s="856"/>
      <c r="F26" s="856"/>
      <c r="G26" s="856"/>
      <c r="H26" s="856"/>
      <c r="I26" s="856"/>
      <c r="J26" s="856"/>
      <c r="K26" s="856"/>
      <c r="L26" s="856"/>
      <c r="M26" s="856"/>
      <c r="N26" s="857"/>
      <c r="O26" s="858"/>
      <c r="P26" s="856"/>
      <c r="Q26" s="856"/>
      <c r="R26" s="857"/>
      <c r="S26" s="132"/>
    </row>
    <row r="27" spans="1:19" x14ac:dyDescent="0.25">
      <c r="A27" s="123"/>
      <c r="B27" s="809" t="s">
        <v>399</v>
      </c>
      <c r="C27" s="809"/>
      <c r="D27" s="809"/>
      <c r="E27" s="809"/>
      <c r="F27" s="809"/>
      <c r="G27" s="809"/>
      <c r="H27" s="809"/>
      <c r="I27" s="809"/>
      <c r="J27" s="809"/>
      <c r="K27" s="809"/>
      <c r="L27" s="809"/>
      <c r="M27" s="809"/>
      <c r="N27" s="809"/>
      <c r="O27" s="809"/>
      <c r="P27" s="809"/>
      <c r="Q27" s="809"/>
      <c r="R27" s="809"/>
      <c r="S27" s="124"/>
    </row>
    <row r="28" spans="1:19" x14ac:dyDescent="0.25">
      <c r="A28" s="89"/>
      <c r="B28" s="65"/>
      <c r="C28" s="65"/>
      <c r="D28" s="65"/>
      <c r="E28" s="65"/>
      <c r="F28" s="65"/>
      <c r="G28" s="65"/>
      <c r="H28" s="65"/>
      <c r="I28" s="65"/>
      <c r="J28" s="65"/>
      <c r="K28" s="65"/>
      <c r="L28" s="65"/>
      <c r="M28" s="65"/>
      <c r="N28" s="65"/>
      <c r="O28" s="116" t="s">
        <v>400</v>
      </c>
      <c r="P28" s="65"/>
      <c r="Q28" s="65"/>
      <c r="R28" s="65"/>
      <c r="S28" s="65"/>
    </row>
    <row r="29" spans="1:19" x14ac:dyDescent="0.25">
      <c r="A29" s="116" t="s">
        <v>401</v>
      </c>
      <c r="B29" s="826"/>
      <c r="C29" s="827"/>
      <c r="D29" s="827"/>
      <c r="E29" s="827"/>
      <c r="F29" s="827"/>
      <c r="G29" s="827"/>
      <c r="H29" s="827"/>
      <c r="I29" s="827"/>
      <c r="J29" s="827"/>
      <c r="K29" s="827"/>
      <c r="L29" s="827"/>
      <c r="M29" s="827"/>
      <c r="N29" s="828"/>
      <c r="O29" s="850"/>
      <c r="P29" s="851"/>
      <c r="Q29" s="851"/>
      <c r="R29" s="852"/>
      <c r="S29" s="133"/>
    </row>
    <row r="30" spans="1:19" x14ac:dyDescent="0.25">
      <c r="A30" s="123"/>
      <c r="B30" s="853" t="s">
        <v>402</v>
      </c>
      <c r="C30" s="853"/>
      <c r="D30" s="853"/>
      <c r="E30" s="853"/>
      <c r="F30" s="853"/>
      <c r="G30" s="853"/>
      <c r="H30" s="853"/>
      <c r="I30" s="853"/>
      <c r="J30" s="853"/>
      <c r="K30" s="853"/>
      <c r="L30" s="853"/>
      <c r="M30" s="853"/>
      <c r="N30" s="853"/>
      <c r="O30" s="853" t="s">
        <v>403</v>
      </c>
      <c r="P30" s="853"/>
      <c r="Q30" s="853"/>
      <c r="R30" s="853"/>
      <c r="S30" s="127"/>
    </row>
    <row r="31" spans="1:19" x14ac:dyDescent="0.25">
      <c r="A31" s="89"/>
      <c r="B31" s="854" t="s">
        <v>404</v>
      </c>
      <c r="C31" s="854"/>
      <c r="D31" s="854"/>
      <c r="E31" s="854"/>
      <c r="F31" s="854"/>
      <c r="G31" s="854"/>
      <c r="H31" s="854"/>
      <c r="I31" s="854"/>
      <c r="J31" s="854"/>
      <c r="K31" s="854"/>
      <c r="L31" s="854"/>
      <c r="M31" s="854"/>
      <c r="N31" s="854"/>
      <c r="O31" s="854"/>
      <c r="P31" s="854"/>
      <c r="Q31" s="854"/>
      <c r="R31" s="854"/>
      <c r="S31" s="65"/>
    </row>
    <row r="32" spans="1:19" x14ac:dyDescent="0.25">
      <c r="A32" s="116" t="s">
        <v>405</v>
      </c>
      <c r="B32" s="826"/>
      <c r="C32" s="827"/>
      <c r="D32" s="827"/>
      <c r="E32" s="827"/>
      <c r="F32" s="828"/>
      <c r="G32" s="826"/>
      <c r="H32" s="827"/>
      <c r="I32" s="827"/>
      <c r="J32" s="828"/>
      <c r="K32" s="826"/>
      <c r="L32" s="828"/>
      <c r="M32" s="849"/>
      <c r="N32" s="827"/>
      <c r="O32" s="827"/>
      <c r="P32" s="828"/>
      <c r="Q32" s="826"/>
      <c r="R32" s="828"/>
      <c r="S32" s="132"/>
    </row>
    <row r="33" spans="1:19" x14ac:dyDescent="0.25">
      <c r="A33" s="124"/>
      <c r="B33" s="809" t="s">
        <v>406</v>
      </c>
      <c r="C33" s="809"/>
      <c r="D33" s="809"/>
      <c r="E33" s="809"/>
      <c r="F33" s="809"/>
      <c r="G33" s="809" t="s">
        <v>407</v>
      </c>
      <c r="H33" s="809"/>
      <c r="I33" s="809"/>
      <c r="J33" s="809"/>
      <c r="K33" s="809" t="s">
        <v>408</v>
      </c>
      <c r="L33" s="809"/>
      <c r="M33" s="809" t="s">
        <v>409</v>
      </c>
      <c r="N33" s="809"/>
      <c r="O33" s="809"/>
      <c r="P33" s="809"/>
      <c r="Q33" s="809" t="s">
        <v>410</v>
      </c>
      <c r="R33" s="809"/>
      <c r="S33" s="124"/>
    </row>
    <row r="34" spans="1:19" ht="28.15" customHeight="1" x14ac:dyDescent="0.25">
      <c r="A34" s="89"/>
      <c r="B34" s="848" t="s">
        <v>411</v>
      </c>
      <c r="C34" s="846"/>
      <c r="D34" s="846"/>
      <c r="E34" s="846"/>
      <c r="F34" s="846"/>
      <c r="G34" s="846"/>
      <c r="H34" s="846"/>
      <c r="I34" s="846"/>
      <c r="J34" s="846"/>
      <c r="K34" s="846"/>
      <c r="L34" s="846"/>
      <c r="M34" s="846"/>
      <c r="N34" s="846"/>
      <c r="O34" s="846"/>
      <c r="P34" s="846"/>
      <c r="Q34" s="846"/>
      <c r="R34" s="846"/>
      <c r="S34" s="65"/>
    </row>
    <row r="35" spans="1:19" x14ac:dyDescent="0.25">
      <c r="A35" s="116" t="s">
        <v>412</v>
      </c>
      <c r="B35" s="826"/>
      <c r="C35" s="827"/>
      <c r="D35" s="827"/>
      <c r="E35" s="827"/>
      <c r="F35" s="828"/>
      <c r="G35" s="826"/>
      <c r="H35" s="827"/>
      <c r="I35" s="827"/>
      <c r="J35" s="827"/>
      <c r="K35" s="828"/>
      <c r="L35" s="826"/>
      <c r="M35" s="827"/>
      <c r="N35" s="828"/>
      <c r="O35" s="849"/>
      <c r="P35" s="827"/>
      <c r="Q35" s="827"/>
      <c r="R35" s="828"/>
      <c r="S35" s="132"/>
    </row>
    <row r="36" spans="1:19" x14ac:dyDescent="0.25">
      <c r="A36" s="124"/>
      <c r="B36" s="809" t="s">
        <v>406</v>
      </c>
      <c r="C36" s="809"/>
      <c r="D36" s="809"/>
      <c r="E36" s="809"/>
      <c r="F36" s="809"/>
      <c r="G36" s="809" t="s">
        <v>407</v>
      </c>
      <c r="H36" s="809"/>
      <c r="I36" s="809"/>
      <c r="J36" s="809"/>
      <c r="K36" s="809"/>
      <c r="L36" s="809" t="s">
        <v>408</v>
      </c>
      <c r="M36" s="809"/>
      <c r="N36" s="809"/>
      <c r="O36" s="809" t="s">
        <v>409</v>
      </c>
      <c r="P36" s="809"/>
      <c r="Q36" s="809"/>
      <c r="R36" s="809"/>
      <c r="S36" s="124"/>
    </row>
    <row r="37" spans="1:19" ht="6.6" customHeight="1" x14ac:dyDescent="0.25">
      <c r="A37" s="135"/>
      <c r="B37" s="838"/>
      <c r="C37" s="830"/>
      <c r="D37" s="830"/>
      <c r="E37" s="830"/>
      <c r="F37" s="830"/>
      <c r="G37" s="830"/>
      <c r="H37" s="830"/>
      <c r="I37" s="830"/>
      <c r="J37" s="830"/>
      <c r="K37" s="830"/>
      <c r="L37" s="830"/>
      <c r="M37" s="830"/>
      <c r="N37" s="830"/>
      <c r="O37" s="830"/>
      <c r="P37" s="830"/>
      <c r="Q37" s="830"/>
      <c r="R37" s="830"/>
      <c r="S37" s="124"/>
    </row>
    <row r="38" spans="1:19" x14ac:dyDescent="0.25">
      <c r="A38" s="116" t="s">
        <v>413</v>
      </c>
      <c r="B38" s="826"/>
      <c r="C38" s="827"/>
      <c r="D38" s="827"/>
      <c r="E38" s="827"/>
      <c r="F38" s="827"/>
      <c r="G38" s="827"/>
      <c r="H38" s="827"/>
      <c r="I38" s="827"/>
      <c r="J38" s="827"/>
      <c r="K38" s="827"/>
      <c r="L38" s="827"/>
      <c r="M38" s="827"/>
      <c r="N38" s="827"/>
      <c r="O38" s="827"/>
      <c r="P38" s="827"/>
      <c r="Q38" s="827"/>
      <c r="R38" s="828"/>
      <c r="S38" s="132"/>
    </row>
    <row r="39" spans="1:19" ht="8.4499999999999993" customHeight="1" x14ac:dyDescent="0.25">
      <c r="A39" s="131"/>
      <c r="B39" s="136"/>
      <c r="C39" s="136"/>
      <c r="D39" s="136"/>
      <c r="E39" s="136"/>
      <c r="F39" s="136"/>
      <c r="G39" s="136"/>
      <c r="H39" s="136"/>
      <c r="I39" s="136"/>
      <c r="J39" s="136"/>
      <c r="K39" s="136"/>
      <c r="L39" s="136"/>
      <c r="M39" s="136"/>
      <c r="N39" s="136"/>
      <c r="O39" s="136"/>
      <c r="P39" s="136"/>
      <c r="Q39" s="136"/>
      <c r="R39" s="136"/>
      <c r="S39" s="136"/>
    </row>
    <row r="40" spans="1:19" x14ac:dyDescent="0.25">
      <c r="A40" s="116" t="s">
        <v>414</v>
      </c>
      <c r="B40" s="826"/>
      <c r="C40" s="827"/>
      <c r="D40" s="827"/>
      <c r="E40" s="827"/>
      <c r="F40" s="827"/>
      <c r="G40" s="827"/>
      <c r="H40" s="827"/>
      <c r="I40" s="827"/>
      <c r="J40" s="827"/>
      <c r="K40" s="827"/>
      <c r="L40" s="827"/>
      <c r="M40" s="827"/>
      <c r="N40" s="827"/>
      <c r="O40" s="827"/>
      <c r="P40" s="827"/>
      <c r="Q40" s="827"/>
      <c r="R40" s="828"/>
      <c r="S40" s="132"/>
    </row>
    <row r="41" spans="1:19" ht="24.6" customHeight="1" x14ac:dyDescent="0.25">
      <c r="A41" s="137"/>
      <c r="B41" s="839" t="s">
        <v>415</v>
      </c>
      <c r="C41" s="840"/>
      <c r="D41" s="840"/>
      <c r="E41" s="840"/>
      <c r="F41" s="840"/>
      <c r="G41" s="840"/>
      <c r="H41" s="840"/>
      <c r="I41" s="840"/>
      <c r="J41" s="840"/>
      <c r="K41" s="840"/>
      <c r="L41" s="840"/>
      <c r="M41" s="840"/>
      <c r="N41" s="840"/>
      <c r="O41" s="840"/>
      <c r="P41" s="840"/>
      <c r="Q41" s="840"/>
      <c r="R41" s="841"/>
      <c r="S41" s="136"/>
    </row>
    <row r="42" spans="1:19" x14ac:dyDescent="0.25">
      <c r="A42" s="116" t="s">
        <v>416</v>
      </c>
      <c r="B42" s="842" t="s">
        <v>417</v>
      </c>
      <c r="C42" s="843"/>
      <c r="D42" s="843"/>
      <c r="E42" s="843"/>
      <c r="F42" s="843"/>
      <c r="G42" s="843"/>
      <c r="H42" s="843"/>
      <c r="I42" s="843"/>
      <c r="J42" s="843"/>
      <c r="K42" s="844"/>
      <c r="L42" s="138"/>
      <c r="M42" s="139"/>
      <c r="N42" s="139"/>
      <c r="O42" s="139"/>
      <c r="P42" s="139"/>
      <c r="Q42" s="139"/>
      <c r="R42" s="140"/>
      <c r="S42" s="124"/>
    </row>
    <row r="43" spans="1:19" x14ac:dyDescent="0.25">
      <c r="A43" s="124"/>
      <c r="B43" s="141"/>
      <c r="C43" s="142"/>
      <c r="D43" s="142"/>
      <c r="E43" s="142"/>
      <c r="F43" s="142"/>
      <c r="G43" s="142"/>
      <c r="H43" s="142"/>
      <c r="I43" s="142"/>
      <c r="J43" s="142"/>
      <c r="K43" s="143"/>
      <c r="L43" s="845" t="s">
        <v>418</v>
      </c>
      <c r="M43" s="846"/>
      <c r="N43" s="846"/>
      <c r="O43" s="846"/>
      <c r="P43" s="846"/>
      <c r="Q43" s="846"/>
      <c r="R43" s="847"/>
      <c r="S43" s="124"/>
    </row>
    <row r="44" spans="1:19" x14ac:dyDescent="0.25">
      <c r="A44" s="89"/>
      <c r="B44" s="141"/>
      <c r="C44" s="142"/>
      <c r="D44" s="142"/>
      <c r="E44" s="142"/>
      <c r="F44" s="142"/>
      <c r="G44" s="142"/>
      <c r="H44" s="142"/>
      <c r="I44" s="142"/>
      <c r="J44" s="142"/>
      <c r="K44" s="143"/>
      <c r="L44" s="144"/>
      <c r="M44" s="145"/>
      <c r="N44" s="145"/>
      <c r="O44" s="146" t="s">
        <v>419</v>
      </c>
      <c r="P44" s="145"/>
      <c r="Q44" s="134"/>
      <c r="R44" s="147"/>
      <c r="S44" s="65"/>
    </row>
    <row r="45" spans="1:19" ht="6.6" customHeight="1" x14ac:dyDescent="0.25">
      <c r="A45" s="89"/>
      <c r="B45" s="148"/>
      <c r="C45" s="149"/>
      <c r="D45" s="149"/>
      <c r="E45" s="149"/>
      <c r="F45" s="149"/>
      <c r="G45" s="149"/>
      <c r="H45" s="149"/>
      <c r="I45" s="149"/>
      <c r="J45" s="149"/>
      <c r="K45" s="150"/>
      <c r="L45" s="151"/>
      <c r="M45" s="152"/>
      <c r="N45" s="152"/>
      <c r="O45" s="153"/>
      <c r="P45" s="152"/>
      <c r="Q45" s="153"/>
      <c r="R45" s="154"/>
      <c r="S45" s="65"/>
    </row>
    <row r="46" spans="1:19" ht="7.9" customHeight="1" x14ac:dyDescent="0.25">
      <c r="A46" s="131"/>
      <c r="B46" s="830"/>
      <c r="C46" s="830"/>
      <c r="D46" s="830"/>
      <c r="E46" s="830"/>
      <c r="F46" s="830"/>
      <c r="G46" s="830"/>
      <c r="H46" s="830"/>
      <c r="I46" s="830"/>
      <c r="J46" s="830"/>
      <c r="K46" s="65"/>
      <c r="L46" s="831"/>
      <c r="M46" s="831"/>
      <c r="N46" s="831"/>
      <c r="O46" s="831"/>
      <c r="P46" s="831"/>
      <c r="Q46" s="831"/>
      <c r="R46" s="831"/>
      <c r="S46" s="136"/>
    </row>
    <row r="47" spans="1:19" x14ac:dyDescent="0.25">
      <c r="A47" s="124"/>
      <c r="B47" s="65"/>
      <c r="C47" s="65"/>
      <c r="D47" s="65"/>
      <c r="E47" s="65"/>
      <c r="F47" s="65"/>
      <c r="G47" s="65"/>
      <c r="H47" s="65"/>
      <c r="I47" s="65"/>
      <c r="J47" s="65"/>
      <c r="K47" s="155" t="s">
        <v>420</v>
      </c>
      <c r="L47" s="830"/>
      <c r="M47" s="830"/>
      <c r="N47" s="830"/>
      <c r="O47" s="830"/>
      <c r="P47" s="830"/>
      <c r="Q47" s="830"/>
      <c r="R47" s="830"/>
      <c r="S47" s="124"/>
    </row>
    <row r="48" spans="1:19" x14ac:dyDescent="0.25">
      <c r="A48" s="116" t="s">
        <v>421</v>
      </c>
      <c r="B48" s="826"/>
      <c r="C48" s="827"/>
      <c r="D48" s="827"/>
      <c r="E48" s="827"/>
      <c r="F48" s="827"/>
      <c r="G48" s="827"/>
      <c r="H48" s="827"/>
      <c r="I48" s="828"/>
      <c r="J48" s="65"/>
      <c r="K48" s="832" t="s">
        <v>422</v>
      </c>
      <c r="L48" s="833"/>
      <c r="M48" s="833"/>
      <c r="N48" s="833"/>
      <c r="O48" s="833"/>
      <c r="P48" s="833"/>
      <c r="Q48" s="833"/>
      <c r="R48" s="834"/>
      <c r="S48" s="65"/>
    </row>
    <row r="49" spans="1:19" x14ac:dyDescent="0.25">
      <c r="A49" s="124"/>
      <c r="B49" s="830" t="s">
        <v>423</v>
      </c>
      <c r="C49" s="830"/>
      <c r="D49" s="830"/>
      <c r="E49" s="830"/>
      <c r="F49" s="830"/>
      <c r="G49" s="830"/>
      <c r="H49" s="830"/>
      <c r="I49" s="830"/>
      <c r="J49" s="124"/>
      <c r="K49" s="835" t="s">
        <v>424</v>
      </c>
      <c r="L49" s="836"/>
      <c r="M49" s="836"/>
      <c r="N49" s="836"/>
      <c r="O49" s="835" t="s">
        <v>425</v>
      </c>
      <c r="P49" s="836"/>
      <c r="Q49" s="836"/>
      <c r="R49" s="837"/>
      <c r="S49" s="65"/>
    </row>
    <row r="50" spans="1:19" x14ac:dyDescent="0.25">
      <c r="A50" s="89"/>
      <c r="B50" s="65"/>
      <c r="C50" s="65"/>
      <c r="D50" s="65"/>
      <c r="E50" s="65"/>
      <c r="F50" s="65"/>
      <c r="G50" s="65"/>
      <c r="H50" s="65"/>
      <c r="I50" s="65"/>
      <c r="J50" s="65"/>
      <c r="K50" s="820"/>
      <c r="L50" s="821"/>
      <c r="M50" s="821"/>
      <c r="N50" s="822"/>
      <c r="O50" s="823"/>
      <c r="P50" s="824"/>
      <c r="Q50" s="824"/>
      <c r="R50" s="825"/>
      <c r="S50" s="65"/>
    </row>
    <row r="51" spans="1:19" x14ac:dyDescent="0.25">
      <c r="A51" s="116" t="s">
        <v>426</v>
      </c>
      <c r="B51" s="826"/>
      <c r="C51" s="827"/>
      <c r="D51" s="827"/>
      <c r="E51" s="827"/>
      <c r="F51" s="827"/>
      <c r="G51" s="827"/>
      <c r="H51" s="827"/>
      <c r="I51" s="828"/>
      <c r="J51" s="65"/>
      <c r="K51" s="810"/>
      <c r="L51" s="811"/>
      <c r="M51" s="811"/>
      <c r="N51" s="812"/>
      <c r="O51" s="829"/>
      <c r="P51" s="814"/>
      <c r="Q51" s="814"/>
      <c r="R51" s="815"/>
      <c r="S51" s="65"/>
    </row>
    <row r="52" spans="1:19" x14ac:dyDescent="0.25">
      <c r="A52" s="124"/>
      <c r="B52" s="830" t="s">
        <v>427</v>
      </c>
      <c r="C52" s="830"/>
      <c r="D52" s="830"/>
      <c r="E52" s="830"/>
      <c r="F52" s="830"/>
      <c r="G52" s="830"/>
      <c r="H52" s="830"/>
      <c r="I52" s="830"/>
      <c r="J52" s="65"/>
      <c r="K52" s="810"/>
      <c r="L52" s="811"/>
      <c r="M52" s="811"/>
      <c r="N52" s="812"/>
      <c r="O52" s="813"/>
      <c r="P52" s="814"/>
      <c r="Q52" s="814"/>
      <c r="R52" s="815"/>
      <c r="S52" s="65"/>
    </row>
    <row r="53" spans="1:19" x14ac:dyDescent="0.25">
      <c r="A53" s="89"/>
      <c r="B53" s="65"/>
      <c r="C53" s="65"/>
      <c r="D53" s="65"/>
      <c r="E53" s="65"/>
      <c r="F53" s="65"/>
      <c r="G53" s="65"/>
      <c r="H53" s="65"/>
      <c r="I53" s="65"/>
      <c r="J53" s="65"/>
      <c r="K53" s="810"/>
      <c r="L53" s="811"/>
      <c r="M53" s="811"/>
      <c r="N53" s="812"/>
      <c r="O53" s="813"/>
      <c r="P53" s="814"/>
      <c r="Q53" s="814"/>
      <c r="R53" s="815"/>
      <c r="S53" s="65"/>
    </row>
    <row r="54" spans="1:19" x14ac:dyDescent="0.25">
      <c r="A54" s="116" t="s">
        <v>428</v>
      </c>
      <c r="B54" s="816"/>
      <c r="C54" s="817"/>
      <c r="D54" s="817"/>
      <c r="E54" s="817"/>
      <c r="F54" s="817"/>
      <c r="G54" s="817"/>
      <c r="H54" s="817"/>
      <c r="I54" s="818"/>
      <c r="J54" s="65"/>
      <c r="K54" s="810"/>
      <c r="L54" s="811"/>
      <c r="M54" s="811"/>
      <c r="N54" s="812"/>
      <c r="O54" s="813"/>
      <c r="P54" s="814"/>
      <c r="Q54" s="814"/>
      <c r="R54" s="815"/>
      <c r="S54" s="65"/>
    </row>
    <row r="55" spans="1:19" x14ac:dyDescent="0.25">
      <c r="A55" s="124"/>
      <c r="B55" s="819" t="s">
        <v>429</v>
      </c>
      <c r="C55" s="819"/>
      <c r="D55" s="819"/>
      <c r="E55" s="819"/>
      <c r="F55" s="819"/>
      <c r="G55" s="819"/>
      <c r="H55" s="819"/>
      <c r="I55" s="819"/>
      <c r="J55" s="65"/>
      <c r="K55" s="810"/>
      <c r="L55" s="811"/>
      <c r="M55" s="811"/>
      <c r="N55" s="812"/>
      <c r="O55" s="813"/>
      <c r="P55" s="814"/>
      <c r="Q55" s="814"/>
      <c r="R55" s="815"/>
      <c r="S55" s="65"/>
    </row>
    <row r="56" spans="1:19" x14ac:dyDescent="0.25">
      <c r="A56" s="89"/>
      <c r="B56" s="156"/>
      <c r="C56" s="157"/>
      <c r="D56" s="157"/>
      <c r="E56" s="157"/>
      <c r="F56" s="157"/>
      <c r="G56" s="157"/>
      <c r="H56" s="157"/>
      <c r="I56" s="158"/>
      <c r="J56" s="65"/>
      <c r="K56" s="810"/>
      <c r="L56" s="811"/>
      <c r="M56" s="811"/>
      <c r="N56" s="812"/>
      <c r="O56" s="813"/>
      <c r="P56" s="814"/>
      <c r="Q56" s="814"/>
      <c r="R56" s="815"/>
      <c r="S56" s="65"/>
    </row>
    <row r="57" spans="1:19" x14ac:dyDescent="0.25">
      <c r="A57" s="89"/>
      <c r="B57" s="159"/>
      <c r="C57" s="160"/>
      <c r="D57" s="160"/>
      <c r="E57" s="160"/>
      <c r="F57" s="160"/>
      <c r="G57" s="160"/>
      <c r="H57" s="160"/>
      <c r="I57" s="161"/>
      <c r="J57" s="65"/>
      <c r="K57" s="810"/>
      <c r="L57" s="811"/>
      <c r="M57" s="811"/>
      <c r="N57" s="812"/>
      <c r="O57" s="813"/>
      <c r="P57" s="814"/>
      <c r="Q57" s="814"/>
      <c r="R57" s="815"/>
      <c r="S57" s="65"/>
    </row>
    <row r="58" spans="1:19" x14ac:dyDescent="0.25">
      <c r="A58" s="89"/>
      <c r="B58" s="159"/>
      <c r="C58" s="160"/>
      <c r="D58" s="160"/>
      <c r="E58" s="160"/>
      <c r="F58" s="160"/>
      <c r="G58" s="160"/>
      <c r="H58" s="160"/>
      <c r="I58" s="161"/>
      <c r="J58" s="65"/>
      <c r="K58" s="810"/>
      <c r="L58" s="811"/>
      <c r="M58" s="811"/>
      <c r="N58" s="812"/>
      <c r="O58" s="813"/>
      <c r="P58" s="814"/>
      <c r="Q58" s="814"/>
      <c r="R58" s="815"/>
      <c r="S58" s="65"/>
    </row>
    <row r="59" spans="1:19" x14ac:dyDescent="0.25">
      <c r="A59" s="124"/>
      <c r="B59" s="162"/>
      <c r="C59" s="128"/>
      <c r="D59" s="128"/>
      <c r="E59" s="128"/>
      <c r="F59" s="128"/>
      <c r="G59" s="128"/>
      <c r="H59" s="128"/>
      <c r="I59" s="129"/>
      <c r="J59" s="65"/>
      <c r="K59" s="803"/>
      <c r="L59" s="804"/>
      <c r="M59" s="804"/>
      <c r="N59" s="805"/>
      <c r="O59" s="806"/>
      <c r="P59" s="807"/>
      <c r="Q59" s="807"/>
      <c r="R59" s="808"/>
      <c r="S59" s="65"/>
    </row>
    <row r="60" spans="1:19" x14ac:dyDescent="0.25">
      <c r="A60" s="124"/>
      <c r="B60" s="809" t="s">
        <v>430</v>
      </c>
      <c r="C60" s="809"/>
      <c r="D60" s="809"/>
      <c r="E60" s="809"/>
      <c r="F60" s="809"/>
      <c r="G60" s="809"/>
      <c r="H60" s="809"/>
      <c r="I60" s="809"/>
      <c r="J60" s="65"/>
      <c r="K60" s="163"/>
      <c r="L60" s="163"/>
      <c r="M60" s="163"/>
      <c r="N60" s="163"/>
      <c r="O60" s="163"/>
      <c r="P60" s="163"/>
      <c r="Q60" s="163"/>
      <c r="R60" s="125"/>
      <c r="S60" s="65"/>
    </row>
    <row r="61" spans="1:19" x14ac:dyDescent="0.25">
      <c r="A61" s="164"/>
      <c r="B61" s="164"/>
      <c r="C61" s="164"/>
      <c r="D61" s="164"/>
      <c r="E61" s="164"/>
      <c r="F61" s="164"/>
      <c r="G61" s="164"/>
      <c r="H61" s="164"/>
      <c r="I61" s="164"/>
      <c r="J61" s="164"/>
      <c r="K61" s="164"/>
      <c r="L61" s="164"/>
      <c r="M61" s="164"/>
      <c r="N61" s="164"/>
      <c r="O61" s="164"/>
      <c r="P61" s="164"/>
      <c r="Q61" s="164"/>
      <c r="R61" s="164"/>
      <c r="S61" s="164"/>
    </row>
  </sheetData>
  <mergeCells count="113">
    <mergeCell ref="A7:B7"/>
    <mergeCell ref="C7:R7"/>
    <mergeCell ref="A8:D8"/>
    <mergeCell ref="E8:G8"/>
    <mergeCell ref="H8:K8"/>
    <mergeCell ref="L8:M8"/>
    <mergeCell ref="N8:P8"/>
    <mergeCell ref="Q8:R8"/>
    <mergeCell ref="A1:S1"/>
    <mergeCell ref="P2:R2"/>
    <mergeCell ref="A3:S3"/>
    <mergeCell ref="A5:E5"/>
    <mergeCell ref="F5:R5"/>
    <mergeCell ref="A6:L6"/>
    <mergeCell ref="M6:N6"/>
    <mergeCell ref="O6:R6"/>
    <mergeCell ref="B16:C16"/>
    <mergeCell ref="D16:G16"/>
    <mergeCell ref="M16:Q16"/>
    <mergeCell ref="B17:C17"/>
    <mergeCell ref="D17:G17"/>
    <mergeCell ref="L17:Q17"/>
    <mergeCell ref="A9:E9"/>
    <mergeCell ref="F9:R9"/>
    <mergeCell ref="J10:N10"/>
    <mergeCell ref="P10:R10"/>
    <mergeCell ref="J12:K12"/>
    <mergeCell ref="J14:K14"/>
    <mergeCell ref="L14:Q14"/>
    <mergeCell ref="B20:N20"/>
    <mergeCell ref="O20:R20"/>
    <mergeCell ref="A21:O21"/>
    <mergeCell ref="P21:R21"/>
    <mergeCell ref="C23:E23"/>
    <mergeCell ref="G23:K23"/>
    <mergeCell ref="N23:O23"/>
    <mergeCell ref="P23:R23"/>
    <mergeCell ref="C18:E18"/>
    <mergeCell ref="H18:K18"/>
    <mergeCell ref="O18:R18"/>
    <mergeCell ref="C19:E19"/>
    <mergeCell ref="H19:K19"/>
    <mergeCell ref="O19:R19"/>
    <mergeCell ref="B27:R27"/>
    <mergeCell ref="B29:N29"/>
    <mergeCell ref="O29:R29"/>
    <mergeCell ref="B30:N30"/>
    <mergeCell ref="O30:R30"/>
    <mergeCell ref="B31:R31"/>
    <mergeCell ref="C24:E24"/>
    <mergeCell ref="G24:K24"/>
    <mergeCell ref="N24:O24"/>
    <mergeCell ref="P24:R24"/>
    <mergeCell ref="B26:N26"/>
    <mergeCell ref="O26:R26"/>
    <mergeCell ref="B32:F32"/>
    <mergeCell ref="G32:J32"/>
    <mergeCell ref="K32:L32"/>
    <mergeCell ref="M32:P32"/>
    <mergeCell ref="Q32:R32"/>
    <mergeCell ref="B33:F33"/>
    <mergeCell ref="G33:J33"/>
    <mergeCell ref="K33:L33"/>
    <mergeCell ref="M33:P33"/>
    <mergeCell ref="Q33:R33"/>
    <mergeCell ref="B34:R34"/>
    <mergeCell ref="B35:F35"/>
    <mergeCell ref="G35:K35"/>
    <mergeCell ref="L35:N35"/>
    <mergeCell ref="O35:R35"/>
    <mergeCell ref="B36:F36"/>
    <mergeCell ref="G36:K36"/>
    <mergeCell ref="L36:N36"/>
    <mergeCell ref="O36:R36"/>
    <mergeCell ref="B46:J46"/>
    <mergeCell ref="L46:R46"/>
    <mergeCell ref="L47:R47"/>
    <mergeCell ref="B48:I48"/>
    <mergeCell ref="K48:R48"/>
    <mergeCell ref="B49:I49"/>
    <mergeCell ref="K49:N49"/>
    <mergeCell ref="O49:R49"/>
    <mergeCell ref="B37:R37"/>
    <mergeCell ref="B38:R38"/>
    <mergeCell ref="B40:R40"/>
    <mergeCell ref="B41:R41"/>
    <mergeCell ref="B42:K42"/>
    <mergeCell ref="L43:R43"/>
    <mergeCell ref="K53:N53"/>
    <mergeCell ref="O53:R53"/>
    <mergeCell ref="B54:I54"/>
    <mergeCell ref="K54:N54"/>
    <mergeCell ref="O54:R54"/>
    <mergeCell ref="B55:I55"/>
    <mergeCell ref="K55:N55"/>
    <mergeCell ref="O55:R55"/>
    <mergeCell ref="K50:N50"/>
    <mergeCell ref="O50:R50"/>
    <mergeCell ref="B51:I51"/>
    <mergeCell ref="K51:N51"/>
    <mergeCell ref="O51:R51"/>
    <mergeCell ref="B52:I52"/>
    <mergeCell ref="K52:N52"/>
    <mergeCell ref="O52:R52"/>
    <mergeCell ref="K59:N59"/>
    <mergeCell ref="O59:R59"/>
    <mergeCell ref="B60:I60"/>
    <mergeCell ref="K56:N56"/>
    <mergeCell ref="O56:R56"/>
    <mergeCell ref="K57:N57"/>
    <mergeCell ref="O57:R57"/>
    <mergeCell ref="K58:N58"/>
    <mergeCell ref="O58:R58"/>
  </mergeCells>
  <dataValidations count="2">
    <dataValidation type="list" allowBlank="1" showInputMessage="1" showErrorMessage="1" sqref="O18:R18" xr:uid="{05D43AF4-1BA3-4CCC-B388-4A36D78B910A}">
      <formula1>CodeNomenclature</formula1>
    </dataValidation>
    <dataValidation type="list" allowBlank="1" showInputMessage="1" showErrorMessage="1" sqref="O44" xr:uid="{858A83A9-F89E-4522-BFEE-EDB8C6D37640}">
      <formula1>"OUI,NON"</formula1>
    </dataValidation>
  </dataValidations>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D890DA-B935-497E-A95A-820AFF401645}">
  <dimension ref="A1:AJ28"/>
  <sheetViews>
    <sheetView workbookViewId="0">
      <selection activeCell="AN5" sqref="AN5"/>
    </sheetView>
  </sheetViews>
  <sheetFormatPr baseColWidth="10" defaultRowHeight="15" x14ac:dyDescent="0.25"/>
  <cols>
    <col min="1" max="1" width="3.7109375" customWidth="1"/>
    <col min="2" max="2" width="2.5703125" customWidth="1"/>
    <col min="3" max="15" width="2.7109375" customWidth="1"/>
    <col min="16" max="16" width="3.7109375" customWidth="1"/>
    <col min="17" max="20" width="2.7109375" customWidth="1"/>
    <col min="21" max="21" width="2.28515625" customWidth="1"/>
    <col min="22" max="22" width="3.5703125" customWidth="1"/>
    <col min="23" max="23" width="3.7109375" customWidth="1"/>
    <col min="24" max="33" width="2.7109375" customWidth="1"/>
    <col min="34" max="35" width="3.28515625" customWidth="1"/>
    <col min="36" max="36" width="2.7109375" customWidth="1"/>
  </cols>
  <sheetData>
    <row r="1" spans="1:36" x14ac:dyDescent="0.25">
      <c r="A1" s="791" t="s">
        <v>431</v>
      </c>
      <c r="B1" s="791"/>
      <c r="C1" s="791"/>
      <c r="D1" s="791"/>
      <c r="E1" s="791"/>
      <c r="F1" s="791"/>
      <c r="G1" s="791"/>
      <c r="H1" s="791"/>
      <c r="I1" s="791"/>
      <c r="J1" s="791"/>
      <c r="K1" s="791"/>
      <c r="L1" s="791"/>
      <c r="M1" s="791"/>
      <c r="N1" s="791"/>
      <c r="O1" s="791"/>
      <c r="P1" s="791"/>
      <c r="Q1" s="791"/>
      <c r="R1" s="791"/>
      <c r="S1" s="791"/>
      <c r="T1" s="791"/>
      <c r="U1" s="791"/>
      <c r="V1" s="791"/>
      <c r="W1" s="791"/>
      <c r="X1" s="791"/>
      <c r="Y1" s="791"/>
      <c r="Z1" s="791"/>
      <c r="AA1" s="791"/>
      <c r="AB1" s="791"/>
      <c r="AC1" s="791"/>
      <c r="AD1" s="791"/>
      <c r="AE1" s="791"/>
      <c r="AF1" s="791"/>
      <c r="AG1" s="791"/>
      <c r="AH1" s="791"/>
      <c r="AI1" s="791"/>
      <c r="AJ1" s="791"/>
    </row>
    <row r="2" spans="1:36" x14ac:dyDescent="0.25">
      <c r="A2" s="83"/>
      <c r="B2" s="83"/>
      <c r="C2" s="83"/>
      <c r="D2" s="83"/>
      <c r="E2" s="83"/>
      <c r="F2" s="83"/>
      <c r="G2" s="83"/>
      <c r="H2" s="83"/>
      <c r="I2" s="83"/>
      <c r="J2" s="83"/>
      <c r="K2" s="83"/>
      <c r="L2" s="83"/>
      <c r="M2" s="83"/>
      <c r="N2" s="83"/>
      <c r="O2" s="83"/>
      <c r="P2" s="83"/>
      <c r="Q2" s="83"/>
      <c r="R2" s="83"/>
      <c r="S2" s="83"/>
      <c r="T2" s="83"/>
      <c r="U2" s="83"/>
      <c r="V2" s="83"/>
      <c r="W2" s="83"/>
      <c r="X2" s="83"/>
      <c r="Y2" s="83"/>
      <c r="Z2" s="83"/>
      <c r="AA2" s="83"/>
      <c r="AB2" s="83"/>
      <c r="AC2" s="83"/>
      <c r="AD2" s="83"/>
      <c r="AE2" s="83"/>
      <c r="AF2" s="83"/>
      <c r="AG2" s="83"/>
      <c r="AH2" s="83"/>
      <c r="AI2" s="83"/>
      <c r="AJ2" s="83"/>
    </row>
    <row r="3" spans="1:36" x14ac:dyDescent="0.25">
      <c r="A3" s="83"/>
      <c r="B3" s="83"/>
      <c r="C3" s="83"/>
      <c r="D3" s="83"/>
      <c r="E3" s="83"/>
      <c r="F3" s="83"/>
      <c r="G3" s="83"/>
      <c r="H3" s="83"/>
      <c r="I3" s="83"/>
      <c r="J3" s="83"/>
      <c r="K3" s="83"/>
      <c r="L3" s="83"/>
      <c r="M3" s="83"/>
      <c r="N3" s="83"/>
      <c r="O3" s="83"/>
      <c r="P3" s="83"/>
      <c r="Q3" s="83"/>
      <c r="R3" s="83"/>
      <c r="S3" s="83"/>
      <c r="T3" s="83"/>
      <c r="U3" s="83"/>
      <c r="V3" s="83"/>
      <c r="W3" s="83"/>
      <c r="X3" s="83"/>
      <c r="Y3" s="83"/>
      <c r="Z3" s="83"/>
      <c r="AA3" s="83"/>
      <c r="AB3" s="111"/>
      <c r="AC3" s="111"/>
      <c r="AD3" s="903"/>
      <c r="AE3" s="903"/>
      <c r="AF3" s="903"/>
      <c r="AG3" s="903"/>
      <c r="AH3" s="903"/>
      <c r="AI3" s="903"/>
      <c r="AJ3" s="903"/>
    </row>
    <row r="4" spans="1:36" ht="15.75" x14ac:dyDescent="0.25">
      <c r="A4" s="921" t="s">
        <v>432</v>
      </c>
      <c r="B4" s="921"/>
      <c r="C4" s="921"/>
      <c r="D4" s="921"/>
      <c r="E4" s="921"/>
      <c r="F4" s="921"/>
      <c r="G4" s="921"/>
      <c r="H4" s="921"/>
      <c r="I4" s="921"/>
      <c r="J4" s="921"/>
      <c r="K4" s="921"/>
      <c r="L4" s="921"/>
      <c r="M4" s="921"/>
      <c r="N4" s="921"/>
      <c r="O4" s="921"/>
      <c r="P4" s="921"/>
      <c r="Q4" s="921"/>
      <c r="R4" s="921"/>
      <c r="S4" s="921"/>
      <c r="T4" s="921"/>
      <c r="U4" s="921"/>
      <c r="V4" s="921"/>
      <c r="W4" s="921"/>
      <c r="X4" s="921"/>
      <c r="Y4" s="921"/>
      <c r="Z4" s="921"/>
      <c r="AA4" s="921"/>
      <c r="AB4" s="921"/>
      <c r="AC4" s="921"/>
      <c r="AD4" s="921"/>
      <c r="AE4" s="921"/>
      <c r="AF4" s="921"/>
      <c r="AG4" s="921"/>
      <c r="AH4" s="921"/>
      <c r="AI4" s="921"/>
      <c r="AJ4" s="921"/>
    </row>
    <row r="5" spans="1:36" x14ac:dyDescent="0.25">
      <c r="A5" s="65"/>
      <c r="B5" s="65"/>
      <c r="C5" s="65"/>
      <c r="D5" s="65"/>
      <c r="E5" s="65"/>
      <c r="F5" s="65"/>
      <c r="G5" s="65"/>
      <c r="H5" s="65"/>
      <c r="I5" s="65"/>
      <c r="J5" s="83"/>
      <c r="K5" s="83"/>
      <c r="L5" s="83"/>
      <c r="M5" s="83"/>
      <c r="N5" s="83"/>
      <c r="O5" s="83"/>
      <c r="P5" s="83"/>
      <c r="Q5" s="83"/>
      <c r="R5" s="83"/>
      <c r="S5" s="83"/>
      <c r="T5" s="83"/>
      <c r="U5" s="83"/>
      <c r="V5" s="83"/>
      <c r="W5" s="83"/>
      <c r="X5" s="83"/>
      <c r="Y5" s="83"/>
      <c r="Z5" s="83"/>
      <c r="AA5" s="83"/>
      <c r="AB5" s="83"/>
      <c r="AC5" s="83"/>
      <c r="AD5" s="83"/>
      <c r="AE5" s="83"/>
      <c r="AF5" s="83"/>
      <c r="AG5" s="83"/>
      <c r="AH5" s="83"/>
      <c r="AI5" s="83"/>
      <c r="AJ5" s="83"/>
    </row>
    <row r="6" spans="1:36" x14ac:dyDescent="0.25">
      <c r="A6" s="897" t="s">
        <v>361</v>
      </c>
      <c r="B6" s="897"/>
      <c r="C6" s="897"/>
      <c r="D6" s="897"/>
      <c r="E6" s="897"/>
      <c r="F6" s="897"/>
      <c r="G6" s="897"/>
      <c r="H6" s="897"/>
      <c r="I6" s="897"/>
      <c r="J6" s="896" t="s">
        <v>2</v>
      </c>
      <c r="K6" s="896"/>
      <c r="L6" s="896"/>
      <c r="M6" s="896"/>
      <c r="N6" s="896"/>
      <c r="O6" s="896"/>
      <c r="P6" s="896"/>
      <c r="Q6" s="896"/>
      <c r="R6" s="896"/>
      <c r="S6" s="896"/>
      <c r="T6" s="896"/>
      <c r="U6" s="896"/>
      <c r="V6" s="896"/>
      <c r="W6" s="896"/>
      <c r="X6" s="896"/>
      <c r="Y6" s="896"/>
      <c r="Z6" s="896"/>
      <c r="AA6" s="896"/>
      <c r="AB6" s="896"/>
      <c r="AC6" s="896"/>
      <c r="AD6" s="896"/>
      <c r="AE6" s="896"/>
      <c r="AF6" s="896"/>
      <c r="AG6" s="896"/>
      <c r="AH6" s="896"/>
      <c r="AI6" s="896"/>
      <c r="AJ6" s="896"/>
    </row>
    <row r="7" spans="1:36" x14ac:dyDescent="0.25">
      <c r="A7" s="920" t="s">
        <v>4</v>
      </c>
      <c r="B7" s="896"/>
      <c r="C7" s="896"/>
      <c r="D7" s="896"/>
      <c r="E7" s="896"/>
      <c r="F7" s="896"/>
      <c r="G7" s="896"/>
      <c r="H7" s="896"/>
      <c r="I7" s="896"/>
      <c r="J7" s="896"/>
      <c r="K7" s="896"/>
      <c r="L7" s="896"/>
      <c r="M7" s="896"/>
      <c r="N7" s="896"/>
      <c r="O7" s="896"/>
      <c r="P7" s="896"/>
      <c r="Q7" s="896"/>
      <c r="R7" s="896"/>
      <c r="S7" s="896"/>
      <c r="T7" s="896"/>
      <c r="U7" s="896"/>
      <c r="V7" s="896"/>
      <c r="W7" s="905" t="s">
        <v>362</v>
      </c>
      <c r="X7" s="905"/>
      <c r="Y7" s="905"/>
      <c r="Z7" s="905"/>
      <c r="AA7" s="905"/>
      <c r="AB7" s="896" t="s">
        <v>6</v>
      </c>
      <c r="AC7" s="896"/>
      <c r="AD7" s="896"/>
      <c r="AE7" s="896"/>
      <c r="AF7" s="896"/>
      <c r="AG7" s="896"/>
      <c r="AH7" s="896"/>
      <c r="AI7" s="896"/>
      <c r="AJ7" s="896"/>
    </row>
    <row r="8" spans="1:36" x14ac:dyDescent="0.25">
      <c r="A8" s="895" t="s">
        <v>363</v>
      </c>
      <c r="B8" s="895"/>
      <c r="C8" s="895"/>
      <c r="D8" s="918">
        <v>4431</v>
      </c>
      <c r="E8" s="918"/>
      <c r="F8" s="918"/>
      <c r="G8" s="918"/>
      <c r="H8" s="918"/>
      <c r="I8" s="918"/>
      <c r="J8" s="918"/>
      <c r="K8" s="918"/>
      <c r="L8" s="918"/>
      <c r="M8" s="918"/>
      <c r="N8" s="918"/>
      <c r="O8" s="918"/>
      <c r="P8" s="918"/>
      <c r="Q8" s="918"/>
      <c r="R8" s="918"/>
      <c r="S8" s="918"/>
      <c r="T8" s="918"/>
      <c r="U8" s="918"/>
      <c r="V8" s="918"/>
      <c r="W8" s="918"/>
      <c r="X8" s="918"/>
      <c r="Y8" s="918"/>
      <c r="Z8" s="918"/>
      <c r="AA8" s="918"/>
      <c r="AB8" s="918"/>
      <c r="AC8" s="918"/>
      <c r="AD8" s="918"/>
      <c r="AE8" s="918"/>
      <c r="AF8" s="918"/>
      <c r="AG8" s="918"/>
      <c r="AH8" s="918"/>
      <c r="AI8" s="918"/>
      <c r="AJ8" s="918"/>
    </row>
    <row r="9" spans="1:36" x14ac:dyDescent="0.25">
      <c r="A9" s="165" t="s">
        <v>364</v>
      </c>
      <c r="B9" s="165"/>
      <c r="C9" s="83"/>
      <c r="D9" s="83"/>
      <c r="E9" s="83"/>
      <c r="F9" s="83"/>
      <c r="G9" s="83"/>
      <c r="H9" s="166"/>
      <c r="I9" s="898" t="s">
        <v>12</v>
      </c>
      <c r="J9" s="898"/>
      <c r="K9" s="898"/>
      <c r="L9" s="898"/>
      <c r="M9" s="898"/>
      <c r="N9" s="898"/>
      <c r="O9" s="898"/>
      <c r="P9" s="898"/>
      <c r="Q9" s="919" t="s">
        <v>365</v>
      </c>
      <c r="R9" s="919"/>
      <c r="S9" s="919"/>
      <c r="T9" s="919"/>
      <c r="U9" s="919"/>
      <c r="V9" s="919"/>
      <c r="W9" s="900">
        <v>46022</v>
      </c>
      <c r="X9" s="901"/>
      <c r="Y9" s="901"/>
      <c r="Z9" s="901"/>
      <c r="AA9" s="901"/>
      <c r="AB9" s="919" t="s">
        <v>366</v>
      </c>
      <c r="AC9" s="919"/>
      <c r="AD9" s="919"/>
      <c r="AE9" s="919"/>
      <c r="AF9" s="919"/>
      <c r="AG9" s="919"/>
      <c r="AH9" s="901">
        <v>12</v>
      </c>
      <c r="AI9" s="901"/>
      <c r="AJ9" s="901"/>
    </row>
    <row r="10" spans="1:36" x14ac:dyDescent="0.25">
      <c r="A10" s="897" t="s">
        <v>367</v>
      </c>
      <c r="B10" s="897"/>
      <c r="C10" s="897"/>
      <c r="D10" s="897"/>
      <c r="E10" s="897"/>
      <c r="F10" s="897"/>
      <c r="G10" s="897"/>
      <c r="H10" s="897"/>
      <c r="I10" s="911" t="s">
        <v>8</v>
      </c>
      <c r="J10" s="911"/>
      <c r="K10" s="911"/>
      <c r="L10" s="911"/>
      <c r="M10" s="911"/>
      <c r="N10" s="911"/>
      <c r="O10" s="911"/>
      <c r="P10" s="911"/>
      <c r="Q10" s="911"/>
      <c r="R10" s="911"/>
      <c r="S10" s="911"/>
      <c r="T10" s="911"/>
      <c r="U10" s="911"/>
      <c r="V10" s="911"/>
      <c r="W10" s="911"/>
      <c r="X10" s="911"/>
      <c r="Y10" s="911"/>
      <c r="Z10" s="911"/>
      <c r="AA10" s="911"/>
      <c r="AB10" s="911"/>
      <c r="AC10" s="911"/>
      <c r="AD10" s="911"/>
      <c r="AE10" s="911"/>
      <c r="AF10" s="911"/>
      <c r="AG10" s="911"/>
      <c r="AH10" s="911"/>
      <c r="AI10" s="911"/>
      <c r="AJ10" s="911"/>
    </row>
    <row r="11" spans="1:36" x14ac:dyDescent="0.25">
      <c r="A11" s="165"/>
      <c r="B11" s="165"/>
      <c r="C11" s="83"/>
      <c r="D11" s="83"/>
      <c r="E11" s="83"/>
      <c r="F11" s="83"/>
      <c r="G11" s="83"/>
      <c r="H11" s="166"/>
      <c r="I11" s="122"/>
      <c r="J11" s="122"/>
      <c r="K11" s="122"/>
      <c r="L11" s="122"/>
      <c r="M11" s="122"/>
      <c r="N11" s="122"/>
      <c r="O11" s="122"/>
      <c r="P11" s="122"/>
      <c r="Q11" s="112"/>
      <c r="R11" s="112"/>
      <c r="S11" s="112"/>
      <c r="T11" s="112"/>
      <c r="U11" s="112"/>
      <c r="V11" s="112"/>
      <c r="W11" s="168"/>
      <c r="X11" s="168"/>
      <c r="Y11" s="168"/>
      <c r="Z11" s="168"/>
      <c r="AA11" s="168"/>
      <c r="AB11" s="112"/>
      <c r="AC11" s="112"/>
      <c r="AD11" s="112"/>
      <c r="AE11" s="112"/>
      <c r="AF11" s="112"/>
      <c r="AG11" s="112"/>
      <c r="AH11" s="131"/>
      <c r="AI11" s="131"/>
      <c r="AJ11" s="131"/>
    </row>
    <row r="12" spans="1:36" x14ac:dyDescent="0.25">
      <c r="A12" s="169"/>
      <c r="B12" s="170"/>
      <c r="C12" s="170"/>
      <c r="D12" s="170"/>
      <c r="E12" s="170"/>
      <c r="F12" s="170"/>
      <c r="G12" s="170"/>
      <c r="H12" s="170"/>
      <c r="I12" s="170"/>
      <c r="J12" s="170"/>
      <c r="K12" s="170"/>
      <c r="L12" s="170"/>
      <c r="M12" s="170"/>
      <c r="N12" s="170"/>
      <c r="O12" s="170"/>
      <c r="P12" s="170"/>
      <c r="Q12" s="170"/>
      <c r="R12" s="170"/>
      <c r="S12" s="171"/>
      <c r="T12" s="125"/>
      <c r="U12" s="172"/>
      <c r="V12" s="912" t="s">
        <v>433</v>
      </c>
      <c r="W12" s="913"/>
      <c r="X12" s="913"/>
      <c r="Y12" s="913"/>
      <c r="Z12" s="913"/>
      <c r="AA12" s="913"/>
      <c r="AB12" s="913"/>
      <c r="AC12" s="913"/>
      <c r="AD12" s="913"/>
      <c r="AE12" s="913"/>
      <c r="AF12" s="913"/>
      <c r="AG12" s="913"/>
      <c r="AH12" s="913"/>
      <c r="AI12" s="913"/>
      <c r="AJ12" s="914"/>
    </row>
    <row r="13" spans="1:36" ht="17.25" x14ac:dyDescent="0.25">
      <c r="A13" s="116" t="s">
        <v>434</v>
      </c>
      <c r="B13" s="66"/>
      <c r="C13" s="173" t="s">
        <v>435</v>
      </c>
      <c r="D13" s="66"/>
      <c r="E13" s="66"/>
      <c r="F13" s="66"/>
      <c r="G13" s="66"/>
      <c r="H13" s="66"/>
      <c r="I13" s="66"/>
      <c r="J13" s="66"/>
      <c r="K13" s="66"/>
      <c r="L13" s="66"/>
      <c r="M13" s="66"/>
      <c r="N13" s="65"/>
      <c r="O13" s="65"/>
      <c r="P13" s="65"/>
      <c r="Q13" s="906"/>
      <c r="R13" s="907"/>
      <c r="S13" s="117"/>
      <c r="T13" s="65"/>
      <c r="U13" s="65"/>
      <c r="V13" s="174"/>
      <c r="W13" s="175"/>
      <c r="X13" s="65"/>
      <c r="Y13" s="65"/>
      <c r="Z13" s="65"/>
      <c r="AA13" s="65"/>
      <c r="AB13" s="65"/>
      <c r="AC13" s="65"/>
      <c r="AD13" s="65"/>
      <c r="AE13" s="65"/>
      <c r="AF13" s="65"/>
      <c r="AG13" s="65"/>
      <c r="AH13" s="125"/>
      <c r="AI13" s="176"/>
      <c r="AJ13" s="177"/>
    </row>
    <row r="14" spans="1:36" x14ac:dyDescent="0.25">
      <c r="A14" s="178"/>
      <c r="B14" s="66"/>
      <c r="C14" s="66"/>
      <c r="D14" s="66"/>
      <c r="E14" s="66"/>
      <c r="F14" s="66"/>
      <c r="G14" s="66"/>
      <c r="H14" s="66"/>
      <c r="I14" s="66"/>
      <c r="J14" s="66"/>
      <c r="K14" s="66"/>
      <c r="L14" s="66"/>
      <c r="M14" s="66"/>
      <c r="N14" s="65"/>
      <c r="O14" s="65"/>
      <c r="P14" s="65"/>
      <c r="Q14" s="66"/>
      <c r="R14" s="66"/>
      <c r="S14" s="117"/>
      <c r="T14" s="65"/>
      <c r="U14" s="65"/>
      <c r="V14" s="179"/>
      <c r="W14" s="65"/>
      <c r="X14" s="65"/>
      <c r="Y14" s="65"/>
      <c r="Z14" s="65"/>
      <c r="AA14" s="65"/>
      <c r="AB14" s="65"/>
      <c r="AC14" s="65"/>
      <c r="AD14" s="65"/>
      <c r="AE14" s="65"/>
      <c r="AF14" s="65"/>
      <c r="AG14" s="65"/>
      <c r="AH14" s="65"/>
      <c r="AI14" s="65"/>
      <c r="AJ14" s="177"/>
    </row>
    <row r="15" spans="1:36" ht="17.25" x14ac:dyDescent="0.25">
      <c r="A15" s="116" t="s">
        <v>436</v>
      </c>
      <c r="B15" s="66"/>
      <c r="C15" s="173" t="s">
        <v>437</v>
      </c>
      <c r="D15" s="66"/>
      <c r="E15" s="66"/>
      <c r="F15" s="66"/>
      <c r="G15" s="66"/>
      <c r="H15" s="66"/>
      <c r="I15" s="66"/>
      <c r="J15" s="66"/>
      <c r="K15" s="66"/>
      <c r="L15" s="66"/>
      <c r="M15" s="66"/>
      <c r="N15" s="65"/>
      <c r="O15" s="65"/>
      <c r="P15" s="65"/>
      <c r="Q15" s="180"/>
      <c r="R15" s="181"/>
      <c r="S15" s="117"/>
      <c r="T15" s="65"/>
      <c r="U15" s="65"/>
      <c r="V15" s="182"/>
      <c r="W15" s="915" t="s">
        <v>438</v>
      </c>
      <c r="X15" s="916"/>
      <c r="Y15" s="916"/>
      <c r="Z15" s="916"/>
      <c r="AA15" s="916"/>
      <c r="AB15" s="916"/>
      <c r="AC15" s="916"/>
      <c r="AD15" s="916"/>
      <c r="AE15" s="916"/>
      <c r="AF15" s="916"/>
      <c r="AG15" s="916"/>
      <c r="AH15" s="916"/>
      <c r="AI15" s="917"/>
      <c r="AJ15" s="177"/>
    </row>
    <row r="16" spans="1:36" x14ac:dyDescent="0.25">
      <c r="A16" s="178"/>
      <c r="B16" s="66"/>
      <c r="C16" s="66"/>
      <c r="D16" s="66"/>
      <c r="E16" s="66"/>
      <c r="F16" s="66"/>
      <c r="G16" s="66"/>
      <c r="H16" s="66"/>
      <c r="I16" s="66"/>
      <c r="J16" s="66"/>
      <c r="K16" s="66"/>
      <c r="L16" s="66"/>
      <c r="M16" s="66"/>
      <c r="N16" s="65"/>
      <c r="O16" s="65"/>
      <c r="P16" s="65"/>
      <c r="Q16" s="66"/>
      <c r="R16" s="66"/>
      <c r="S16" s="117"/>
      <c r="T16" s="65"/>
      <c r="U16" s="65"/>
      <c r="V16" s="179"/>
      <c r="W16" s="65"/>
      <c r="X16" s="65"/>
      <c r="Y16" s="65"/>
      <c r="Z16" s="65"/>
      <c r="AA16" s="65"/>
      <c r="AB16" s="65"/>
      <c r="AC16" s="65"/>
      <c r="AD16" s="65"/>
      <c r="AE16" s="65"/>
      <c r="AF16" s="65"/>
      <c r="AG16" s="65"/>
      <c r="AH16" s="65"/>
      <c r="AI16" s="65"/>
      <c r="AJ16" s="177"/>
    </row>
    <row r="17" spans="1:36" ht="17.25" x14ac:dyDescent="0.25">
      <c r="A17" s="116" t="s">
        <v>439</v>
      </c>
      <c r="B17" s="66"/>
      <c r="C17" s="173" t="s">
        <v>440</v>
      </c>
      <c r="D17" s="66"/>
      <c r="E17" s="66"/>
      <c r="F17" s="66"/>
      <c r="G17" s="66"/>
      <c r="H17" s="66"/>
      <c r="I17" s="66"/>
      <c r="J17" s="66"/>
      <c r="K17" s="66"/>
      <c r="L17" s="66"/>
      <c r="M17" s="66"/>
      <c r="N17" s="65"/>
      <c r="O17" s="65"/>
      <c r="P17" s="65"/>
      <c r="Q17" s="906"/>
      <c r="R17" s="907"/>
      <c r="S17" s="117"/>
      <c r="T17" s="65"/>
      <c r="U17" s="65"/>
      <c r="V17" s="182"/>
      <c r="W17" s="175"/>
      <c r="X17" s="65"/>
      <c r="Y17" s="65"/>
      <c r="Z17" s="65"/>
      <c r="AA17" s="65"/>
      <c r="AB17" s="65"/>
      <c r="AC17" s="65"/>
      <c r="AD17" s="65"/>
      <c r="AE17" s="65"/>
      <c r="AF17" s="65"/>
      <c r="AG17" s="65"/>
      <c r="AH17" s="65"/>
      <c r="AI17" s="183"/>
      <c r="AJ17" s="177"/>
    </row>
    <row r="18" spans="1:36" x14ac:dyDescent="0.25">
      <c r="A18" s="178"/>
      <c r="B18" s="66"/>
      <c r="C18" s="66"/>
      <c r="D18" s="66"/>
      <c r="E18" s="66"/>
      <c r="F18" s="66"/>
      <c r="G18" s="66"/>
      <c r="H18" s="66"/>
      <c r="I18" s="66"/>
      <c r="J18" s="66"/>
      <c r="K18" s="66"/>
      <c r="L18" s="66"/>
      <c r="M18" s="66"/>
      <c r="N18" s="65"/>
      <c r="O18" s="65"/>
      <c r="P18" s="65"/>
      <c r="Q18" s="66"/>
      <c r="R18" s="66"/>
      <c r="S18" s="117"/>
      <c r="T18" s="65"/>
      <c r="U18" s="65"/>
      <c r="V18" s="179"/>
      <c r="W18" s="65"/>
      <c r="X18" s="65"/>
      <c r="Y18" s="65"/>
      <c r="Z18" s="65"/>
      <c r="AA18" s="65"/>
      <c r="AB18" s="65"/>
      <c r="AC18" s="65"/>
      <c r="AD18" s="65"/>
      <c r="AE18" s="65"/>
      <c r="AF18" s="65"/>
      <c r="AG18" s="65"/>
      <c r="AH18" s="65"/>
      <c r="AI18" s="65"/>
      <c r="AJ18" s="177"/>
    </row>
    <row r="19" spans="1:36" x14ac:dyDescent="0.25">
      <c r="A19" s="116" t="s">
        <v>441</v>
      </c>
      <c r="B19" s="83"/>
      <c r="C19" s="184" t="s">
        <v>442</v>
      </c>
      <c r="D19" s="66"/>
      <c r="E19" s="66"/>
      <c r="F19" s="66"/>
      <c r="G19" s="66"/>
      <c r="H19" s="66"/>
      <c r="I19" s="66"/>
      <c r="J19" s="66"/>
      <c r="K19" s="66"/>
      <c r="L19" s="66"/>
      <c r="M19" s="66"/>
      <c r="N19" s="65"/>
      <c r="O19" s="65"/>
      <c r="P19" s="65"/>
      <c r="Q19" s="906"/>
      <c r="R19" s="907"/>
      <c r="S19" s="117"/>
      <c r="T19" s="65"/>
      <c r="U19" s="65"/>
      <c r="V19" s="179"/>
      <c r="W19" s="65"/>
      <c r="X19" s="65"/>
      <c r="Y19" s="65"/>
      <c r="Z19" s="65"/>
      <c r="AA19" s="65"/>
      <c r="AB19" s="65"/>
      <c r="AC19" s="65"/>
      <c r="AD19" s="65"/>
      <c r="AE19" s="65"/>
      <c r="AF19" s="65"/>
      <c r="AG19" s="65"/>
      <c r="AH19" s="65"/>
      <c r="AI19" s="65"/>
      <c r="AJ19" s="177"/>
    </row>
    <row r="20" spans="1:36" x14ac:dyDescent="0.25">
      <c r="A20" s="178"/>
      <c r="B20" s="66"/>
      <c r="C20" s="66"/>
      <c r="D20" s="66"/>
      <c r="E20" s="66"/>
      <c r="F20" s="66"/>
      <c r="G20" s="66"/>
      <c r="H20" s="66"/>
      <c r="I20" s="66"/>
      <c r="J20" s="66"/>
      <c r="K20" s="66"/>
      <c r="L20" s="66"/>
      <c r="M20" s="66"/>
      <c r="N20" s="65"/>
      <c r="O20" s="65"/>
      <c r="P20" s="65"/>
      <c r="Q20" s="66"/>
      <c r="R20" s="66"/>
      <c r="S20" s="117"/>
      <c r="T20" s="65"/>
      <c r="U20" s="65"/>
      <c r="V20" s="179"/>
      <c r="W20" s="65"/>
      <c r="X20" s="65"/>
      <c r="Y20" s="65"/>
      <c r="Z20" s="65"/>
      <c r="AA20" s="65"/>
      <c r="AB20" s="65"/>
      <c r="AC20" s="65"/>
      <c r="AD20" s="65"/>
      <c r="AE20" s="65"/>
      <c r="AF20" s="65"/>
      <c r="AG20" s="65"/>
      <c r="AH20" s="65"/>
      <c r="AI20" s="65"/>
      <c r="AJ20" s="177"/>
    </row>
    <row r="21" spans="1:36" x14ac:dyDescent="0.25">
      <c r="A21" s="116" t="s">
        <v>443</v>
      </c>
      <c r="B21" s="66"/>
      <c r="C21" s="173" t="s">
        <v>444</v>
      </c>
      <c r="D21" s="66"/>
      <c r="E21" s="66"/>
      <c r="F21" s="66"/>
      <c r="G21" s="66"/>
      <c r="H21" s="66"/>
      <c r="I21" s="66"/>
      <c r="J21" s="66"/>
      <c r="K21" s="66"/>
      <c r="L21" s="66"/>
      <c r="M21" s="66"/>
      <c r="N21" s="65"/>
      <c r="O21" s="65"/>
      <c r="P21" s="65"/>
      <c r="Q21" s="906"/>
      <c r="R21" s="907"/>
      <c r="S21" s="117"/>
      <c r="T21" s="65"/>
      <c r="U21" s="65"/>
      <c r="V21" s="179"/>
      <c r="W21" s="65"/>
      <c r="X21" s="65"/>
      <c r="Y21" s="65"/>
      <c r="Z21" s="65"/>
      <c r="AA21" s="65"/>
      <c r="AB21" s="65"/>
      <c r="AC21" s="65"/>
      <c r="AD21" s="65"/>
      <c r="AE21" s="65"/>
      <c r="AF21" s="65"/>
      <c r="AG21" s="65"/>
      <c r="AH21" s="65"/>
      <c r="AI21" s="65"/>
      <c r="AJ21" s="177"/>
    </row>
    <row r="22" spans="1:36" x14ac:dyDescent="0.25">
      <c r="A22" s="179"/>
      <c r="B22" s="66"/>
      <c r="C22" s="173" t="s">
        <v>445</v>
      </c>
      <c r="D22" s="66"/>
      <c r="E22" s="66"/>
      <c r="F22" s="66"/>
      <c r="G22" s="66"/>
      <c r="H22" s="66"/>
      <c r="I22" s="66"/>
      <c r="J22" s="66"/>
      <c r="K22" s="66"/>
      <c r="L22" s="66"/>
      <c r="M22" s="66"/>
      <c r="N22" s="65"/>
      <c r="O22" s="65"/>
      <c r="P22" s="65"/>
      <c r="Q22" s="66"/>
      <c r="R22" s="66"/>
      <c r="S22" s="117"/>
      <c r="T22" s="65"/>
      <c r="U22" s="65"/>
      <c r="V22" s="179"/>
      <c r="W22" s="65"/>
      <c r="X22" s="65"/>
      <c r="Y22" s="65"/>
      <c r="Z22" s="65"/>
      <c r="AA22" s="65"/>
      <c r="AB22" s="65"/>
      <c r="AC22" s="65"/>
      <c r="AD22" s="65"/>
      <c r="AE22" s="65"/>
      <c r="AF22" s="65"/>
      <c r="AG22" s="65"/>
      <c r="AH22" s="65"/>
      <c r="AI22" s="65"/>
      <c r="AJ22" s="177"/>
    </row>
    <row r="23" spans="1:36" x14ac:dyDescent="0.25">
      <c r="A23" s="178"/>
      <c r="B23" s="66"/>
      <c r="C23" s="66"/>
      <c r="D23" s="66"/>
      <c r="E23" s="66"/>
      <c r="F23" s="66"/>
      <c r="G23" s="66"/>
      <c r="H23" s="66"/>
      <c r="I23" s="66"/>
      <c r="J23" s="66"/>
      <c r="K23" s="66"/>
      <c r="L23" s="66"/>
      <c r="M23" s="66"/>
      <c r="N23" s="65"/>
      <c r="O23" s="65"/>
      <c r="P23" s="65"/>
      <c r="Q23" s="66"/>
      <c r="R23" s="66"/>
      <c r="S23" s="117"/>
      <c r="T23" s="65"/>
      <c r="U23" s="65"/>
      <c r="V23" s="179"/>
      <c r="W23" s="65"/>
      <c r="X23" s="65"/>
      <c r="Y23" s="65"/>
      <c r="Z23" s="65"/>
      <c r="AA23" s="65"/>
      <c r="AB23" s="65"/>
      <c r="AC23" s="65"/>
      <c r="AD23" s="65"/>
      <c r="AE23" s="65"/>
      <c r="AF23" s="65"/>
      <c r="AG23" s="65"/>
      <c r="AH23" s="65"/>
      <c r="AI23" s="65"/>
      <c r="AJ23" s="177"/>
    </row>
    <row r="24" spans="1:36" x14ac:dyDescent="0.25">
      <c r="A24" s="116" t="s">
        <v>446</v>
      </c>
      <c r="B24" s="66"/>
      <c r="C24" s="173" t="s">
        <v>447</v>
      </c>
      <c r="D24" s="66"/>
      <c r="E24" s="66"/>
      <c r="F24" s="66"/>
      <c r="G24" s="66"/>
      <c r="H24" s="66"/>
      <c r="I24" s="66"/>
      <c r="J24" s="66"/>
      <c r="K24" s="66"/>
      <c r="L24" s="66"/>
      <c r="M24" s="66"/>
      <c r="N24" s="65"/>
      <c r="O24" s="65"/>
      <c r="P24" s="65"/>
      <c r="Q24" s="908"/>
      <c r="R24" s="909"/>
      <c r="S24" s="909"/>
      <c r="T24" s="910"/>
      <c r="U24" s="65"/>
      <c r="V24" s="179"/>
      <c r="W24" s="65"/>
      <c r="X24" s="65"/>
      <c r="Y24" s="65"/>
      <c r="Z24" s="65"/>
      <c r="AA24" s="65"/>
      <c r="AB24" s="65"/>
      <c r="AC24" s="65"/>
      <c r="AD24" s="65"/>
      <c r="AE24" s="65"/>
      <c r="AF24" s="65"/>
      <c r="AG24" s="65"/>
      <c r="AH24" s="65"/>
      <c r="AI24" s="65"/>
      <c r="AJ24" s="177"/>
    </row>
    <row r="25" spans="1:36" x14ac:dyDescent="0.25">
      <c r="A25" s="185"/>
      <c r="B25" s="98"/>
      <c r="C25" s="98"/>
      <c r="D25" s="98"/>
      <c r="E25" s="98"/>
      <c r="F25" s="98"/>
      <c r="G25" s="98"/>
      <c r="H25" s="98"/>
      <c r="I25" s="98"/>
      <c r="J25" s="98"/>
      <c r="K25" s="98"/>
      <c r="L25" s="98"/>
      <c r="M25" s="98"/>
      <c r="N25" s="186"/>
      <c r="O25" s="186"/>
      <c r="P25" s="186"/>
      <c r="Q25" s="186"/>
      <c r="R25" s="186"/>
      <c r="S25" s="186"/>
      <c r="T25" s="186"/>
      <c r="U25" s="187"/>
      <c r="V25" s="185"/>
      <c r="W25" s="186"/>
      <c r="X25" s="186"/>
      <c r="Y25" s="186"/>
      <c r="Z25" s="186"/>
      <c r="AA25" s="186"/>
      <c r="AB25" s="186"/>
      <c r="AC25" s="186"/>
      <c r="AD25" s="186"/>
      <c r="AE25" s="186"/>
      <c r="AF25" s="186"/>
      <c r="AG25" s="186"/>
      <c r="AH25" s="186"/>
      <c r="AI25" s="186"/>
      <c r="AJ25" s="187"/>
    </row>
    <row r="26" spans="1:36" x14ac:dyDescent="0.25">
      <c r="A26" s="24"/>
      <c r="B26" s="24"/>
      <c r="C26" s="24"/>
      <c r="D26" s="24"/>
      <c r="E26" s="24"/>
      <c r="F26" s="24"/>
      <c r="G26" s="24"/>
      <c r="H26" s="24"/>
      <c r="I26" s="24"/>
      <c r="J26" s="24"/>
      <c r="K26" s="24"/>
      <c r="L26" s="24"/>
      <c r="M26" s="24"/>
      <c r="N26" s="24"/>
      <c r="O26" s="24"/>
      <c r="P26" s="24"/>
      <c r="Q26" s="24"/>
      <c r="R26" s="24"/>
      <c r="S26" s="24"/>
      <c r="T26" s="24"/>
      <c r="U26" s="24"/>
      <c r="V26" s="24"/>
      <c r="W26" s="24"/>
      <c r="X26" s="24"/>
      <c r="Y26" s="24"/>
      <c r="Z26" s="24"/>
      <c r="AA26" s="24"/>
      <c r="AB26" s="24"/>
      <c r="AC26" s="24"/>
      <c r="AD26" s="24"/>
      <c r="AE26" s="24"/>
      <c r="AF26" s="24"/>
      <c r="AG26" s="24"/>
      <c r="AH26" s="24"/>
      <c r="AI26" s="24"/>
      <c r="AJ26" s="24"/>
    </row>
    <row r="27" spans="1:36" ht="15.75" x14ac:dyDescent="0.25">
      <c r="A27" s="188" t="s">
        <v>448</v>
      </c>
      <c r="B27" s="54"/>
      <c r="C27" s="54"/>
      <c r="D27" s="54"/>
      <c r="E27" s="54"/>
      <c r="F27" s="54"/>
      <c r="G27" s="54"/>
      <c r="H27" s="54"/>
      <c r="I27" s="54"/>
      <c r="J27" s="54"/>
      <c r="K27" s="54"/>
      <c r="L27" s="54"/>
      <c r="M27" s="54"/>
      <c r="N27" s="54"/>
      <c r="O27" s="54"/>
      <c r="P27" s="54"/>
      <c r="Q27" s="54"/>
      <c r="R27" s="54"/>
      <c r="S27" s="54"/>
      <c r="T27" s="54"/>
      <c r="U27" s="54"/>
      <c r="V27" s="54"/>
      <c r="W27" s="54"/>
      <c r="X27" s="54"/>
      <c r="Y27" s="54"/>
      <c r="Z27" s="54"/>
      <c r="AA27" s="54"/>
      <c r="AB27" s="54"/>
      <c r="AC27" s="54"/>
      <c r="AD27" s="54"/>
      <c r="AE27" s="54"/>
      <c r="AF27" s="54"/>
      <c r="AG27" s="54"/>
      <c r="AH27" s="54"/>
      <c r="AI27" s="54"/>
      <c r="AJ27" s="189"/>
    </row>
    <row r="28" spans="1:36" x14ac:dyDescent="0.25">
      <c r="A28" s="59"/>
      <c r="B28" s="60"/>
      <c r="C28" s="60"/>
      <c r="D28" s="60"/>
      <c r="E28" s="60"/>
      <c r="F28" s="60"/>
      <c r="G28" s="60"/>
      <c r="H28" s="60"/>
      <c r="I28" s="60"/>
      <c r="J28" s="60"/>
      <c r="K28" s="60"/>
      <c r="L28" s="60"/>
      <c r="M28" s="60"/>
      <c r="N28" s="60"/>
      <c r="O28" s="60"/>
      <c r="P28" s="60"/>
      <c r="Q28" s="60"/>
      <c r="R28" s="60"/>
      <c r="S28" s="60"/>
      <c r="T28" s="60"/>
      <c r="U28" s="60"/>
      <c r="V28" s="60"/>
      <c r="W28" s="60"/>
      <c r="X28" s="60"/>
      <c r="Y28" s="60"/>
      <c r="Z28" s="60"/>
      <c r="AA28" s="60"/>
      <c r="AB28" s="60"/>
      <c r="AC28" s="60"/>
      <c r="AD28" s="60"/>
      <c r="AE28" s="60"/>
      <c r="AF28" s="60"/>
      <c r="AG28" s="60"/>
      <c r="AH28" s="60"/>
      <c r="AI28" s="60"/>
      <c r="AJ28" s="190"/>
    </row>
  </sheetData>
  <mergeCells count="24">
    <mergeCell ref="A7:V7"/>
    <mergeCell ref="W7:AA7"/>
    <mergeCell ref="AB7:AJ7"/>
    <mergeCell ref="A1:AJ1"/>
    <mergeCell ref="AD3:AJ3"/>
    <mergeCell ref="A4:AJ4"/>
    <mergeCell ref="A6:I6"/>
    <mergeCell ref="J6:AJ6"/>
    <mergeCell ref="A8:C8"/>
    <mergeCell ref="D8:AJ8"/>
    <mergeCell ref="I9:P9"/>
    <mergeCell ref="Q9:V9"/>
    <mergeCell ref="W9:AA9"/>
    <mergeCell ref="AB9:AG9"/>
    <mergeCell ref="AH9:AJ9"/>
    <mergeCell ref="Q19:R19"/>
    <mergeCell ref="Q21:R21"/>
    <mergeCell ref="Q24:T24"/>
    <mergeCell ref="A10:H10"/>
    <mergeCell ref="I10:AJ10"/>
    <mergeCell ref="V12:AJ12"/>
    <mergeCell ref="Q13:R13"/>
    <mergeCell ref="W15:AI15"/>
    <mergeCell ref="Q17:R17"/>
  </mergeCells>
  <dataValidations count="4">
    <dataValidation type="list" showInputMessage="1" showErrorMessage="1" sqref="Q13:R13" xr:uid="{73299CFE-AF3F-4772-8B02-FA894C4E9EDC}">
      <formula1>FormesJuridiques</formula1>
    </dataValidation>
    <dataValidation type="list" showInputMessage="1" showErrorMessage="1" sqref="Q15" xr:uid="{05FDEE52-5DBA-42FC-BB10-1CC92062C2A8}">
      <formula1>RegimeFiscal</formula1>
    </dataValidation>
    <dataValidation type="list" showInputMessage="1" showErrorMessage="1" sqref="Q17:R17" xr:uid="{F68465DB-2A19-4FF6-812E-E2F4E6F83E76}">
      <formula1>CodePaysSiege</formula1>
    </dataValidation>
    <dataValidation type="list" showInputMessage="1" showErrorMessage="1" sqref="W15:AI15" xr:uid="{6058EFF7-1F2B-4AFA-ACFF-C5DB22386E0F}">
      <formula1>ControleEntite</formula1>
    </dataValidation>
  </dataValidation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9F4171-9A59-4877-8677-17C26AA1EFCD}">
  <dimension ref="A2:I55"/>
  <sheetViews>
    <sheetView workbookViewId="0">
      <selection activeCell="E10" sqref="A1:XFD1048576"/>
    </sheetView>
  </sheetViews>
  <sheetFormatPr baseColWidth="10" defaultRowHeight="15" x14ac:dyDescent="0.25"/>
  <cols>
    <col min="1" max="1" width="12.85546875" customWidth="1"/>
    <col min="2" max="2" width="10.42578125" customWidth="1"/>
    <col min="3" max="3" width="12.85546875" customWidth="1"/>
    <col min="4" max="4" width="15" customWidth="1"/>
    <col min="5" max="5" width="7.28515625" customWidth="1"/>
    <col min="6" max="6" width="9.42578125" customWidth="1"/>
    <col min="7" max="8" width="15.7109375" customWidth="1"/>
    <col min="9" max="9" width="8.7109375" customWidth="1"/>
  </cols>
  <sheetData>
    <row r="2" spans="1:9" x14ac:dyDescent="0.25">
      <c r="A2" s="946" t="s">
        <v>449</v>
      </c>
      <c r="B2" s="946"/>
      <c r="C2" s="946"/>
      <c r="D2" s="946"/>
      <c r="E2" s="946"/>
      <c r="F2" s="946"/>
      <c r="G2" s="946"/>
      <c r="H2" s="946"/>
      <c r="I2" s="946"/>
    </row>
    <row r="3" spans="1:9" ht="15.75" x14ac:dyDescent="0.25">
      <c r="A3" s="789" t="s">
        <v>450</v>
      </c>
      <c r="B3" s="789"/>
      <c r="C3" s="789"/>
      <c r="D3" s="789"/>
      <c r="E3" s="789"/>
      <c r="F3" s="789"/>
      <c r="G3" s="789"/>
      <c r="H3" s="789"/>
      <c r="I3" s="789"/>
    </row>
    <row r="4" spans="1:9" x14ac:dyDescent="0.25">
      <c r="A4" s="191"/>
      <c r="B4" s="191"/>
      <c r="C4" s="191"/>
      <c r="D4" s="191"/>
      <c r="E4" s="191"/>
      <c r="F4" s="191"/>
      <c r="G4" s="191"/>
      <c r="H4" s="191"/>
      <c r="I4" s="191"/>
    </row>
    <row r="5" spans="1:9" x14ac:dyDescent="0.25">
      <c r="A5" s="947" t="s">
        <v>361</v>
      </c>
      <c r="B5" s="947"/>
      <c r="C5" s="896" t="s">
        <v>2</v>
      </c>
      <c r="D5" s="896"/>
      <c r="E5" s="896"/>
      <c r="F5" s="896"/>
      <c r="G5" s="896"/>
      <c r="H5" s="896"/>
      <c r="I5" s="896"/>
    </row>
    <row r="6" spans="1:9" x14ac:dyDescent="0.25">
      <c r="A6" s="920" t="s">
        <v>4</v>
      </c>
      <c r="B6" s="920"/>
      <c r="C6" s="920"/>
      <c r="D6" s="920"/>
      <c r="E6" s="920"/>
      <c r="F6" s="920"/>
      <c r="G6" s="167" t="s">
        <v>362</v>
      </c>
      <c r="H6" s="896" t="s">
        <v>6</v>
      </c>
      <c r="I6" s="896"/>
    </row>
    <row r="7" spans="1:9" x14ac:dyDescent="0.25">
      <c r="A7" s="113" t="s">
        <v>363</v>
      </c>
      <c r="B7" s="918">
        <v>4431</v>
      </c>
      <c r="C7" s="918"/>
      <c r="D7" s="918"/>
      <c r="E7" s="918"/>
      <c r="F7" s="918"/>
      <c r="G7" s="918"/>
      <c r="H7" s="918"/>
      <c r="I7" s="918"/>
    </row>
    <row r="8" spans="1:9" x14ac:dyDescent="0.25">
      <c r="A8" s="165" t="s">
        <v>364</v>
      </c>
      <c r="B8" s="165"/>
      <c r="C8" s="192" t="s">
        <v>12</v>
      </c>
      <c r="D8" s="919" t="s">
        <v>451</v>
      </c>
      <c r="E8" s="919"/>
      <c r="F8" s="919"/>
      <c r="G8" s="114">
        <v>46022</v>
      </c>
      <c r="H8" s="167" t="s">
        <v>366</v>
      </c>
      <c r="I8" s="115">
        <v>12</v>
      </c>
    </row>
    <row r="9" spans="1:9" x14ac:dyDescent="0.25">
      <c r="A9" s="934" t="s">
        <v>367</v>
      </c>
      <c r="B9" s="934"/>
      <c r="C9" s="935" t="s">
        <v>8</v>
      </c>
      <c r="D9" s="935"/>
      <c r="E9" s="935"/>
      <c r="F9" s="935"/>
      <c r="G9" s="935"/>
      <c r="H9" s="935"/>
      <c r="I9" s="935"/>
    </row>
    <row r="10" spans="1:9" ht="17.25" x14ac:dyDescent="0.25">
      <c r="A10" s="929" t="s">
        <v>452</v>
      </c>
      <c r="B10" s="929"/>
      <c r="C10" s="929"/>
      <c r="D10" s="929"/>
      <c r="E10" s="929"/>
      <c r="F10" s="929"/>
      <c r="G10" s="929"/>
      <c r="H10" s="929"/>
      <c r="I10" s="929"/>
    </row>
    <row r="11" spans="1:9" ht="9.6" customHeight="1" x14ac:dyDescent="0.25">
      <c r="A11" s="191"/>
      <c r="B11" s="191"/>
      <c r="C11" s="191"/>
      <c r="D11" s="191"/>
      <c r="E11" s="191"/>
      <c r="F11" s="191"/>
      <c r="G11" s="191"/>
      <c r="H11" s="191"/>
      <c r="I11" s="191"/>
    </row>
    <row r="12" spans="1:9" x14ac:dyDescent="0.25">
      <c r="A12" s="936" t="s">
        <v>453</v>
      </c>
      <c r="B12" s="937"/>
      <c r="C12" s="940" t="s">
        <v>454</v>
      </c>
      <c r="D12" s="941" t="s">
        <v>455</v>
      </c>
      <c r="E12" s="936" t="s">
        <v>410</v>
      </c>
      <c r="F12" s="942"/>
      <c r="G12" s="944" t="s">
        <v>456</v>
      </c>
      <c r="H12" s="948" t="s">
        <v>457</v>
      </c>
      <c r="I12" s="941"/>
    </row>
    <row r="13" spans="1:9" ht="19.149999999999999" customHeight="1" x14ac:dyDescent="0.25">
      <c r="A13" s="938"/>
      <c r="B13" s="939"/>
      <c r="C13" s="940"/>
      <c r="D13" s="939"/>
      <c r="E13" s="938"/>
      <c r="F13" s="943"/>
      <c r="G13" s="945"/>
      <c r="H13" s="949"/>
      <c r="I13" s="950"/>
    </row>
    <row r="14" spans="1:9" x14ac:dyDescent="0.25">
      <c r="A14" s="928"/>
      <c r="B14" s="928"/>
      <c r="C14" s="193"/>
      <c r="D14" s="193"/>
      <c r="E14" s="928"/>
      <c r="F14" s="928"/>
      <c r="G14" s="194"/>
      <c r="H14" s="928"/>
      <c r="I14" s="928"/>
    </row>
    <row r="15" spans="1:9" x14ac:dyDescent="0.25">
      <c r="A15" s="928"/>
      <c r="B15" s="928"/>
      <c r="C15" s="193"/>
      <c r="D15" s="193"/>
      <c r="E15" s="928"/>
      <c r="F15" s="928"/>
      <c r="G15" s="194"/>
      <c r="H15" s="928"/>
      <c r="I15" s="928"/>
    </row>
    <row r="16" spans="1:9" x14ac:dyDescent="0.25">
      <c r="A16" s="928"/>
      <c r="B16" s="928"/>
      <c r="C16" s="193"/>
      <c r="D16" s="193"/>
      <c r="E16" s="928"/>
      <c r="F16" s="928"/>
      <c r="G16" s="194"/>
      <c r="H16" s="928"/>
      <c r="I16" s="928"/>
    </row>
    <row r="17" spans="1:9" x14ac:dyDescent="0.25">
      <c r="A17" s="928"/>
      <c r="B17" s="928"/>
      <c r="C17" s="193"/>
      <c r="D17" s="193"/>
      <c r="E17" s="928"/>
      <c r="F17" s="928"/>
      <c r="G17" s="194"/>
      <c r="H17" s="928"/>
      <c r="I17" s="928"/>
    </row>
    <row r="18" spans="1:9" x14ac:dyDescent="0.25">
      <c r="A18" s="928"/>
      <c r="B18" s="928"/>
      <c r="C18" s="193"/>
      <c r="D18" s="193"/>
      <c r="E18" s="928"/>
      <c r="F18" s="928"/>
      <c r="G18" s="194"/>
      <c r="H18" s="928"/>
      <c r="I18" s="928"/>
    </row>
    <row r="19" spans="1:9" x14ac:dyDescent="0.25">
      <c r="A19" s="928"/>
      <c r="B19" s="928"/>
      <c r="C19" s="193"/>
      <c r="D19" s="193"/>
      <c r="E19" s="928"/>
      <c r="F19" s="928"/>
      <c r="G19" s="194"/>
      <c r="H19" s="928"/>
      <c r="I19" s="928"/>
    </row>
    <row r="20" spans="1:9" x14ac:dyDescent="0.25">
      <c r="A20" s="928"/>
      <c r="B20" s="928"/>
      <c r="C20" s="193"/>
      <c r="D20" s="193"/>
      <c r="E20" s="928"/>
      <c r="F20" s="928"/>
      <c r="G20" s="194"/>
      <c r="H20" s="928"/>
      <c r="I20" s="928"/>
    </row>
    <row r="21" spans="1:9" x14ac:dyDescent="0.25">
      <c r="A21" s="928"/>
      <c r="B21" s="928"/>
      <c r="C21" s="193"/>
      <c r="D21" s="193"/>
      <c r="E21" s="928"/>
      <c r="F21" s="928"/>
      <c r="G21" s="194"/>
      <c r="H21" s="928"/>
      <c r="I21" s="928"/>
    </row>
    <row r="22" spans="1:9" x14ac:dyDescent="0.25">
      <c r="A22" s="928"/>
      <c r="B22" s="928"/>
      <c r="C22" s="193"/>
      <c r="D22" s="193"/>
      <c r="E22" s="928"/>
      <c r="F22" s="928"/>
      <c r="G22" s="194"/>
      <c r="H22" s="928"/>
      <c r="I22" s="928"/>
    </row>
    <row r="23" spans="1:9" x14ac:dyDescent="0.25">
      <c r="A23" s="928"/>
      <c r="B23" s="928"/>
      <c r="C23" s="193"/>
      <c r="D23" s="193"/>
      <c r="E23" s="928"/>
      <c r="F23" s="928"/>
      <c r="G23" s="194"/>
      <c r="H23" s="928"/>
      <c r="I23" s="928"/>
    </row>
    <row r="24" spans="1:9" x14ac:dyDescent="0.25">
      <c r="A24" s="928"/>
      <c r="B24" s="928"/>
      <c r="C24" s="193"/>
      <c r="D24" s="193"/>
      <c r="E24" s="928"/>
      <c r="F24" s="928"/>
      <c r="G24" s="194"/>
      <c r="H24" s="928"/>
      <c r="I24" s="928"/>
    </row>
    <row r="25" spans="1:9" ht="9" customHeight="1" x14ac:dyDescent="0.25">
      <c r="A25" s="191"/>
      <c r="B25" s="191"/>
      <c r="C25" s="191"/>
      <c r="D25" s="191"/>
      <c r="E25" s="191"/>
      <c r="F25" s="191"/>
      <c r="G25" s="191"/>
      <c r="H25" s="191"/>
      <c r="I25" s="191"/>
    </row>
    <row r="26" spans="1:9" x14ac:dyDescent="0.25">
      <c r="A26" s="195" t="s">
        <v>458</v>
      </c>
      <c r="B26" s="195"/>
      <c r="C26" s="195"/>
      <c r="D26" s="195"/>
      <c r="E26" s="195"/>
      <c r="F26" s="195"/>
      <c r="G26" s="195"/>
      <c r="H26" s="195"/>
      <c r="I26" s="191"/>
    </row>
    <row r="27" spans="1:9" x14ac:dyDescent="0.25">
      <c r="A27" s="927" t="s">
        <v>459</v>
      </c>
      <c r="B27" s="927"/>
      <c r="C27" s="927"/>
      <c r="D27" s="927"/>
      <c r="E27" s="927"/>
      <c r="F27" s="927"/>
      <c r="G27" s="927"/>
      <c r="H27" s="927"/>
      <c r="I27" s="191"/>
    </row>
    <row r="28" spans="1:9" ht="8.4499999999999993" customHeight="1" x14ac:dyDescent="0.25">
      <c r="A28" s="191"/>
      <c r="B28" s="191"/>
      <c r="C28" s="191"/>
      <c r="D28" s="191"/>
      <c r="E28" s="191"/>
      <c r="F28" s="191"/>
      <c r="G28" s="191"/>
      <c r="H28" s="191"/>
      <c r="I28" s="191"/>
    </row>
    <row r="29" spans="1:9" ht="17.25" x14ac:dyDescent="0.25">
      <c r="A29" s="929" t="s">
        <v>460</v>
      </c>
      <c r="B29" s="929"/>
      <c r="C29" s="929"/>
      <c r="D29" s="929"/>
      <c r="E29" s="929"/>
      <c r="F29" s="929"/>
      <c r="G29" s="929"/>
      <c r="H29" s="929"/>
      <c r="I29" s="929"/>
    </row>
    <row r="30" spans="1:9" ht="9" customHeight="1" x14ac:dyDescent="0.25">
      <c r="A30" s="191"/>
      <c r="B30" s="191"/>
      <c r="C30" s="191"/>
      <c r="D30" s="191"/>
      <c r="E30" s="191"/>
      <c r="F30" s="191"/>
      <c r="G30" s="191"/>
      <c r="H30" s="191"/>
      <c r="I30" s="191"/>
    </row>
    <row r="31" spans="1:9" x14ac:dyDescent="0.25">
      <c r="A31" s="930" t="s">
        <v>453</v>
      </c>
      <c r="B31" s="931"/>
      <c r="C31" s="930" t="s">
        <v>461</v>
      </c>
      <c r="D31" s="931"/>
      <c r="E31" s="930" t="s">
        <v>410</v>
      </c>
      <c r="F31" s="931"/>
      <c r="G31" s="932" t="s">
        <v>457</v>
      </c>
      <c r="H31" s="932"/>
      <c r="I31" s="933"/>
    </row>
    <row r="32" spans="1:9" x14ac:dyDescent="0.25">
      <c r="A32" s="922"/>
      <c r="B32" s="923"/>
      <c r="C32" s="922"/>
      <c r="D32" s="923"/>
      <c r="E32" s="924"/>
      <c r="F32" s="925"/>
      <c r="G32" s="924"/>
      <c r="H32" s="925"/>
      <c r="I32" s="926"/>
    </row>
    <row r="33" spans="1:9" x14ac:dyDescent="0.25">
      <c r="A33" s="922"/>
      <c r="B33" s="923"/>
      <c r="C33" s="922"/>
      <c r="D33" s="923"/>
      <c r="E33" s="924"/>
      <c r="F33" s="925"/>
      <c r="G33" s="924"/>
      <c r="H33" s="925"/>
      <c r="I33" s="926"/>
    </row>
    <row r="34" spans="1:9" x14ac:dyDescent="0.25">
      <c r="A34" s="922"/>
      <c r="B34" s="923"/>
      <c r="C34" s="922"/>
      <c r="D34" s="923"/>
      <c r="E34" s="924"/>
      <c r="F34" s="925"/>
      <c r="G34" s="924"/>
      <c r="H34" s="925"/>
      <c r="I34" s="926"/>
    </row>
    <row r="35" spans="1:9" x14ac:dyDescent="0.25">
      <c r="A35" s="922"/>
      <c r="B35" s="923"/>
      <c r="C35" s="922"/>
      <c r="D35" s="923"/>
      <c r="E35" s="924"/>
      <c r="F35" s="925"/>
      <c r="G35" s="924"/>
      <c r="H35" s="925"/>
      <c r="I35" s="926"/>
    </row>
    <row r="36" spans="1:9" x14ac:dyDescent="0.25">
      <c r="A36" s="922"/>
      <c r="B36" s="923"/>
      <c r="C36" s="922"/>
      <c r="D36" s="923"/>
      <c r="E36" s="924"/>
      <c r="F36" s="925"/>
      <c r="G36" s="924"/>
      <c r="H36" s="925"/>
      <c r="I36" s="926"/>
    </row>
    <row r="37" spans="1:9" x14ac:dyDescent="0.25">
      <c r="A37" s="922"/>
      <c r="B37" s="923"/>
      <c r="C37" s="922"/>
      <c r="D37" s="923"/>
      <c r="E37" s="924"/>
      <c r="F37" s="925"/>
      <c r="G37" s="924"/>
      <c r="H37" s="925"/>
      <c r="I37" s="926"/>
    </row>
    <row r="38" spans="1:9" x14ac:dyDescent="0.25">
      <c r="A38" s="922"/>
      <c r="B38" s="923"/>
      <c r="C38" s="922"/>
      <c r="D38" s="923"/>
      <c r="E38" s="924"/>
      <c r="F38" s="925"/>
      <c r="G38" s="924"/>
      <c r="H38" s="925"/>
      <c r="I38" s="926"/>
    </row>
    <row r="39" spans="1:9" x14ac:dyDescent="0.25">
      <c r="A39" s="922"/>
      <c r="B39" s="923"/>
      <c r="C39" s="922"/>
      <c r="D39" s="923"/>
      <c r="E39" s="924"/>
      <c r="F39" s="925"/>
      <c r="G39" s="924"/>
      <c r="H39" s="925"/>
      <c r="I39" s="926"/>
    </row>
    <row r="40" spans="1:9" x14ac:dyDescent="0.25">
      <c r="A40" s="922"/>
      <c r="B40" s="923"/>
      <c r="C40" s="922"/>
      <c r="D40" s="923"/>
      <c r="E40" s="924"/>
      <c r="F40" s="925"/>
      <c r="G40" s="924"/>
      <c r="H40" s="925"/>
      <c r="I40" s="926"/>
    </row>
    <row r="41" spans="1:9" x14ac:dyDescent="0.25">
      <c r="A41" s="922"/>
      <c r="B41" s="923"/>
      <c r="C41" s="922"/>
      <c r="D41" s="923"/>
      <c r="E41" s="924"/>
      <c r="F41" s="925"/>
      <c r="G41" s="924"/>
      <c r="H41" s="925"/>
      <c r="I41" s="926"/>
    </row>
    <row r="42" spans="1:9" x14ac:dyDescent="0.25">
      <c r="A42" s="922"/>
      <c r="B42" s="923"/>
      <c r="C42" s="922"/>
      <c r="D42" s="923"/>
      <c r="E42" s="924"/>
      <c r="F42" s="925"/>
      <c r="G42" s="924"/>
      <c r="H42" s="925"/>
      <c r="I42" s="926"/>
    </row>
    <row r="43" spans="1:9" x14ac:dyDescent="0.25">
      <c r="A43" s="922"/>
      <c r="B43" s="923"/>
      <c r="C43" s="922"/>
      <c r="D43" s="923"/>
      <c r="E43" s="924"/>
      <c r="F43" s="925"/>
      <c r="G43" s="924"/>
      <c r="H43" s="925"/>
      <c r="I43" s="926"/>
    </row>
    <row r="44" spans="1:9" x14ac:dyDescent="0.25">
      <c r="A44" s="922"/>
      <c r="B44" s="923"/>
      <c r="C44" s="922"/>
      <c r="D44" s="923"/>
      <c r="E44" s="924"/>
      <c r="F44" s="925"/>
      <c r="G44" s="924"/>
      <c r="H44" s="925"/>
      <c r="I44" s="926"/>
    </row>
    <row r="45" spans="1:9" x14ac:dyDescent="0.25">
      <c r="A45" s="922"/>
      <c r="B45" s="923"/>
      <c r="C45" s="922"/>
      <c r="D45" s="923"/>
      <c r="E45" s="924"/>
      <c r="F45" s="925"/>
      <c r="G45" s="924"/>
      <c r="H45" s="925"/>
      <c r="I45" s="926"/>
    </row>
    <row r="46" spans="1:9" x14ac:dyDescent="0.25">
      <c r="A46" s="922"/>
      <c r="B46" s="923"/>
      <c r="C46" s="922"/>
      <c r="D46" s="923"/>
      <c r="E46" s="924"/>
      <c r="F46" s="925"/>
      <c r="G46" s="924"/>
      <c r="H46" s="925"/>
      <c r="I46" s="926"/>
    </row>
    <row r="47" spans="1:9" x14ac:dyDescent="0.25">
      <c r="A47" s="922"/>
      <c r="B47" s="923"/>
      <c r="C47" s="922"/>
      <c r="D47" s="923"/>
      <c r="E47" s="924"/>
      <c r="F47" s="925"/>
      <c r="G47" s="924"/>
      <c r="H47" s="925"/>
      <c r="I47" s="926"/>
    </row>
    <row r="48" spans="1:9" x14ac:dyDescent="0.25">
      <c r="A48" s="922"/>
      <c r="B48" s="923"/>
      <c r="C48" s="922"/>
      <c r="D48" s="923"/>
      <c r="E48" s="924"/>
      <c r="F48" s="925"/>
      <c r="G48" s="924"/>
      <c r="H48" s="925"/>
      <c r="I48" s="926"/>
    </row>
    <row r="49" spans="1:9" x14ac:dyDescent="0.25">
      <c r="A49" s="922"/>
      <c r="B49" s="923"/>
      <c r="C49" s="922"/>
      <c r="D49" s="923"/>
      <c r="E49" s="924"/>
      <c r="F49" s="925"/>
      <c r="G49" s="924"/>
      <c r="H49" s="925"/>
      <c r="I49" s="926"/>
    </row>
    <row r="50" spans="1:9" x14ac:dyDescent="0.25">
      <c r="A50" s="922"/>
      <c r="B50" s="923"/>
      <c r="C50" s="922"/>
      <c r="D50" s="923"/>
      <c r="E50" s="924"/>
      <c r="F50" s="925"/>
      <c r="G50" s="924"/>
      <c r="H50" s="925"/>
      <c r="I50" s="926"/>
    </row>
    <row r="51" spans="1:9" x14ac:dyDescent="0.25">
      <c r="A51" s="922"/>
      <c r="B51" s="923"/>
      <c r="C51" s="922"/>
      <c r="D51" s="923"/>
      <c r="E51" s="924"/>
      <c r="F51" s="925"/>
      <c r="G51" s="924"/>
      <c r="H51" s="925"/>
      <c r="I51" s="926"/>
    </row>
    <row r="52" spans="1:9" x14ac:dyDescent="0.25">
      <c r="A52" s="922"/>
      <c r="B52" s="923"/>
      <c r="C52" s="922"/>
      <c r="D52" s="923"/>
      <c r="E52" s="924"/>
      <c r="F52" s="925"/>
      <c r="G52" s="924"/>
      <c r="H52" s="925"/>
      <c r="I52" s="926"/>
    </row>
    <row r="53" spans="1:9" ht="10.9" customHeight="1" x14ac:dyDescent="0.25">
      <c r="A53" s="196"/>
      <c r="B53" s="196"/>
      <c r="C53" s="196"/>
      <c r="D53" s="196"/>
      <c r="E53" s="196"/>
      <c r="F53" s="196"/>
      <c r="G53" s="196"/>
      <c r="H53" s="196"/>
      <c r="I53" s="196"/>
    </row>
    <row r="54" spans="1:9" ht="10.9" customHeight="1" x14ac:dyDescent="0.25">
      <c r="A54" s="196"/>
      <c r="B54" s="196"/>
      <c r="C54" s="196"/>
      <c r="D54" s="196"/>
      <c r="E54" s="196"/>
      <c r="F54" s="196"/>
      <c r="G54" s="196"/>
      <c r="H54" s="196"/>
      <c r="I54" s="196"/>
    </row>
    <row r="55" spans="1:9" x14ac:dyDescent="0.25">
      <c r="A55" s="927" t="s">
        <v>462</v>
      </c>
      <c r="B55" s="927"/>
      <c r="C55" s="927"/>
      <c r="D55" s="927"/>
      <c r="E55" s="927"/>
      <c r="F55" s="927"/>
      <c r="G55" s="927"/>
      <c r="H55" s="927"/>
      <c r="I55" s="196"/>
    </row>
  </sheetData>
  <mergeCells count="141">
    <mergeCell ref="A2:I2"/>
    <mergeCell ref="A3:I3"/>
    <mergeCell ref="A5:B5"/>
    <mergeCell ref="C5:I5"/>
    <mergeCell ref="A6:F6"/>
    <mergeCell ref="H6:I6"/>
    <mergeCell ref="H12:I13"/>
    <mergeCell ref="A14:B14"/>
    <mergeCell ref="E14:F14"/>
    <mergeCell ref="H14:I14"/>
    <mergeCell ref="A15:B15"/>
    <mergeCell ref="E15:F15"/>
    <mergeCell ref="H15:I15"/>
    <mergeCell ref="B7:I7"/>
    <mergeCell ref="D8:F8"/>
    <mergeCell ref="A9:B9"/>
    <mergeCell ref="C9:I9"/>
    <mergeCell ref="A10:I10"/>
    <mergeCell ref="A12:B13"/>
    <mergeCell ref="C12:C13"/>
    <mergeCell ref="D12:D13"/>
    <mergeCell ref="E12:F13"/>
    <mergeCell ref="G12:G13"/>
    <mergeCell ref="A18:B18"/>
    <mergeCell ref="E18:F18"/>
    <mergeCell ref="H18:I18"/>
    <mergeCell ref="A19:B19"/>
    <mergeCell ref="E19:F19"/>
    <mergeCell ref="H19:I19"/>
    <mergeCell ref="A16:B16"/>
    <mergeCell ref="E16:F16"/>
    <mergeCell ref="H16:I16"/>
    <mergeCell ref="A17:B17"/>
    <mergeCell ref="E17:F17"/>
    <mergeCell ref="H17:I17"/>
    <mergeCell ref="A22:B22"/>
    <mergeCell ref="E22:F22"/>
    <mergeCell ref="H22:I22"/>
    <mergeCell ref="A23:B23"/>
    <mergeCell ref="E23:F23"/>
    <mergeCell ref="H23:I23"/>
    <mergeCell ref="A20:B20"/>
    <mergeCell ref="E20:F20"/>
    <mergeCell ref="H20:I20"/>
    <mergeCell ref="A21:B21"/>
    <mergeCell ref="E21:F21"/>
    <mergeCell ref="H21:I21"/>
    <mergeCell ref="A32:B32"/>
    <mergeCell ref="C32:D32"/>
    <mergeCell ref="E32:F32"/>
    <mergeCell ref="G32:I32"/>
    <mergeCell ref="A33:B33"/>
    <mergeCell ref="C33:D33"/>
    <mergeCell ref="E33:F33"/>
    <mergeCell ref="G33:I33"/>
    <mergeCell ref="A24:B24"/>
    <mergeCell ref="E24:F24"/>
    <mergeCell ref="H24:I24"/>
    <mergeCell ref="A27:H27"/>
    <mergeCell ref="A29:I29"/>
    <mergeCell ref="A31:B31"/>
    <mergeCell ref="C31:D31"/>
    <mergeCell ref="E31:F31"/>
    <mergeCell ref="G31:I31"/>
    <mergeCell ref="A36:B36"/>
    <mergeCell ref="C36:D36"/>
    <mergeCell ref="E36:F36"/>
    <mergeCell ref="G36:I36"/>
    <mergeCell ref="A37:B37"/>
    <mergeCell ref="C37:D37"/>
    <mergeCell ref="E37:F37"/>
    <mergeCell ref="G37:I37"/>
    <mergeCell ref="A34:B34"/>
    <mergeCell ref="C34:D34"/>
    <mergeCell ref="E34:F34"/>
    <mergeCell ref="G34:I34"/>
    <mergeCell ref="A35:B35"/>
    <mergeCell ref="C35:D35"/>
    <mergeCell ref="E35:F35"/>
    <mergeCell ref="G35:I35"/>
    <mergeCell ref="A40:B40"/>
    <mergeCell ref="C40:D40"/>
    <mergeCell ref="E40:F40"/>
    <mergeCell ref="G40:I40"/>
    <mergeCell ref="A41:B41"/>
    <mergeCell ref="C41:D41"/>
    <mergeCell ref="E41:F41"/>
    <mergeCell ref="G41:I41"/>
    <mergeCell ref="A38:B38"/>
    <mergeCell ref="C38:D38"/>
    <mergeCell ref="E38:F38"/>
    <mergeCell ref="G38:I38"/>
    <mergeCell ref="A39:B39"/>
    <mergeCell ref="C39:D39"/>
    <mergeCell ref="E39:F39"/>
    <mergeCell ref="G39:I39"/>
    <mergeCell ref="A44:B44"/>
    <mergeCell ref="C44:D44"/>
    <mergeCell ref="E44:F44"/>
    <mergeCell ref="G44:I44"/>
    <mergeCell ref="A45:B45"/>
    <mergeCell ref="C45:D45"/>
    <mergeCell ref="E45:F45"/>
    <mergeCell ref="G45:I45"/>
    <mergeCell ref="A42:B42"/>
    <mergeCell ref="C42:D42"/>
    <mergeCell ref="E42:F42"/>
    <mergeCell ref="G42:I42"/>
    <mergeCell ref="A43:B43"/>
    <mergeCell ref="C43:D43"/>
    <mergeCell ref="E43:F43"/>
    <mergeCell ref="G43:I43"/>
    <mergeCell ref="A48:B48"/>
    <mergeCell ref="C48:D48"/>
    <mergeCell ref="E48:F48"/>
    <mergeCell ref="G48:I48"/>
    <mergeCell ref="A49:B49"/>
    <mergeCell ref="C49:D49"/>
    <mergeCell ref="E49:F49"/>
    <mergeCell ref="G49:I49"/>
    <mergeCell ref="A46:B46"/>
    <mergeCell ref="C46:D46"/>
    <mergeCell ref="E46:F46"/>
    <mergeCell ref="G46:I46"/>
    <mergeCell ref="A47:B47"/>
    <mergeCell ref="C47:D47"/>
    <mergeCell ref="E47:F47"/>
    <mergeCell ref="G47:I47"/>
    <mergeCell ref="A52:B52"/>
    <mergeCell ref="C52:D52"/>
    <mergeCell ref="E52:F52"/>
    <mergeCell ref="G52:I52"/>
    <mergeCell ref="A55:H55"/>
    <mergeCell ref="A50:B50"/>
    <mergeCell ref="C50:D50"/>
    <mergeCell ref="E50:F50"/>
    <mergeCell ref="G50:I50"/>
    <mergeCell ref="A51:B51"/>
    <mergeCell ref="C51:D51"/>
    <mergeCell ref="E51:F51"/>
    <mergeCell ref="G51:I51"/>
  </mergeCells>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5098DD-0284-4B46-B899-06B232B79524}">
  <dimension ref="A1:F30"/>
  <sheetViews>
    <sheetView workbookViewId="0">
      <selection activeCell="D1" sqref="A1:XFD1048576"/>
    </sheetView>
  </sheetViews>
  <sheetFormatPr baseColWidth="10" defaultRowHeight="15" x14ac:dyDescent="0.25"/>
  <sheetData>
    <row r="1" spans="1:6" x14ac:dyDescent="0.25">
      <c r="A1" s="951" t="s">
        <v>463</v>
      </c>
      <c r="B1" s="951"/>
      <c r="C1" s="951"/>
      <c r="D1" s="951"/>
      <c r="E1" s="951"/>
      <c r="F1" s="951"/>
    </row>
    <row r="2" spans="1:6" x14ac:dyDescent="0.25">
      <c r="A2" s="951"/>
      <c r="B2" s="951"/>
      <c r="C2" s="951"/>
      <c r="D2" s="951"/>
      <c r="E2" s="951"/>
      <c r="F2" s="951"/>
    </row>
    <row r="3" spans="1:6" x14ac:dyDescent="0.25">
      <c r="A3" s="951"/>
      <c r="B3" s="951"/>
      <c r="C3" s="951"/>
      <c r="D3" s="951"/>
      <c r="E3" s="951"/>
      <c r="F3" s="951"/>
    </row>
    <row r="4" spans="1:6" x14ac:dyDescent="0.25">
      <c r="A4" s="951"/>
      <c r="B4" s="951"/>
      <c r="C4" s="951"/>
      <c r="D4" s="951"/>
      <c r="E4" s="951"/>
      <c r="F4" s="951"/>
    </row>
    <row r="5" spans="1:6" x14ac:dyDescent="0.25">
      <c r="A5" s="951"/>
      <c r="B5" s="951"/>
      <c r="C5" s="951"/>
      <c r="D5" s="951"/>
      <c r="E5" s="951"/>
      <c r="F5" s="951"/>
    </row>
    <row r="6" spans="1:6" x14ac:dyDescent="0.25">
      <c r="A6" s="951"/>
      <c r="B6" s="951"/>
      <c r="C6" s="951"/>
      <c r="D6" s="951"/>
      <c r="E6" s="951"/>
      <c r="F6" s="951"/>
    </row>
    <row r="7" spans="1:6" x14ac:dyDescent="0.25">
      <c r="A7" s="951"/>
      <c r="B7" s="951"/>
      <c r="C7" s="951"/>
      <c r="D7" s="951"/>
      <c r="E7" s="951"/>
      <c r="F7" s="951"/>
    </row>
    <row r="8" spans="1:6" x14ac:dyDescent="0.25">
      <c r="A8" s="951"/>
      <c r="B8" s="951"/>
      <c r="C8" s="951"/>
      <c r="D8" s="951"/>
      <c r="E8" s="951"/>
      <c r="F8" s="951"/>
    </row>
    <row r="9" spans="1:6" x14ac:dyDescent="0.25">
      <c r="A9" s="951"/>
      <c r="B9" s="951"/>
      <c r="C9" s="951"/>
      <c r="D9" s="951"/>
      <c r="E9" s="951"/>
      <c r="F9" s="951"/>
    </row>
    <row r="10" spans="1:6" x14ac:dyDescent="0.25">
      <c r="A10" s="951"/>
      <c r="B10" s="951"/>
      <c r="C10" s="951"/>
      <c r="D10" s="951"/>
      <c r="E10" s="951"/>
      <c r="F10" s="951"/>
    </row>
    <row r="11" spans="1:6" x14ac:dyDescent="0.25">
      <c r="A11" s="951"/>
      <c r="B11" s="951"/>
      <c r="C11" s="951"/>
      <c r="D11" s="951"/>
      <c r="E11" s="951"/>
      <c r="F11" s="951"/>
    </row>
    <row r="12" spans="1:6" x14ac:dyDescent="0.25">
      <c r="A12" s="951"/>
      <c r="B12" s="951"/>
      <c r="C12" s="951"/>
      <c r="D12" s="951"/>
      <c r="E12" s="951"/>
      <c r="F12" s="951"/>
    </row>
    <row r="13" spans="1:6" x14ac:dyDescent="0.25">
      <c r="A13" s="951"/>
      <c r="B13" s="951"/>
      <c r="C13" s="951"/>
      <c r="D13" s="951"/>
      <c r="E13" s="951"/>
      <c r="F13" s="951"/>
    </row>
    <row r="14" spans="1:6" x14ac:dyDescent="0.25">
      <c r="A14" s="951"/>
      <c r="B14" s="951"/>
      <c r="C14" s="951"/>
      <c r="D14" s="951"/>
      <c r="E14" s="951"/>
      <c r="F14" s="951"/>
    </row>
    <row r="15" spans="1:6" x14ac:dyDescent="0.25">
      <c r="A15" s="951"/>
      <c r="B15" s="951"/>
      <c r="C15" s="951"/>
      <c r="D15" s="951"/>
      <c r="E15" s="951"/>
      <c r="F15" s="951"/>
    </row>
    <row r="16" spans="1:6" x14ac:dyDescent="0.25">
      <c r="A16" s="951"/>
      <c r="B16" s="951"/>
      <c r="C16" s="951"/>
      <c r="D16" s="951"/>
      <c r="E16" s="951"/>
      <c r="F16" s="951"/>
    </row>
    <row r="17" spans="1:6" x14ac:dyDescent="0.25">
      <c r="A17" s="951"/>
      <c r="B17" s="951"/>
      <c r="C17" s="951"/>
      <c r="D17" s="951"/>
      <c r="E17" s="951"/>
      <c r="F17" s="951"/>
    </row>
    <row r="18" spans="1:6" x14ac:dyDescent="0.25">
      <c r="A18" s="951"/>
      <c r="B18" s="951"/>
      <c r="C18" s="951"/>
      <c r="D18" s="951"/>
      <c r="E18" s="951"/>
      <c r="F18" s="951"/>
    </row>
    <row r="19" spans="1:6" x14ac:dyDescent="0.25">
      <c r="A19" s="951"/>
      <c r="B19" s="951"/>
      <c r="C19" s="951"/>
      <c r="D19" s="951"/>
      <c r="E19" s="951"/>
      <c r="F19" s="951"/>
    </row>
    <row r="20" spans="1:6" x14ac:dyDescent="0.25">
      <c r="A20" s="951"/>
      <c r="B20" s="951"/>
      <c r="C20" s="951"/>
      <c r="D20" s="951"/>
      <c r="E20" s="951"/>
      <c r="F20" s="951"/>
    </row>
    <row r="21" spans="1:6" x14ac:dyDescent="0.25">
      <c r="A21" s="951"/>
      <c r="B21" s="951"/>
      <c r="C21" s="951"/>
      <c r="D21" s="951"/>
      <c r="E21" s="951"/>
      <c r="F21" s="951"/>
    </row>
    <row r="22" spans="1:6" x14ac:dyDescent="0.25">
      <c r="A22" s="951"/>
      <c r="B22" s="951"/>
      <c r="C22" s="951"/>
      <c r="D22" s="951"/>
      <c r="E22" s="951"/>
      <c r="F22" s="951"/>
    </row>
    <row r="23" spans="1:6" x14ac:dyDescent="0.25">
      <c r="A23" s="951"/>
      <c r="B23" s="951"/>
      <c r="C23" s="951"/>
      <c r="D23" s="951"/>
      <c r="E23" s="951"/>
      <c r="F23" s="951"/>
    </row>
    <row r="24" spans="1:6" x14ac:dyDescent="0.25">
      <c r="A24" s="951"/>
      <c r="B24" s="951"/>
      <c r="C24" s="951"/>
      <c r="D24" s="951"/>
      <c r="E24" s="951"/>
      <c r="F24" s="951"/>
    </row>
    <row r="25" spans="1:6" x14ac:dyDescent="0.25">
      <c r="A25" s="951"/>
      <c r="B25" s="951"/>
      <c r="C25" s="951"/>
      <c r="D25" s="951"/>
      <c r="E25" s="951"/>
      <c r="F25" s="951"/>
    </row>
    <row r="26" spans="1:6" x14ac:dyDescent="0.25">
      <c r="A26" s="951"/>
      <c r="B26" s="951"/>
      <c r="C26" s="951"/>
      <c r="D26" s="951"/>
      <c r="E26" s="951"/>
      <c r="F26" s="951"/>
    </row>
    <row r="27" spans="1:6" x14ac:dyDescent="0.25">
      <c r="A27" s="951"/>
      <c r="B27" s="951"/>
      <c r="C27" s="951"/>
      <c r="D27" s="951"/>
      <c r="E27" s="951"/>
      <c r="F27" s="951"/>
    </row>
    <row r="28" spans="1:6" x14ac:dyDescent="0.25">
      <c r="A28" s="951"/>
      <c r="B28" s="951"/>
      <c r="C28" s="951"/>
      <c r="D28" s="951"/>
      <c r="E28" s="951"/>
      <c r="F28" s="951"/>
    </row>
    <row r="29" spans="1:6" x14ac:dyDescent="0.25">
      <c r="A29" s="951"/>
      <c r="B29" s="951"/>
      <c r="C29" s="951"/>
      <c r="D29" s="951"/>
      <c r="E29" s="951"/>
      <c r="F29" s="951"/>
    </row>
    <row r="30" spans="1:6" x14ac:dyDescent="0.25">
      <c r="A30" s="951"/>
      <c r="B30" s="951"/>
      <c r="C30" s="951"/>
      <c r="D30" s="951"/>
      <c r="E30" s="951"/>
      <c r="F30" s="951"/>
    </row>
  </sheetData>
  <mergeCells count="1">
    <mergeCell ref="A1:F30"/>
  </mergeCells>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36E144-85AC-4B37-84EC-5ED0DB3161FB}">
  <dimension ref="A2:L48"/>
  <sheetViews>
    <sheetView topLeftCell="A31" workbookViewId="0">
      <selection activeCell="F14" sqref="A1:XFD1048576"/>
    </sheetView>
  </sheetViews>
  <sheetFormatPr baseColWidth="10" defaultRowHeight="15" x14ac:dyDescent="0.25"/>
  <cols>
    <col min="1" max="1" width="4.7109375" customWidth="1"/>
    <col min="2" max="2" width="43.85546875" customWidth="1"/>
    <col min="3" max="3" width="4.85546875" bestFit="1" customWidth="1"/>
    <col min="4" max="7" width="17.28515625" customWidth="1"/>
    <col min="8" max="8" width="4.7109375" customWidth="1"/>
    <col min="9" max="9" width="43.85546875" customWidth="1"/>
    <col min="10" max="10" width="7.28515625" bestFit="1" customWidth="1"/>
    <col min="11" max="12" width="17.28515625" customWidth="1"/>
  </cols>
  <sheetData>
    <row r="2" spans="1:12" x14ac:dyDescent="0.25">
      <c r="A2" s="961" t="s">
        <v>464</v>
      </c>
      <c r="B2" s="961"/>
      <c r="C2" s="958" t="s">
        <v>2</v>
      </c>
      <c r="D2" s="958"/>
      <c r="E2" s="958"/>
      <c r="F2" s="958"/>
      <c r="G2" s="958"/>
      <c r="H2" s="958"/>
      <c r="I2" s="958"/>
      <c r="J2" s="958"/>
      <c r="K2" s="958"/>
      <c r="L2" s="958"/>
    </row>
    <row r="3" spans="1:12" x14ac:dyDescent="0.25">
      <c r="A3" s="198"/>
      <c r="B3" s="198"/>
      <c r="C3" s="957" t="s">
        <v>4</v>
      </c>
      <c r="D3" s="957"/>
      <c r="E3" s="957"/>
      <c r="F3" s="957"/>
      <c r="G3" s="957"/>
      <c r="H3" s="957"/>
      <c r="I3" s="957"/>
      <c r="J3" s="957"/>
      <c r="K3" s="957"/>
      <c r="L3" s="957"/>
    </row>
    <row r="4" spans="1:12" x14ac:dyDescent="0.25">
      <c r="A4" s="198" t="s">
        <v>362</v>
      </c>
      <c r="B4" s="199"/>
      <c r="C4" s="958" t="s">
        <v>6</v>
      </c>
      <c r="D4" s="958"/>
      <c r="E4" s="958"/>
      <c r="F4" s="958"/>
      <c r="G4" s="958"/>
      <c r="H4" s="958"/>
      <c r="I4" s="958"/>
      <c r="J4" s="958"/>
      <c r="K4" s="958"/>
      <c r="L4" s="958"/>
    </row>
    <row r="5" spans="1:12" x14ac:dyDescent="0.25">
      <c r="A5" s="198" t="s">
        <v>363</v>
      </c>
      <c r="B5" s="199"/>
      <c r="C5" s="958">
        <v>4431</v>
      </c>
      <c r="D5" s="958"/>
      <c r="E5" s="958"/>
      <c r="F5" s="958"/>
      <c r="G5" s="958"/>
      <c r="H5" s="958"/>
      <c r="I5" s="958"/>
      <c r="J5" s="958"/>
      <c r="K5" s="958"/>
      <c r="L5" s="958"/>
    </row>
    <row r="6" spans="1:12" x14ac:dyDescent="0.25">
      <c r="A6" s="198" t="s">
        <v>364</v>
      </c>
      <c r="B6" s="199"/>
      <c r="C6" s="957" t="s">
        <v>12</v>
      </c>
      <c r="D6" s="957"/>
      <c r="E6" s="957"/>
      <c r="F6" s="46" t="s">
        <v>365</v>
      </c>
      <c r="G6" s="960">
        <v>46022</v>
      </c>
      <c r="H6" s="959"/>
      <c r="I6" s="198"/>
      <c r="J6" s="959" t="s">
        <v>465</v>
      </c>
      <c r="K6" s="959"/>
      <c r="L6" s="198">
        <v>12</v>
      </c>
    </row>
    <row r="7" spans="1:12" x14ac:dyDescent="0.25">
      <c r="A7" s="200" t="s">
        <v>367</v>
      </c>
      <c r="B7" s="201"/>
      <c r="C7" s="957" t="s">
        <v>8</v>
      </c>
      <c r="D7" s="957"/>
      <c r="E7" s="957"/>
      <c r="F7" s="199"/>
      <c r="G7" s="199"/>
      <c r="H7" s="198"/>
      <c r="I7" s="198"/>
      <c r="J7" s="198"/>
      <c r="K7" s="198"/>
      <c r="L7" s="198"/>
    </row>
    <row r="8" spans="1:12" x14ac:dyDescent="0.25">
      <c r="A8" s="199" t="s">
        <v>466</v>
      </c>
      <c r="B8" s="199"/>
      <c r="C8" s="958" t="s">
        <v>34</v>
      </c>
      <c r="D8" s="958"/>
      <c r="E8" s="958"/>
      <c r="F8" s="958"/>
      <c r="G8" s="958"/>
      <c r="H8" s="958"/>
      <c r="I8" s="958"/>
      <c r="J8" s="958"/>
      <c r="K8" s="958"/>
      <c r="L8" s="958"/>
    </row>
    <row r="9" spans="1:12" x14ac:dyDescent="0.25">
      <c r="A9" s="199"/>
      <c r="B9" s="199"/>
      <c r="C9" s="957">
        <v>555555</v>
      </c>
      <c r="D9" s="957"/>
      <c r="E9" s="957"/>
      <c r="F9" s="957"/>
      <c r="G9" s="957"/>
      <c r="H9" s="957"/>
      <c r="I9" s="957"/>
      <c r="J9" s="957"/>
      <c r="K9" s="957"/>
      <c r="L9" s="957"/>
    </row>
    <row r="10" spans="1:12" x14ac:dyDescent="0.25">
      <c r="A10" s="199" t="s">
        <v>467</v>
      </c>
      <c r="B10" s="199"/>
      <c r="C10" s="957" t="s">
        <v>38</v>
      </c>
      <c r="D10" s="957"/>
      <c r="E10" s="957"/>
      <c r="F10" s="959" t="s">
        <v>468</v>
      </c>
      <c r="G10" s="959"/>
      <c r="H10" s="959"/>
      <c r="I10" s="957" t="s">
        <v>36</v>
      </c>
      <c r="J10" s="957"/>
      <c r="K10" s="957"/>
      <c r="L10" s="957"/>
    </row>
    <row r="11" spans="1:12" x14ac:dyDescent="0.25">
      <c r="A11" s="199" t="s">
        <v>469</v>
      </c>
      <c r="B11" s="199"/>
      <c r="C11" s="954">
        <v>44713</v>
      </c>
      <c r="D11" s="954"/>
      <c r="E11" s="954"/>
      <c r="F11" s="770" t="s">
        <v>470</v>
      </c>
      <c r="G11" s="770"/>
      <c r="H11" s="770"/>
      <c r="I11" s="202">
        <v>45991</v>
      </c>
      <c r="J11" s="203"/>
      <c r="K11" s="203"/>
      <c r="L11" s="203"/>
    </row>
    <row r="12" spans="1:12" x14ac:dyDescent="0.25">
      <c r="A12" s="770" t="s">
        <v>463</v>
      </c>
      <c r="B12" s="770"/>
      <c r="C12" s="770"/>
      <c r="D12" s="770"/>
      <c r="E12" s="770"/>
      <c r="F12" s="770"/>
      <c r="G12" s="770"/>
      <c r="H12" s="770"/>
      <c r="I12" s="770"/>
      <c r="J12" s="770"/>
      <c r="K12" s="770"/>
      <c r="L12" s="770"/>
    </row>
    <row r="13" spans="1:12" ht="9" customHeight="1" x14ac:dyDescent="0.25"/>
    <row r="14" spans="1:12" x14ac:dyDescent="0.25">
      <c r="A14" s="955" t="s">
        <v>471</v>
      </c>
      <c r="B14" s="955" t="s">
        <v>472</v>
      </c>
      <c r="C14" s="955" t="s">
        <v>473</v>
      </c>
      <c r="D14" s="956" t="s">
        <v>474</v>
      </c>
      <c r="E14" s="956"/>
      <c r="F14" s="956"/>
      <c r="G14" s="205" t="s">
        <v>474</v>
      </c>
      <c r="H14" s="955" t="s">
        <v>471</v>
      </c>
      <c r="I14" s="955" t="s">
        <v>475</v>
      </c>
      <c r="J14" s="955" t="s">
        <v>473</v>
      </c>
      <c r="K14" s="205" t="s">
        <v>474</v>
      </c>
      <c r="L14" s="205" t="s">
        <v>474</v>
      </c>
    </row>
    <row r="15" spans="1:12" x14ac:dyDescent="0.25">
      <c r="A15" s="955"/>
      <c r="B15" s="955"/>
      <c r="C15" s="955"/>
      <c r="D15" s="952">
        <v>46022</v>
      </c>
      <c r="E15" s="953"/>
      <c r="F15" s="953"/>
      <c r="G15" s="206">
        <v>46022</v>
      </c>
      <c r="H15" s="955"/>
      <c r="I15" s="955"/>
      <c r="J15" s="955"/>
      <c r="K15" s="207">
        <v>46022</v>
      </c>
      <c r="L15" s="206">
        <v>46022</v>
      </c>
    </row>
    <row r="16" spans="1:12" x14ac:dyDescent="0.25">
      <c r="A16" s="955"/>
      <c r="B16" s="955"/>
      <c r="C16" s="955"/>
      <c r="D16" s="204" t="s">
        <v>476</v>
      </c>
      <c r="E16" s="204" t="s">
        <v>477</v>
      </c>
      <c r="F16" s="204" t="s">
        <v>478</v>
      </c>
      <c r="G16" s="204" t="s">
        <v>478</v>
      </c>
      <c r="H16" s="955"/>
      <c r="I16" s="955"/>
      <c r="J16" s="955"/>
      <c r="K16" s="204" t="s">
        <v>478</v>
      </c>
      <c r="L16" s="204" t="s">
        <v>478</v>
      </c>
    </row>
    <row r="17" spans="1:12" ht="38.25" x14ac:dyDescent="0.25">
      <c r="A17" s="208" t="s">
        <v>479</v>
      </c>
      <c r="B17" s="209" t="s">
        <v>480</v>
      </c>
      <c r="C17" s="208">
        <v>5</v>
      </c>
      <c r="D17" s="210">
        <f>SUM(D18:D19)</f>
        <v>0</v>
      </c>
      <c r="E17" s="210">
        <f t="shared" ref="E17:G17" si="0">SUM(E18:E19)</f>
        <v>0</v>
      </c>
      <c r="F17" s="210">
        <f t="shared" si="0"/>
        <v>0</v>
      </c>
      <c r="G17" s="210">
        <f t="shared" si="0"/>
        <v>0</v>
      </c>
      <c r="H17" s="211" t="s">
        <v>481</v>
      </c>
      <c r="I17" s="212" t="s">
        <v>482</v>
      </c>
      <c r="J17" s="211">
        <v>15</v>
      </c>
      <c r="K17" s="213">
        <v>0</v>
      </c>
      <c r="L17" s="213">
        <v>0</v>
      </c>
    </row>
    <row r="18" spans="1:12" x14ac:dyDescent="0.25">
      <c r="A18" s="214" t="s">
        <v>483</v>
      </c>
      <c r="B18" s="215" t="s">
        <v>484</v>
      </c>
      <c r="C18" s="214"/>
      <c r="D18" s="216">
        <v>0</v>
      </c>
      <c r="E18" s="216">
        <v>0</v>
      </c>
      <c r="F18" s="216">
        <v>0</v>
      </c>
      <c r="G18" s="216">
        <v>0</v>
      </c>
      <c r="H18" s="214" t="s">
        <v>485</v>
      </c>
      <c r="I18" s="215" t="s">
        <v>486</v>
      </c>
      <c r="J18" s="214">
        <v>15</v>
      </c>
      <c r="K18" s="216">
        <v>0</v>
      </c>
      <c r="L18" s="216">
        <v>0</v>
      </c>
    </row>
    <row r="19" spans="1:12" x14ac:dyDescent="0.25">
      <c r="A19" s="214" t="s">
        <v>487</v>
      </c>
      <c r="B19" s="215" t="s">
        <v>488</v>
      </c>
      <c r="C19" s="214"/>
      <c r="D19" s="216">
        <v>0</v>
      </c>
      <c r="E19" s="216">
        <v>0</v>
      </c>
      <c r="F19" s="216">
        <v>0</v>
      </c>
      <c r="G19" s="216">
        <v>0</v>
      </c>
      <c r="H19" s="214" t="s">
        <v>489</v>
      </c>
      <c r="I19" s="215" t="s">
        <v>490</v>
      </c>
      <c r="J19" s="214">
        <v>15</v>
      </c>
      <c r="K19" s="216">
        <v>0</v>
      </c>
      <c r="L19" s="216">
        <v>0</v>
      </c>
    </row>
    <row r="20" spans="1:12" x14ac:dyDescent="0.25">
      <c r="A20" s="217" t="s">
        <v>491</v>
      </c>
      <c r="B20" s="218" t="s">
        <v>492</v>
      </c>
      <c r="C20" s="217">
        <v>5</v>
      </c>
      <c r="D20" s="219">
        <v>0</v>
      </c>
      <c r="E20" s="219">
        <v>0</v>
      </c>
      <c r="F20" s="219">
        <v>0</v>
      </c>
      <c r="G20" s="219">
        <v>0</v>
      </c>
      <c r="H20" s="214" t="s">
        <v>493</v>
      </c>
      <c r="I20" s="215" t="s">
        <v>494</v>
      </c>
      <c r="J20" s="214">
        <v>15</v>
      </c>
      <c r="K20" s="216">
        <v>0</v>
      </c>
      <c r="L20" s="216">
        <v>0</v>
      </c>
    </row>
    <row r="21" spans="1:12" x14ac:dyDescent="0.25">
      <c r="A21" s="214" t="s">
        <v>495</v>
      </c>
      <c r="B21" s="215" t="s">
        <v>496</v>
      </c>
      <c r="C21" s="214"/>
      <c r="D21" s="216">
        <v>0</v>
      </c>
      <c r="E21" s="216">
        <v>0</v>
      </c>
      <c r="F21" s="216">
        <v>0</v>
      </c>
      <c r="G21" s="216">
        <v>0</v>
      </c>
      <c r="H21" s="214" t="s">
        <v>497</v>
      </c>
      <c r="I21" s="215" t="s">
        <v>498</v>
      </c>
      <c r="J21" s="214" t="s">
        <v>499</v>
      </c>
      <c r="K21" s="216">
        <v>0</v>
      </c>
      <c r="L21" s="216">
        <v>0</v>
      </c>
    </row>
    <row r="22" spans="1:12" x14ac:dyDescent="0.25">
      <c r="A22" s="214" t="s">
        <v>500</v>
      </c>
      <c r="B22" s="215" t="s">
        <v>501</v>
      </c>
      <c r="C22" s="214"/>
      <c r="D22" s="216">
        <v>0</v>
      </c>
      <c r="E22" s="216">
        <v>0</v>
      </c>
      <c r="F22" s="216">
        <v>0</v>
      </c>
      <c r="G22" s="216">
        <v>0</v>
      </c>
      <c r="H22" s="214" t="s">
        <v>502</v>
      </c>
      <c r="I22" s="215" t="s">
        <v>503</v>
      </c>
      <c r="J22" s="214">
        <v>16</v>
      </c>
      <c r="K22" s="216">
        <v>0</v>
      </c>
      <c r="L22" s="216">
        <v>0</v>
      </c>
    </row>
    <row r="23" spans="1:12" ht="25.5" x14ac:dyDescent="0.25">
      <c r="A23" s="214" t="s">
        <v>504</v>
      </c>
      <c r="B23" s="220" t="s">
        <v>505</v>
      </c>
      <c r="C23" s="214"/>
      <c r="D23" s="216">
        <v>0</v>
      </c>
      <c r="E23" s="216">
        <v>0</v>
      </c>
      <c r="F23" s="216">
        <v>0</v>
      </c>
      <c r="G23" s="216">
        <v>0</v>
      </c>
      <c r="H23" s="214" t="s">
        <v>506</v>
      </c>
      <c r="I23" s="215" t="s">
        <v>507</v>
      </c>
      <c r="J23" s="214">
        <v>16</v>
      </c>
      <c r="K23" s="216">
        <v>0</v>
      </c>
      <c r="L23" s="216">
        <v>0</v>
      </c>
    </row>
    <row r="24" spans="1:12" x14ac:dyDescent="0.25">
      <c r="A24" s="217" t="s">
        <v>508</v>
      </c>
      <c r="B24" s="218" t="s">
        <v>509</v>
      </c>
      <c r="C24" s="217">
        <v>5</v>
      </c>
      <c r="D24" s="219">
        <v>0</v>
      </c>
      <c r="E24" s="219">
        <v>0</v>
      </c>
      <c r="F24" s="219">
        <v>0</v>
      </c>
      <c r="G24" s="219">
        <v>0</v>
      </c>
      <c r="H24" s="214" t="s">
        <v>510</v>
      </c>
      <c r="I24" s="215" t="s">
        <v>511</v>
      </c>
      <c r="J24" s="214"/>
      <c r="K24" s="216">
        <v>0</v>
      </c>
      <c r="L24" s="216">
        <v>0</v>
      </c>
    </row>
    <row r="25" spans="1:12" x14ac:dyDescent="0.25">
      <c r="A25" s="214" t="s">
        <v>512</v>
      </c>
      <c r="B25" s="215" t="s">
        <v>513</v>
      </c>
      <c r="C25" s="214"/>
      <c r="D25" s="216">
        <v>0</v>
      </c>
      <c r="E25" s="216">
        <v>0</v>
      </c>
      <c r="F25" s="216">
        <v>0</v>
      </c>
      <c r="G25" s="216">
        <v>0</v>
      </c>
      <c r="H25" s="214" t="s">
        <v>514</v>
      </c>
      <c r="I25" s="215" t="s">
        <v>515</v>
      </c>
      <c r="J25" s="214" t="s">
        <v>516</v>
      </c>
      <c r="K25" s="216">
        <v>0</v>
      </c>
      <c r="L25" s="216">
        <v>0</v>
      </c>
    </row>
    <row r="26" spans="1:12" x14ac:dyDescent="0.25">
      <c r="A26" s="214" t="s">
        <v>517</v>
      </c>
      <c r="B26" s="215" t="s">
        <v>518</v>
      </c>
      <c r="C26" s="214"/>
      <c r="D26" s="216">
        <v>0</v>
      </c>
      <c r="E26" s="216">
        <v>0</v>
      </c>
      <c r="F26" s="216">
        <v>0</v>
      </c>
      <c r="G26" s="216">
        <v>0</v>
      </c>
      <c r="H26" s="214" t="s">
        <v>519</v>
      </c>
      <c r="I26" s="215" t="s">
        <v>520</v>
      </c>
      <c r="J26" s="214" t="s">
        <v>516</v>
      </c>
      <c r="K26" s="216">
        <v>0</v>
      </c>
      <c r="L26" s="216">
        <v>0</v>
      </c>
    </row>
    <row r="27" spans="1:12" x14ac:dyDescent="0.25">
      <c r="A27" s="214" t="s">
        <v>521</v>
      </c>
      <c r="B27" s="215" t="s">
        <v>522</v>
      </c>
      <c r="C27" s="214"/>
      <c r="D27" s="216">
        <v>0</v>
      </c>
      <c r="E27" s="216">
        <v>0</v>
      </c>
      <c r="F27" s="216">
        <v>0</v>
      </c>
      <c r="G27" s="216">
        <v>0</v>
      </c>
      <c r="H27" s="217" t="s">
        <v>523</v>
      </c>
      <c r="I27" s="218" t="s">
        <v>524</v>
      </c>
      <c r="J27" s="217"/>
      <c r="K27" s="219">
        <v>0</v>
      </c>
      <c r="L27" s="219">
        <v>0</v>
      </c>
    </row>
    <row r="28" spans="1:12" ht="25.5" x14ac:dyDescent="0.25">
      <c r="A28" s="214" t="s">
        <v>525</v>
      </c>
      <c r="B28" s="215" t="s">
        <v>526</v>
      </c>
      <c r="C28" s="214"/>
      <c r="D28" s="216">
        <v>0</v>
      </c>
      <c r="E28" s="216">
        <v>0</v>
      </c>
      <c r="F28" s="216">
        <v>0</v>
      </c>
      <c r="G28" s="216">
        <v>0</v>
      </c>
      <c r="H28" s="214" t="s">
        <v>527</v>
      </c>
      <c r="I28" s="220" t="s">
        <v>528</v>
      </c>
      <c r="J28" s="214" t="s">
        <v>529</v>
      </c>
      <c r="K28" s="216">
        <v>0</v>
      </c>
      <c r="L28" s="216">
        <v>0</v>
      </c>
    </row>
    <row r="29" spans="1:12" x14ac:dyDescent="0.25">
      <c r="A29" s="214" t="s">
        <v>530</v>
      </c>
      <c r="B29" s="215" t="s">
        <v>531</v>
      </c>
      <c r="C29" s="214"/>
      <c r="D29" s="216">
        <v>0</v>
      </c>
      <c r="E29" s="216">
        <v>0</v>
      </c>
      <c r="F29" s="216">
        <v>0</v>
      </c>
      <c r="G29" s="216">
        <v>0</v>
      </c>
      <c r="H29" s="214" t="s">
        <v>532</v>
      </c>
      <c r="I29" s="215" t="s">
        <v>533</v>
      </c>
      <c r="J29" s="214" t="s">
        <v>529</v>
      </c>
      <c r="K29" s="216">
        <v>0</v>
      </c>
      <c r="L29" s="216">
        <v>0</v>
      </c>
    </row>
    <row r="30" spans="1:12" ht="25.5" x14ac:dyDescent="0.25">
      <c r="A30" s="214" t="s">
        <v>534</v>
      </c>
      <c r="B30" s="220" t="s">
        <v>535</v>
      </c>
      <c r="C30" s="214"/>
      <c r="D30" s="216">
        <v>0</v>
      </c>
      <c r="E30" s="216">
        <v>0</v>
      </c>
      <c r="F30" s="216">
        <v>0</v>
      </c>
      <c r="G30" s="216">
        <v>0</v>
      </c>
      <c r="H30" s="217" t="s">
        <v>536</v>
      </c>
      <c r="I30" s="218" t="s">
        <v>537</v>
      </c>
      <c r="J30" s="217"/>
      <c r="K30" s="219">
        <v>0</v>
      </c>
      <c r="L30" s="219">
        <v>0</v>
      </c>
    </row>
    <row r="31" spans="1:12" x14ac:dyDescent="0.25">
      <c r="A31" s="217" t="s">
        <v>538</v>
      </c>
      <c r="B31" s="218" t="s">
        <v>539</v>
      </c>
      <c r="C31" s="217">
        <v>6</v>
      </c>
      <c r="D31" s="219">
        <v>0</v>
      </c>
      <c r="E31" s="219">
        <v>0</v>
      </c>
      <c r="F31" s="219">
        <v>0</v>
      </c>
      <c r="G31" s="219">
        <v>0</v>
      </c>
      <c r="H31" s="217" t="s">
        <v>540</v>
      </c>
      <c r="I31" s="218" t="s">
        <v>541</v>
      </c>
      <c r="J31" s="217"/>
      <c r="K31" s="219">
        <v>0</v>
      </c>
      <c r="L31" s="219">
        <v>0</v>
      </c>
    </row>
    <row r="32" spans="1:12" x14ac:dyDescent="0.25">
      <c r="A32" s="214" t="s">
        <v>542</v>
      </c>
      <c r="B32" s="215" t="s">
        <v>543</v>
      </c>
      <c r="C32" s="214"/>
      <c r="D32" s="216">
        <v>0</v>
      </c>
      <c r="E32" s="216">
        <v>0</v>
      </c>
      <c r="F32" s="216">
        <v>0</v>
      </c>
      <c r="G32" s="216">
        <v>0</v>
      </c>
      <c r="H32" s="214" t="s">
        <v>544</v>
      </c>
      <c r="I32" s="215" t="s">
        <v>545</v>
      </c>
      <c r="J32" s="214" t="s">
        <v>546</v>
      </c>
      <c r="K32" s="216">
        <v>0</v>
      </c>
      <c r="L32" s="216">
        <v>0</v>
      </c>
    </row>
    <row r="33" spans="1:12" x14ac:dyDescent="0.25">
      <c r="A33" s="214" t="s">
        <v>547</v>
      </c>
      <c r="B33" s="215" t="s">
        <v>548</v>
      </c>
      <c r="C33" s="214"/>
      <c r="D33" s="216">
        <v>0</v>
      </c>
      <c r="E33" s="216">
        <v>0</v>
      </c>
      <c r="F33" s="216">
        <v>0</v>
      </c>
      <c r="G33" s="216">
        <v>0</v>
      </c>
      <c r="H33" s="214" t="s">
        <v>549</v>
      </c>
      <c r="I33" s="215" t="s">
        <v>550</v>
      </c>
      <c r="J33" s="214" t="s">
        <v>546</v>
      </c>
      <c r="K33" s="216">
        <v>0</v>
      </c>
      <c r="L33" s="216">
        <v>0</v>
      </c>
    </row>
    <row r="34" spans="1:12" x14ac:dyDescent="0.25">
      <c r="A34" s="221"/>
      <c r="B34" s="222"/>
      <c r="C34" s="221"/>
      <c r="D34" s="223"/>
      <c r="E34" s="223"/>
      <c r="F34" s="223"/>
      <c r="G34" s="223"/>
      <c r="H34" s="214" t="s">
        <v>551</v>
      </c>
      <c r="I34" s="215" t="s">
        <v>552</v>
      </c>
      <c r="J34" s="214" t="s">
        <v>546</v>
      </c>
      <c r="K34" s="216">
        <v>0</v>
      </c>
      <c r="L34" s="216">
        <v>0</v>
      </c>
    </row>
    <row r="35" spans="1:12" ht="25.5" x14ac:dyDescent="0.25">
      <c r="A35" s="224"/>
      <c r="B35" s="225"/>
      <c r="C35" s="224"/>
      <c r="D35" s="226"/>
      <c r="E35" s="226"/>
      <c r="F35" s="226"/>
      <c r="G35" s="226"/>
      <c r="H35" s="217" t="s">
        <v>553</v>
      </c>
      <c r="I35" s="227" t="s">
        <v>554</v>
      </c>
      <c r="J35" s="217"/>
      <c r="K35" s="219">
        <v>0</v>
      </c>
      <c r="L35" s="219">
        <v>0</v>
      </c>
    </row>
    <row r="36" spans="1:12" x14ac:dyDescent="0.25">
      <c r="A36" s="228" t="s">
        <v>555</v>
      </c>
      <c r="B36" s="229" t="s">
        <v>556</v>
      </c>
      <c r="C36" s="228"/>
      <c r="D36" s="230">
        <v>0</v>
      </c>
      <c r="E36" s="230">
        <v>0</v>
      </c>
      <c r="F36" s="230">
        <v>0</v>
      </c>
      <c r="G36" s="230">
        <v>0</v>
      </c>
      <c r="H36" s="228" t="s">
        <v>557</v>
      </c>
      <c r="I36" s="229" t="s">
        <v>558</v>
      </c>
      <c r="J36" s="228"/>
      <c r="K36" s="230">
        <v>0</v>
      </c>
      <c r="L36" s="230">
        <v>0</v>
      </c>
    </row>
    <row r="37" spans="1:12" x14ac:dyDescent="0.25">
      <c r="A37" s="214" t="s">
        <v>559</v>
      </c>
      <c r="B37" s="215" t="s">
        <v>560</v>
      </c>
      <c r="C37" s="214">
        <v>7</v>
      </c>
      <c r="D37" s="216">
        <v>0</v>
      </c>
      <c r="E37" s="216">
        <v>0</v>
      </c>
      <c r="F37" s="216">
        <v>0</v>
      </c>
      <c r="G37" s="216">
        <v>0</v>
      </c>
      <c r="H37" s="214" t="s">
        <v>561</v>
      </c>
      <c r="I37" s="215" t="s">
        <v>562</v>
      </c>
      <c r="J37" s="214">
        <v>7</v>
      </c>
      <c r="K37" s="216">
        <v>0</v>
      </c>
      <c r="L37" s="216">
        <v>0</v>
      </c>
    </row>
    <row r="38" spans="1:12" x14ac:dyDescent="0.25">
      <c r="A38" s="214" t="s">
        <v>563</v>
      </c>
      <c r="B38" s="215" t="s">
        <v>564</v>
      </c>
      <c r="C38" s="214">
        <v>8</v>
      </c>
      <c r="D38" s="216">
        <v>0</v>
      </c>
      <c r="E38" s="216">
        <v>0</v>
      </c>
      <c r="F38" s="216">
        <v>0</v>
      </c>
      <c r="G38" s="216">
        <v>0</v>
      </c>
      <c r="H38" s="214" t="s">
        <v>565</v>
      </c>
      <c r="I38" s="215" t="s">
        <v>566</v>
      </c>
      <c r="J38" s="214">
        <v>9</v>
      </c>
      <c r="K38" s="216">
        <v>0</v>
      </c>
      <c r="L38" s="216">
        <v>0</v>
      </c>
    </row>
    <row r="39" spans="1:12" x14ac:dyDescent="0.25">
      <c r="A39" s="214" t="s">
        <v>567</v>
      </c>
      <c r="B39" s="215" t="s">
        <v>568</v>
      </c>
      <c r="C39" s="214">
        <v>19</v>
      </c>
      <c r="D39" s="216">
        <v>0</v>
      </c>
      <c r="E39" s="216">
        <v>0</v>
      </c>
      <c r="F39" s="216">
        <v>0</v>
      </c>
      <c r="G39" s="216">
        <v>0</v>
      </c>
      <c r="H39" s="214" t="s">
        <v>569</v>
      </c>
      <c r="I39" s="215" t="s">
        <v>570</v>
      </c>
      <c r="J39" s="214">
        <v>19</v>
      </c>
      <c r="K39" s="216">
        <v>0</v>
      </c>
      <c r="L39" s="216">
        <v>0</v>
      </c>
    </row>
    <row r="40" spans="1:12" x14ac:dyDescent="0.25">
      <c r="A40" s="214" t="s">
        <v>571</v>
      </c>
      <c r="B40" s="215" t="s">
        <v>572</v>
      </c>
      <c r="C40" s="214">
        <v>9</v>
      </c>
      <c r="D40" s="216">
        <v>0</v>
      </c>
      <c r="E40" s="216">
        <v>0</v>
      </c>
      <c r="F40" s="216">
        <v>0</v>
      </c>
      <c r="G40" s="216">
        <v>0</v>
      </c>
      <c r="H40" s="214" t="s">
        <v>573</v>
      </c>
      <c r="I40" s="215" t="s">
        <v>574</v>
      </c>
      <c r="J40" s="214" t="s">
        <v>575</v>
      </c>
      <c r="K40" s="216">
        <v>0</v>
      </c>
      <c r="L40" s="216">
        <v>0</v>
      </c>
    </row>
    <row r="41" spans="1:12" x14ac:dyDescent="0.25">
      <c r="A41" s="214" t="s">
        <v>576</v>
      </c>
      <c r="B41" s="215" t="s">
        <v>577</v>
      </c>
      <c r="C41" s="214">
        <v>10</v>
      </c>
      <c r="D41" s="216">
        <v>0</v>
      </c>
      <c r="E41" s="216">
        <v>0</v>
      </c>
      <c r="F41" s="216">
        <v>0</v>
      </c>
      <c r="G41" s="216">
        <v>0</v>
      </c>
      <c r="H41" s="214"/>
      <c r="I41" s="215"/>
      <c r="J41" s="214"/>
      <c r="K41" s="216"/>
      <c r="L41" s="216"/>
    </row>
    <row r="42" spans="1:12" x14ac:dyDescent="0.25">
      <c r="A42" s="228" t="s">
        <v>578</v>
      </c>
      <c r="B42" s="229" t="s">
        <v>579</v>
      </c>
      <c r="C42" s="228"/>
      <c r="D42" s="230">
        <v>0</v>
      </c>
      <c r="E42" s="230">
        <v>0</v>
      </c>
      <c r="F42" s="230">
        <v>0</v>
      </c>
      <c r="G42" s="230">
        <v>0</v>
      </c>
      <c r="H42" s="228" t="s">
        <v>580</v>
      </c>
      <c r="I42" s="229" t="s">
        <v>581</v>
      </c>
      <c r="J42" s="228"/>
      <c r="K42" s="230">
        <v>0</v>
      </c>
      <c r="L42" s="230">
        <v>0</v>
      </c>
    </row>
    <row r="43" spans="1:12" ht="25.5" x14ac:dyDescent="0.25">
      <c r="A43" s="214" t="s">
        <v>582</v>
      </c>
      <c r="B43" s="215" t="s">
        <v>583</v>
      </c>
      <c r="C43" s="214">
        <v>11</v>
      </c>
      <c r="D43" s="216">
        <v>0</v>
      </c>
      <c r="E43" s="216">
        <v>0</v>
      </c>
      <c r="F43" s="216">
        <v>0</v>
      </c>
      <c r="G43" s="216">
        <v>0</v>
      </c>
      <c r="H43" s="214" t="s">
        <v>584</v>
      </c>
      <c r="I43" s="220" t="s">
        <v>585</v>
      </c>
      <c r="J43" s="214">
        <v>22</v>
      </c>
      <c r="K43" s="216">
        <v>0</v>
      </c>
      <c r="L43" s="216">
        <v>0</v>
      </c>
    </row>
    <row r="44" spans="1:12" x14ac:dyDescent="0.25">
      <c r="A44" s="214" t="s">
        <v>586</v>
      </c>
      <c r="B44" s="215" t="s">
        <v>587</v>
      </c>
      <c r="C44" s="214">
        <v>12</v>
      </c>
      <c r="D44" s="216">
        <v>0</v>
      </c>
      <c r="E44" s="216">
        <v>0</v>
      </c>
      <c r="F44" s="216">
        <v>0</v>
      </c>
      <c r="G44" s="216">
        <v>0</v>
      </c>
      <c r="H44" s="221"/>
      <c r="I44" s="222"/>
      <c r="J44" s="221"/>
      <c r="K44" s="223"/>
      <c r="L44" s="223"/>
    </row>
    <row r="45" spans="1:12" ht="25.5" x14ac:dyDescent="0.25">
      <c r="A45" s="214" t="s">
        <v>588</v>
      </c>
      <c r="B45" s="220" t="s">
        <v>589</v>
      </c>
      <c r="C45" s="214">
        <v>13</v>
      </c>
      <c r="D45" s="216">
        <v>0</v>
      </c>
      <c r="E45" s="216">
        <v>0</v>
      </c>
      <c r="F45" s="216">
        <v>0</v>
      </c>
      <c r="G45" s="216">
        <v>0</v>
      </c>
      <c r="H45" s="224"/>
      <c r="I45" s="225"/>
      <c r="J45" s="224"/>
      <c r="K45" s="226"/>
      <c r="L45" s="226"/>
    </row>
    <row r="46" spans="1:12" x14ac:dyDescent="0.25">
      <c r="A46" s="228" t="s">
        <v>590</v>
      </c>
      <c r="B46" s="229" t="s">
        <v>591</v>
      </c>
      <c r="C46" s="228"/>
      <c r="D46" s="230">
        <v>0</v>
      </c>
      <c r="E46" s="230">
        <v>0</v>
      </c>
      <c r="F46" s="230">
        <v>0</v>
      </c>
      <c r="G46" s="230">
        <v>0</v>
      </c>
      <c r="H46" s="228" t="s">
        <v>592</v>
      </c>
      <c r="I46" s="229" t="s">
        <v>593</v>
      </c>
      <c r="J46" s="228"/>
      <c r="K46" s="230">
        <v>0</v>
      </c>
      <c r="L46" s="230">
        <v>0</v>
      </c>
    </row>
    <row r="47" spans="1:12" x14ac:dyDescent="0.25">
      <c r="A47" s="214" t="s">
        <v>594</v>
      </c>
      <c r="B47" s="215" t="s">
        <v>595</v>
      </c>
      <c r="C47" s="214">
        <v>14</v>
      </c>
      <c r="D47" s="216">
        <v>0</v>
      </c>
      <c r="E47" s="216"/>
      <c r="F47" s="216">
        <v>0</v>
      </c>
      <c r="G47" s="216">
        <v>0</v>
      </c>
      <c r="H47" s="214" t="s">
        <v>596</v>
      </c>
      <c r="I47" s="215" t="s">
        <v>597</v>
      </c>
      <c r="J47" s="214">
        <v>14</v>
      </c>
      <c r="K47" s="216">
        <v>0</v>
      </c>
      <c r="L47" s="216">
        <v>0</v>
      </c>
    </row>
    <row r="48" spans="1:12" x14ac:dyDescent="0.25">
      <c r="A48" s="231" t="s">
        <v>598</v>
      </c>
      <c r="B48" s="232" t="s">
        <v>599</v>
      </c>
      <c r="C48" s="231"/>
      <c r="D48" s="233">
        <v>0</v>
      </c>
      <c r="E48" s="233">
        <v>0</v>
      </c>
      <c r="F48" s="233">
        <v>0</v>
      </c>
      <c r="G48" s="233">
        <v>0</v>
      </c>
      <c r="H48" s="231" t="s">
        <v>600</v>
      </c>
      <c r="I48" s="232" t="s">
        <v>599</v>
      </c>
      <c r="J48" s="231"/>
      <c r="K48" s="234">
        <v>0</v>
      </c>
      <c r="L48" s="234">
        <v>0</v>
      </c>
    </row>
  </sheetData>
  <mergeCells count="25">
    <mergeCell ref="C6:E6"/>
    <mergeCell ref="G6:H6"/>
    <mergeCell ref="J6:K6"/>
    <mergeCell ref="A2:B2"/>
    <mergeCell ref="C2:L2"/>
    <mergeCell ref="C3:L3"/>
    <mergeCell ref="C4:L4"/>
    <mergeCell ref="C5:L5"/>
    <mergeCell ref="C7:E7"/>
    <mergeCell ref="C8:L8"/>
    <mergeCell ref="C9:L9"/>
    <mergeCell ref="C10:E10"/>
    <mergeCell ref="F10:H10"/>
    <mergeCell ref="I10:L10"/>
    <mergeCell ref="D15:F15"/>
    <mergeCell ref="C11:E11"/>
    <mergeCell ref="F11:H11"/>
    <mergeCell ref="A12:L12"/>
    <mergeCell ref="A14:A16"/>
    <mergeCell ref="B14:B16"/>
    <mergeCell ref="C14:C16"/>
    <mergeCell ref="D14:F14"/>
    <mergeCell ref="H14:H16"/>
    <mergeCell ref="I14:I16"/>
    <mergeCell ref="J14:J16"/>
  </mergeCells>
  <pageMargins left="0.7" right="0.7" top="0.75" bottom="0.75" header="0.3" footer="0.3"/>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514F25-6193-4336-84A1-1DAB0A690C13}">
  <dimension ref="A1:F30"/>
  <sheetViews>
    <sheetView workbookViewId="0">
      <selection activeCell="D1" sqref="A1:XFD1048576"/>
    </sheetView>
  </sheetViews>
  <sheetFormatPr baseColWidth="10" defaultRowHeight="15" x14ac:dyDescent="0.25"/>
  <sheetData>
    <row r="1" spans="1:6" x14ac:dyDescent="0.25">
      <c r="A1" s="951" t="s">
        <v>601</v>
      </c>
      <c r="B1" s="951"/>
      <c r="C1" s="951"/>
      <c r="D1" s="951"/>
      <c r="E1" s="951"/>
      <c r="F1" s="951"/>
    </row>
    <row r="2" spans="1:6" x14ac:dyDescent="0.25">
      <c r="A2" s="951"/>
      <c r="B2" s="951"/>
      <c r="C2" s="951"/>
      <c r="D2" s="951"/>
      <c r="E2" s="951"/>
      <c r="F2" s="951"/>
    </row>
    <row r="3" spans="1:6" x14ac:dyDescent="0.25">
      <c r="A3" s="951"/>
      <c r="B3" s="951"/>
      <c r="C3" s="951"/>
      <c r="D3" s="951"/>
      <c r="E3" s="951"/>
      <c r="F3" s="951"/>
    </row>
    <row r="4" spans="1:6" x14ac:dyDescent="0.25">
      <c r="A4" s="951"/>
      <c r="B4" s="951"/>
      <c r="C4" s="951"/>
      <c r="D4" s="951"/>
      <c r="E4" s="951"/>
      <c r="F4" s="951"/>
    </row>
    <row r="5" spans="1:6" x14ac:dyDescent="0.25">
      <c r="A5" s="951"/>
      <c r="B5" s="951"/>
      <c r="C5" s="951"/>
      <c r="D5" s="951"/>
      <c r="E5" s="951"/>
      <c r="F5" s="951"/>
    </row>
    <row r="6" spans="1:6" x14ac:dyDescent="0.25">
      <c r="A6" s="951"/>
      <c r="B6" s="951"/>
      <c r="C6" s="951"/>
      <c r="D6" s="951"/>
      <c r="E6" s="951"/>
      <c r="F6" s="951"/>
    </row>
    <row r="7" spans="1:6" x14ac:dyDescent="0.25">
      <c r="A7" s="951"/>
      <c r="B7" s="951"/>
      <c r="C7" s="951"/>
      <c r="D7" s="951"/>
      <c r="E7" s="951"/>
      <c r="F7" s="951"/>
    </row>
    <row r="8" spans="1:6" x14ac:dyDescent="0.25">
      <c r="A8" s="951"/>
      <c r="B8" s="951"/>
      <c r="C8" s="951"/>
      <c r="D8" s="951"/>
      <c r="E8" s="951"/>
      <c r="F8" s="951"/>
    </row>
    <row r="9" spans="1:6" x14ac:dyDescent="0.25">
      <c r="A9" s="951"/>
      <c r="B9" s="951"/>
      <c r="C9" s="951"/>
      <c r="D9" s="951"/>
      <c r="E9" s="951"/>
      <c r="F9" s="951"/>
    </row>
    <row r="10" spans="1:6" x14ac:dyDescent="0.25">
      <c r="A10" s="951"/>
      <c r="B10" s="951"/>
      <c r="C10" s="951"/>
      <c r="D10" s="951"/>
      <c r="E10" s="951"/>
      <c r="F10" s="951"/>
    </row>
    <row r="11" spans="1:6" x14ac:dyDescent="0.25">
      <c r="A11" s="951"/>
      <c r="B11" s="951"/>
      <c r="C11" s="951"/>
      <c r="D11" s="951"/>
      <c r="E11" s="951"/>
      <c r="F11" s="951"/>
    </row>
    <row r="12" spans="1:6" x14ac:dyDescent="0.25">
      <c r="A12" s="951"/>
      <c r="B12" s="951"/>
      <c r="C12" s="951"/>
      <c r="D12" s="951"/>
      <c r="E12" s="951"/>
      <c r="F12" s="951"/>
    </row>
    <row r="13" spans="1:6" x14ac:dyDescent="0.25">
      <c r="A13" s="951"/>
      <c r="B13" s="951"/>
      <c r="C13" s="951"/>
      <c r="D13" s="951"/>
      <c r="E13" s="951"/>
      <c r="F13" s="951"/>
    </row>
    <row r="14" spans="1:6" x14ac:dyDescent="0.25">
      <c r="A14" s="951"/>
      <c r="B14" s="951"/>
      <c r="C14" s="951"/>
      <c r="D14" s="951"/>
      <c r="E14" s="951"/>
      <c r="F14" s="951"/>
    </row>
    <row r="15" spans="1:6" x14ac:dyDescent="0.25">
      <c r="A15" s="951"/>
      <c r="B15" s="951"/>
      <c r="C15" s="951"/>
      <c r="D15" s="951"/>
      <c r="E15" s="951"/>
      <c r="F15" s="951"/>
    </row>
    <row r="16" spans="1:6" x14ac:dyDescent="0.25">
      <c r="A16" s="951"/>
      <c r="B16" s="951"/>
      <c r="C16" s="951"/>
      <c r="D16" s="951"/>
      <c r="E16" s="951"/>
      <c r="F16" s="951"/>
    </row>
    <row r="17" spans="1:6" x14ac:dyDescent="0.25">
      <c r="A17" s="951"/>
      <c r="B17" s="951"/>
      <c r="C17" s="951"/>
      <c r="D17" s="951"/>
      <c r="E17" s="951"/>
      <c r="F17" s="951"/>
    </row>
    <row r="18" spans="1:6" x14ac:dyDescent="0.25">
      <c r="A18" s="951"/>
      <c r="B18" s="951"/>
      <c r="C18" s="951"/>
      <c r="D18" s="951"/>
      <c r="E18" s="951"/>
      <c r="F18" s="951"/>
    </row>
    <row r="19" spans="1:6" x14ac:dyDescent="0.25">
      <c r="A19" s="951"/>
      <c r="B19" s="951"/>
      <c r="C19" s="951"/>
      <c r="D19" s="951"/>
      <c r="E19" s="951"/>
      <c r="F19" s="951"/>
    </row>
    <row r="20" spans="1:6" x14ac:dyDescent="0.25">
      <c r="A20" s="951"/>
      <c r="B20" s="951"/>
      <c r="C20" s="951"/>
      <c r="D20" s="951"/>
      <c r="E20" s="951"/>
      <c r="F20" s="951"/>
    </row>
    <row r="21" spans="1:6" x14ac:dyDescent="0.25">
      <c r="A21" s="951"/>
      <c r="B21" s="951"/>
      <c r="C21" s="951"/>
      <c r="D21" s="951"/>
      <c r="E21" s="951"/>
      <c r="F21" s="951"/>
    </row>
    <row r="22" spans="1:6" x14ac:dyDescent="0.25">
      <c r="A22" s="951"/>
      <c r="B22" s="951"/>
      <c r="C22" s="951"/>
      <c r="D22" s="951"/>
      <c r="E22" s="951"/>
      <c r="F22" s="951"/>
    </row>
    <row r="23" spans="1:6" x14ac:dyDescent="0.25">
      <c r="A23" s="951"/>
      <c r="B23" s="951"/>
      <c r="C23" s="951"/>
      <c r="D23" s="951"/>
      <c r="E23" s="951"/>
      <c r="F23" s="951"/>
    </row>
    <row r="24" spans="1:6" x14ac:dyDescent="0.25">
      <c r="A24" s="951"/>
      <c r="B24" s="951"/>
      <c r="C24" s="951"/>
      <c r="D24" s="951"/>
      <c r="E24" s="951"/>
      <c r="F24" s="951"/>
    </row>
    <row r="25" spans="1:6" x14ac:dyDescent="0.25">
      <c r="A25" s="951"/>
      <c r="B25" s="951"/>
      <c r="C25" s="951"/>
      <c r="D25" s="951"/>
      <c r="E25" s="951"/>
      <c r="F25" s="951"/>
    </row>
    <row r="26" spans="1:6" x14ac:dyDescent="0.25">
      <c r="A26" s="951"/>
      <c r="B26" s="951"/>
      <c r="C26" s="951"/>
      <c r="D26" s="951"/>
      <c r="E26" s="951"/>
      <c r="F26" s="951"/>
    </row>
    <row r="27" spans="1:6" x14ac:dyDescent="0.25">
      <c r="A27" s="951"/>
      <c r="B27" s="951"/>
      <c r="C27" s="951"/>
      <c r="D27" s="951"/>
      <c r="E27" s="951"/>
      <c r="F27" s="951"/>
    </row>
    <row r="28" spans="1:6" x14ac:dyDescent="0.25">
      <c r="A28" s="951"/>
      <c r="B28" s="951"/>
      <c r="C28" s="951"/>
      <c r="D28" s="951"/>
      <c r="E28" s="951"/>
      <c r="F28" s="951"/>
    </row>
    <row r="29" spans="1:6" x14ac:dyDescent="0.25">
      <c r="A29" s="951"/>
      <c r="B29" s="951"/>
      <c r="C29" s="951"/>
      <c r="D29" s="951"/>
      <c r="E29" s="951"/>
      <c r="F29" s="951"/>
    </row>
    <row r="30" spans="1:6" x14ac:dyDescent="0.25">
      <c r="A30" s="951"/>
      <c r="B30" s="951"/>
      <c r="C30" s="951"/>
      <c r="D30" s="951"/>
      <c r="E30" s="951"/>
      <c r="F30" s="951"/>
    </row>
  </sheetData>
  <mergeCells count="1">
    <mergeCell ref="A1:F30"/>
  </mergeCells>
  <pageMargins left="0.7" right="0.7" top="0.75" bottom="0.75" header="0.3" footer="0.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096B01-146D-4FFA-AD7F-444EAD734D91}">
  <dimension ref="A2:N44"/>
  <sheetViews>
    <sheetView workbookViewId="0">
      <selection activeCell="E12" sqref="A1:XFD1048576"/>
    </sheetView>
  </sheetViews>
  <sheetFormatPr baseColWidth="10" defaultRowHeight="15" x14ac:dyDescent="0.25"/>
  <cols>
    <col min="1" max="1" width="4.7109375" customWidth="1"/>
    <col min="2" max="2" width="31.7109375" customWidth="1"/>
    <col min="3" max="3" width="4.85546875" bestFit="1" customWidth="1"/>
    <col min="4" max="4" width="14.7109375" customWidth="1"/>
    <col min="5" max="5" width="16.7109375" customWidth="1"/>
    <col min="6" max="6" width="14.5703125" customWidth="1"/>
    <col min="7" max="7" width="16.7109375" customWidth="1"/>
    <col min="8" max="8" width="14.5703125" customWidth="1"/>
    <col min="9" max="9" width="18.7109375" customWidth="1"/>
    <col min="10" max="10" width="7.28515625" bestFit="1" customWidth="1"/>
    <col min="11" max="14" width="17.28515625" customWidth="1"/>
  </cols>
  <sheetData>
    <row r="2" spans="1:14" x14ac:dyDescent="0.25">
      <c r="A2" s="961" t="s">
        <v>464</v>
      </c>
      <c r="B2" s="961"/>
      <c r="C2" s="958" t="s">
        <v>2</v>
      </c>
      <c r="D2" s="958"/>
      <c r="E2" s="958"/>
      <c r="F2" s="958"/>
      <c r="G2" s="958"/>
      <c r="H2" s="958"/>
      <c r="I2" s="199"/>
      <c r="J2" s="199"/>
      <c r="K2" s="199"/>
      <c r="L2" s="199"/>
      <c r="M2" s="199"/>
      <c r="N2" s="199"/>
    </row>
    <row r="3" spans="1:14" x14ac:dyDescent="0.25">
      <c r="A3" s="961"/>
      <c r="B3" s="961"/>
      <c r="C3" s="957" t="s">
        <v>4</v>
      </c>
      <c r="D3" s="957"/>
      <c r="E3" s="957"/>
      <c r="F3" s="957"/>
      <c r="G3" s="957"/>
      <c r="H3" s="957"/>
      <c r="I3" s="199"/>
      <c r="J3" s="199"/>
      <c r="K3" s="199"/>
      <c r="L3" s="199"/>
      <c r="M3" s="199"/>
      <c r="N3" s="199"/>
    </row>
    <row r="4" spans="1:14" x14ac:dyDescent="0.25">
      <c r="A4" s="198" t="s">
        <v>362</v>
      </c>
      <c r="B4" s="199"/>
      <c r="C4" s="957" t="s">
        <v>6</v>
      </c>
      <c r="D4" s="957"/>
      <c r="E4" s="957"/>
      <c r="F4" s="957"/>
      <c r="G4" s="957"/>
      <c r="H4" s="957"/>
      <c r="I4" s="199"/>
      <c r="J4" s="199"/>
      <c r="K4" s="199"/>
      <c r="L4" s="199"/>
      <c r="M4" s="199"/>
      <c r="N4" s="199"/>
    </row>
    <row r="5" spans="1:14" x14ac:dyDescent="0.25">
      <c r="A5" s="198" t="s">
        <v>363</v>
      </c>
      <c r="B5" s="199"/>
      <c r="C5" s="957">
        <v>4431</v>
      </c>
      <c r="D5" s="957"/>
      <c r="E5" s="957"/>
      <c r="F5" s="957"/>
      <c r="G5" s="957"/>
      <c r="H5" s="957"/>
      <c r="I5" s="199"/>
      <c r="J5" s="199"/>
      <c r="K5" s="199"/>
      <c r="L5" s="199"/>
      <c r="M5" s="199"/>
      <c r="N5" s="199"/>
    </row>
    <row r="6" spans="1:14" x14ac:dyDescent="0.25">
      <c r="A6" s="198" t="s">
        <v>364</v>
      </c>
      <c r="B6" s="199"/>
      <c r="C6" s="957" t="s">
        <v>12</v>
      </c>
      <c r="D6" s="957"/>
      <c r="E6" s="46" t="s">
        <v>365</v>
      </c>
      <c r="F6" s="202">
        <v>46022</v>
      </c>
      <c r="G6" s="199" t="s">
        <v>465</v>
      </c>
      <c r="H6" s="235">
        <v>12</v>
      </c>
      <c r="I6" s="236"/>
      <c r="J6" s="199"/>
      <c r="K6" s="237"/>
      <c r="L6" s="238"/>
      <c r="M6" s="238"/>
      <c r="N6" s="237"/>
    </row>
    <row r="7" spans="1:14" x14ac:dyDescent="0.25">
      <c r="A7" s="200" t="s">
        <v>367</v>
      </c>
      <c r="B7" s="201"/>
      <c r="C7" s="957" t="s">
        <v>8</v>
      </c>
      <c r="D7" s="957"/>
      <c r="E7" s="199"/>
      <c r="F7" s="199"/>
      <c r="G7" s="199"/>
      <c r="H7" s="199"/>
      <c r="I7" s="199"/>
      <c r="J7" s="237"/>
      <c r="K7" s="237"/>
      <c r="L7" s="237"/>
      <c r="M7" s="237"/>
      <c r="N7" s="237"/>
    </row>
    <row r="8" spans="1:14" x14ac:dyDescent="0.25">
      <c r="A8" s="199" t="s">
        <v>466</v>
      </c>
      <c r="B8" s="199"/>
      <c r="C8" s="958" t="s">
        <v>34</v>
      </c>
      <c r="D8" s="958"/>
      <c r="E8" s="958"/>
      <c r="F8" s="958"/>
      <c r="G8" s="958"/>
      <c r="H8" s="958"/>
      <c r="I8" s="199"/>
      <c r="J8" s="199"/>
      <c r="K8" s="199"/>
      <c r="L8" s="199"/>
    </row>
    <row r="9" spans="1:14" x14ac:dyDescent="0.25">
      <c r="A9" s="199"/>
      <c r="B9" s="199"/>
      <c r="C9" s="957">
        <v>555555</v>
      </c>
      <c r="D9" s="957"/>
      <c r="E9" s="957"/>
      <c r="F9" s="957"/>
      <c r="G9" s="957"/>
      <c r="H9" s="957"/>
      <c r="I9" s="199"/>
      <c r="J9" s="199"/>
      <c r="K9" s="199"/>
      <c r="L9" s="199"/>
    </row>
    <row r="10" spans="1:14" x14ac:dyDescent="0.25">
      <c r="A10" s="199" t="s">
        <v>467</v>
      </c>
      <c r="B10" s="199"/>
      <c r="C10" s="957" t="s">
        <v>38</v>
      </c>
      <c r="D10" s="957"/>
      <c r="E10" s="770" t="s">
        <v>468</v>
      </c>
      <c r="F10" s="770"/>
      <c r="G10" s="957" t="s">
        <v>36</v>
      </c>
      <c r="H10" s="957"/>
      <c r="I10" s="238"/>
      <c r="J10" s="238"/>
      <c r="K10" s="238"/>
      <c r="L10" s="238"/>
    </row>
    <row r="11" spans="1:14" x14ac:dyDescent="0.25">
      <c r="A11" s="199" t="s">
        <v>469</v>
      </c>
      <c r="B11" s="199"/>
      <c r="C11" s="954">
        <v>44713</v>
      </c>
      <c r="D11" s="954"/>
      <c r="E11" s="975" t="s">
        <v>470</v>
      </c>
      <c r="F11" s="975"/>
      <c r="G11" s="954">
        <v>45991</v>
      </c>
      <c r="H11" s="954"/>
      <c r="I11" s="240"/>
      <c r="J11" s="241"/>
      <c r="K11" s="241"/>
      <c r="L11" s="241"/>
    </row>
    <row r="12" spans="1:14" ht="15.75" x14ac:dyDescent="0.25">
      <c r="A12" s="242"/>
      <c r="B12" s="242"/>
      <c r="C12" s="242"/>
      <c r="D12" s="242"/>
      <c r="E12" s="242"/>
      <c r="F12" s="242"/>
      <c r="G12" s="242"/>
      <c r="H12" s="242"/>
      <c r="I12" s="242"/>
    </row>
    <row r="13" spans="1:14" ht="15.75" x14ac:dyDescent="0.25">
      <c r="A13" s="770" t="s">
        <v>601</v>
      </c>
      <c r="B13" s="770"/>
      <c r="C13" s="770"/>
      <c r="D13" s="770"/>
      <c r="E13" s="770"/>
      <c r="F13" s="770"/>
      <c r="G13" s="770"/>
      <c r="H13" s="770"/>
      <c r="I13" s="242"/>
    </row>
    <row r="14" spans="1:14" ht="15.75" x14ac:dyDescent="0.25">
      <c r="A14" s="242"/>
      <c r="B14" s="242"/>
      <c r="C14" s="242"/>
      <c r="D14" s="242"/>
      <c r="E14" s="242"/>
      <c r="F14" s="242"/>
      <c r="G14" s="242"/>
      <c r="H14" s="242"/>
      <c r="I14" s="242"/>
    </row>
    <row r="15" spans="1:14" x14ac:dyDescent="0.25">
      <c r="A15" s="972" t="s">
        <v>471</v>
      </c>
      <c r="B15" s="972" t="s">
        <v>602</v>
      </c>
      <c r="C15" s="972"/>
      <c r="D15" s="972" t="s">
        <v>603</v>
      </c>
      <c r="E15" s="972" t="s">
        <v>474</v>
      </c>
      <c r="F15" s="972"/>
      <c r="G15" s="972" t="s">
        <v>474</v>
      </c>
      <c r="H15" s="972"/>
    </row>
    <row r="16" spans="1:14" x14ac:dyDescent="0.25">
      <c r="A16" s="972"/>
      <c r="B16" s="972"/>
      <c r="C16" s="972"/>
      <c r="D16" s="972"/>
      <c r="E16" s="971">
        <v>46022</v>
      </c>
      <c r="F16" s="971"/>
      <c r="G16" s="971">
        <v>46022</v>
      </c>
      <c r="H16" s="971"/>
    </row>
    <row r="17" spans="1:8" x14ac:dyDescent="0.25">
      <c r="A17" s="972"/>
      <c r="B17" s="972"/>
      <c r="C17" s="972"/>
      <c r="D17" s="972"/>
      <c r="E17" s="972" t="s">
        <v>604</v>
      </c>
      <c r="F17" s="972"/>
      <c r="G17" s="972" t="s">
        <v>604</v>
      </c>
      <c r="H17" s="972"/>
    </row>
    <row r="18" spans="1:8" x14ac:dyDescent="0.25">
      <c r="A18" s="243" t="s">
        <v>605</v>
      </c>
      <c r="B18" s="973" t="s">
        <v>606</v>
      </c>
      <c r="C18" s="973"/>
      <c r="D18" s="243">
        <v>23</v>
      </c>
      <c r="E18" s="974">
        <v>0</v>
      </c>
      <c r="F18" s="974"/>
      <c r="G18" s="974">
        <v>0</v>
      </c>
      <c r="H18" s="974"/>
    </row>
    <row r="19" spans="1:8" ht="31.9" customHeight="1" x14ac:dyDescent="0.25">
      <c r="A19" s="244" t="s">
        <v>607</v>
      </c>
      <c r="B19" s="970" t="s">
        <v>608</v>
      </c>
      <c r="C19" s="970"/>
      <c r="D19" s="244">
        <v>23</v>
      </c>
      <c r="E19" s="967">
        <v>0</v>
      </c>
      <c r="F19" s="967"/>
      <c r="G19" s="967">
        <v>0</v>
      </c>
      <c r="H19" s="967"/>
    </row>
    <row r="20" spans="1:8" x14ac:dyDescent="0.25">
      <c r="A20" s="244" t="s">
        <v>609</v>
      </c>
      <c r="B20" s="966" t="s">
        <v>610</v>
      </c>
      <c r="C20" s="966"/>
      <c r="D20" s="244">
        <v>23</v>
      </c>
      <c r="E20" s="967">
        <v>0</v>
      </c>
      <c r="F20" s="967"/>
      <c r="G20" s="967">
        <v>0</v>
      </c>
      <c r="H20" s="967"/>
    </row>
    <row r="21" spans="1:8" x14ac:dyDescent="0.25">
      <c r="A21" s="244" t="s">
        <v>611</v>
      </c>
      <c r="B21" s="966" t="s">
        <v>612</v>
      </c>
      <c r="C21" s="966"/>
      <c r="D21" s="244">
        <v>23</v>
      </c>
      <c r="E21" s="967">
        <v>0</v>
      </c>
      <c r="F21" s="967"/>
      <c r="G21" s="967">
        <v>0</v>
      </c>
      <c r="H21" s="967"/>
    </row>
    <row r="22" spans="1:8" x14ac:dyDescent="0.25">
      <c r="A22" s="244" t="s">
        <v>613</v>
      </c>
      <c r="B22" s="966" t="s">
        <v>614</v>
      </c>
      <c r="C22" s="966"/>
      <c r="D22" s="244">
        <v>23</v>
      </c>
      <c r="E22" s="967">
        <v>0</v>
      </c>
      <c r="F22" s="967"/>
      <c r="G22" s="967">
        <v>0</v>
      </c>
      <c r="H22" s="967"/>
    </row>
    <row r="23" spans="1:8" x14ac:dyDescent="0.25">
      <c r="A23" s="244" t="s">
        <v>615</v>
      </c>
      <c r="B23" s="966" t="s">
        <v>616</v>
      </c>
      <c r="C23" s="966"/>
      <c r="D23" s="244">
        <v>23</v>
      </c>
      <c r="E23" s="967">
        <v>0</v>
      </c>
      <c r="F23" s="967"/>
      <c r="G23" s="967">
        <v>0</v>
      </c>
      <c r="H23" s="967"/>
    </row>
    <row r="24" spans="1:8" x14ac:dyDescent="0.25">
      <c r="A24" s="244" t="s">
        <v>617</v>
      </c>
      <c r="B24" s="966" t="s">
        <v>618</v>
      </c>
      <c r="C24" s="966"/>
      <c r="D24" s="244" t="s">
        <v>619</v>
      </c>
      <c r="E24" s="967">
        <v>0</v>
      </c>
      <c r="F24" s="967"/>
      <c r="G24" s="967">
        <v>0</v>
      </c>
      <c r="H24" s="967"/>
    </row>
    <row r="25" spans="1:8" ht="31.15" customHeight="1" x14ac:dyDescent="0.25">
      <c r="A25" s="244" t="s">
        <v>620</v>
      </c>
      <c r="B25" s="970" t="s">
        <v>621</v>
      </c>
      <c r="C25" s="970"/>
      <c r="D25" s="244" t="s">
        <v>622</v>
      </c>
      <c r="E25" s="967">
        <v>0</v>
      </c>
      <c r="F25" s="967"/>
      <c r="G25" s="967">
        <v>0</v>
      </c>
      <c r="H25" s="967"/>
    </row>
    <row r="26" spans="1:8" ht="36" customHeight="1" x14ac:dyDescent="0.25">
      <c r="A26" s="245" t="s">
        <v>623</v>
      </c>
      <c r="B26" s="968" t="s">
        <v>624</v>
      </c>
      <c r="C26" s="968"/>
      <c r="D26" s="245"/>
      <c r="E26" s="969">
        <v>0</v>
      </c>
      <c r="F26" s="969"/>
      <c r="G26" s="969">
        <v>0</v>
      </c>
      <c r="H26" s="969"/>
    </row>
    <row r="27" spans="1:8" x14ac:dyDescent="0.25">
      <c r="A27" s="244" t="s">
        <v>625</v>
      </c>
      <c r="B27" s="966" t="s">
        <v>626</v>
      </c>
      <c r="C27" s="966"/>
      <c r="D27" s="244">
        <v>24</v>
      </c>
      <c r="E27" s="967">
        <v>0</v>
      </c>
      <c r="F27" s="967"/>
      <c r="G27" s="967">
        <v>0</v>
      </c>
      <c r="H27" s="967"/>
    </row>
    <row r="28" spans="1:8" ht="34.15" customHeight="1" x14ac:dyDescent="0.25">
      <c r="A28" s="244" t="s">
        <v>627</v>
      </c>
      <c r="B28" s="966" t="s">
        <v>628</v>
      </c>
      <c r="C28" s="966"/>
      <c r="D28" s="244">
        <v>8</v>
      </c>
      <c r="E28" s="967">
        <v>0</v>
      </c>
      <c r="F28" s="967"/>
      <c r="G28" s="967">
        <v>0</v>
      </c>
      <c r="H28" s="967"/>
    </row>
    <row r="29" spans="1:8" ht="33" customHeight="1" x14ac:dyDescent="0.25">
      <c r="A29" s="244" t="s">
        <v>629</v>
      </c>
      <c r="B29" s="966" t="s">
        <v>630</v>
      </c>
      <c r="C29" s="966"/>
      <c r="D29" s="244">
        <v>24</v>
      </c>
      <c r="E29" s="967">
        <v>0</v>
      </c>
      <c r="F29" s="967"/>
      <c r="G29" s="967">
        <v>0</v>
      </c>
      <c r="H29" s="967"/>
    </row>
    <row r="30" spans="1:8" x14ac:dyDescent="0.25">
      <c r="A30" s="244" t="s">
        <v>631</v>
      </c>
      <c r="B30" s="966" t="s">
        <v>632</v>
      </c>
      <c r="C30" s="966"/>
      <c r="D30" s="244">
        <v>24</v>
      </c>
      <c r="E30" s="967">
        <v>0</v>
      </c>
      <c r="F30" s="967"/>
      <c r="G30" s="967">
        <v>0</v>
      </c>
      <c r="H30" s="967"/>
    </row>
    <row r="31" spans="1:8" ht="28.9" customHeight="1" x14ac:dyDescent="0.25">
      <c r="A31" s="244" t="s">
        <v>633</v>
      </c>
      <c r="B31" s="966" t="s">
        <v>634</v>
      </c>
      <c r="C31" s="966"/>
      <c r="D31" s="244">
        <v>8</v>
      </c>
      <c r="E31" s="967">
        <v>0</v>
      </c>
      <c r="F31" s="967"/>
      <c r="G31" s="967">
        <v>0</v>
      </c>
      <c r="H31" s="967"/>
    </row>
    <row r="32" spans="1:8" x14ac:dyDescent="0.25">
      <c r="A32" s="244" t="s">
        <v>635</v>
      </c>
      <c r="B32" s="966" t="s">
        <v>636</v>
      </c>
      <c r="C32" s="966"/>
      <c r="D32" s="244">
        <v>25</v>
      </c>
      <c r="E32" s="967">
        <v>0</v>
      </c>
      <c r="F32" s="967"/>
      <c r="G32" s="967">
        <v>0</v>
      </c>
      <c r="H32" s="967"/>
    </row>
    <row r="33" spans="1:8" x14ac:dyDescent="0.25">
      <c r="A33" s="244" t="s">
        <v>637</v>
      </c>
      <c r="B33" s="966" t="s">
        <v>638</v>
      </c>
      <c r="C33" s="966"/>
      <c r="D33" s="244">
        <v>26</v>
      </c>
      <c r="E33" s="967">
        <v>0</v>
      </c>
      <c r="F33" s="967"/>
      <c r="G33" s="967">
        <v>0</v>
      </c>
      <c r="H33" s="967"/>
    </row>
    <row r="34" spans="1:8" x14ac:dyDescent="0.25">
      <c r="A34" s="244" t="s">
        <v>639</v>
      </c>
      <c r="B34" s="966" t="s">
        <v>640</v>
      </c>
      <c r="C34" s="966"/>
      <c r="D34" s="244">
        <v>27</v>
      </c>
      <c r="E34" s="967">
        <v>0</v>
      </c>
      <c r="F34" s="967"/>
      <c r="G34" s="967">
        <v>0</v>
      </c>
      <c r="H34" s="967"/>
    </row>
    <row r="35" spans="1:8" x14ac:dyDescent="0.25">
      <c r="A35" s="244" t="s">
        <v>641</v>
      </c>
      <c r="B35" s="966" t="s">
        <v>642</v>
      </c>
      <c r="C35" s="966"/>
      <c r="D35" s="244">
        <v>28</v>
      </c>
      <c r="E35" s="967">
        <v>0</v>
      </c>
      <c r="F35" s="967"/>
      <c r="G35" s="967">
        <v>0</v>
      </c>
      <c r="H35" s="967"/>
    </row>
    <row r="36" spans="1:8" x14ac:dyDescent="0.25">
      <c r="A36" s="244" t="s">
        <v>643</v>
      </c>
      <c r="B36" s="966" t="s">
        <v>644</v>
      </c>
      <c r="C36" s="966"/>
      <c r="D36" s="244">
        <v>29</v>
      </c>
      <c r="E36" s="967">
        <v>0</v>
      </c>
      <c r="F36" s="967"/>
      <c r="G36" s="967">
        <v>0</v>
      </c>
      <c r="H36" s="967"/>
    </row>
    <row r="37" spans="1:8" x14ac:dyDescent="0.25">
      <c r="A37" s="244" t="s">
        <v>645</v>
      </c>
      <c r="B37" s="966" t="s">
        <v>646</v>
      </c>
      <c r="C37" s="966"/>
      <c r="D37" s="244">
        <v>31</v>
      </c>
      <c r="E37" s="967">
        <v>0</v>
      </c>
      <c r="F37" s="967"/>
      <c r="G37" s="967">
        <v>0</v>
      </c>
      <c r="H37" s="967"/>
    </row>
    <row r="38" spans="1:8" ht="35.450000000000003" customHeight="1" x14ac:dyDescent="0.25">
      <c r="A38" s="244" t="s">
        <v>647</v>
      </c>
      <c r="B38" s="966" t="s">
        <v>648</v>
      </c>
      <c r="C38" s="966"/>
      <c r="D38" s="244" t="s">
        <v>622</v>
      </c>
      <c r="E38" s="967">
        <v>0</v>
      </c>
      <c r="F38" s="967"/>
      <c r="G38" s="967">
        <v>0</v>
      </c>
      <c r="H38" s="967"/>
    </row>
    <row r="39" spans="1:8" ht="29.45" customHeight="1" x14ac:dyDescent="0.25">
      <c r="A39" s="245" t="s">
        <v>649</v>
      </c>
      <c r="B39" s="968" t="s">
        <v>650</v>
      </c>
      <c r="C39" s="968"/>
      <c r="D39" s="245"/>
      <c r="E39" s="969">
        <v>0</v>
      </c>
      <c r="F39" s="969"/>
      <c r="G39" s="969">
        <v>0</v>
      </c>
      <c r="H39" s="969"/>
    </row>
    <row r="40" spans="1:8" ht="30" customHeight="1" x14ac:dyDescent="0.25">
      <c r="A40" s="246" t="s">
        <v>651</v>
      </c>
      <c r="B40" s="962" t="s">
        <v>652</v>
      </c>
      <c r="C40" s="962"/>
      <c r="D40" s="246"/>
      <c r="E40" s="963">
        <v>0</v>
      </c>
      <c r="F40" s="963"/>
      <c r="G40" s="963">
        <v>0</v>
      </c>
      <c r="H40" s="963"/>
    </row>
    <row r="41" spans="1:8" x14ac:dyDescent="0.25">
      <c r="A41" s="244" t="s">
        <v>653</v>
      </c>
      <c r="B41" s="966" t="s">
        <v>654</v>
      </c>
      <c r="C41" s="966"/>
      <c r="D41" s="244">
        <v>32</v>
      </c>
      <c r="E41" s="967">
        <v>0</v>
      </c>
      <c r="F41" s="967"/>
      <c r="G41" s="967">
        <v>0</v>
      </c>
      <c r="H41" s="967"/>
    </row>
    <row r="42" spans="1:8" x14ac:dyDescent="0.25">
      <c r="A42" s="244" t="s">
        <v>655</v>
      </c>
      <c r="B42" s="966" t="s">
        <v>656</v>
      </c>
      <c r="C42" s="966"/>
      <c r="D42" s="244">
        <v>32</v>
      </c>
      <c r="E42" s="967">
        <v>0</v>
      </c>
      <c r="F42" s="967"/>
      <c r="G42" s="967">
        <v>0</v>
      </c>
      <c r="H42" s="967"/>
    </row>
    <row r="43" spans="1:8" x14ac:dyDescent="0.25">
      <c r="A43" s="246" t="s">
        <v>657</v>
      </c>
      <c r="B43" s="962" t="s">
        <v>658</v>
      </c>
      <c r="C43" s="962"/>
      <c r="D43" s="246"/>
      <c r="E43" s="963">
        <v>0</v>
      </c>
      <c r="F43" s="963"/>
      <c r="G43" s="963">
        <v>0</v>
      </c>
      <c r="H43" s="963"/>
    </row>
    <row r="44" spans="1:8" ht="34.15" customHeight="1" x14ac:dyDescent="0.25">
      <c r="A44" s="247" t="s">
        <v>659</v>
      </c>
      <c r="B44" s="964" t="s">
        <v>660</v>
      </c>
      <c r="C44" s="964"/>
      <c r="D44" s="247"/>
      <c r="E44" s="965">
        <v>0</v>
      </c>
      <c r="F44" s="965"/>
      <c r="G44" s="965">
        <v>0</v>
      </c>
      <c r="H44" s="965"/>
    </row>
  </sheetData>
  <mergeCells count="107">
    <mergeCell ref="C6:D6"/>
    <mergeCell ref="C7:D7"/>
    <mergeCell ref="C8:H8"/>
    <mergeCell ref="C9:H9"/>
    <mergeCell ref="C10:D10"/>
    <mergeCell ref="E10:F10"/>
    <mergeCell ref="G10:H10"/>
    <mergeCell ref="A2:B2"/>
    <mergeCell ref="C2:H2"/>
    <mergeCell ref="A3:B3"/>
    <mergeCell ref="C3:H3"/>
    <mergeCell ref="C4:H4"/>
    <mergeCell ref="C5:H5"/>
    <mergeCell ref="C11:D11"/>
    <mergeCell ref="E11:F11"/>
    <mergeCell ref="G11:H11"/>
    <mergeCell ref="A13:H13"/>
    <mergeCell ref="A15:A17"/>
    <mergeCell ref="B15:C17"/>
    <mergeCell ref="D15:D17"/>
    <mergeCell ref="E15:F15"/>
    <mergeCell ref="G15:H15"/>
    <mergeCell ref="E16:F16"/>
    <mergeCell ref="B19:C19"/>
    <mergeCell ref="E19:F19"/>
    <mergeCell ref="G19:H19"/>
    <mergeCell ref="B20:C20"/>
    <mergeCell ref="E20:F20"/>
    <mergeCell ref="G20:H20"/>
    <mergeCell ref="G16:H16"/>
    <mergeCell ref="E17:F17"/>
    <mergeCell ref="G17:H17"/>
    <mergeCell ref="B18:C18"/>
    <mergeCell ref="E18:F18"/>
    <mergeCell ref="G18:H18"/>
    <mergeCell ref="B23:C23"/>
    <mergeCell ref="E23:F23"/>
    <mergeCell ref="G23:H23"/>
    <mergeCell ref="B24:C24"/>
    <mergeCell ref="E24:F24"/>
    <mergeCell ref="G24:H24"/>
    <mergeCell ref="B21:C21"/>
    <mergeCell ref="E21:F21"/>
    <mergeCell ref="G21:H21"/>
    <mergeCell ref="B22:C22"/>
    <mergeCell ref="E22:F22"/>
    <mergeCell ref="G22:H22"/>
    <mergeCell ref="B27:C27"/>
    <mergeCell ref="E27:F27"/>
    <mergeCell ref="G27:H27"/>
    <mergeCell ref="B28:C28"/>
    <mergeCell ref="E28:F28"/>
    <mergeCell ref="G28:H28"/>
    <mergeCell ref="B25:C25"/>
    <mergeCell ref="E25:F25"/>
    <mergeCell ref="G25:H25"/>
    <mergeCell ref="B26:C26"/>
    <mergeCell ref="E26:F26"/>
    <mergeCell ref="G26:H26"/>
    <mergeCell ref="B31:C31"/>
    <mergeCell ref="E31:F31"/>
    <mergeCell ref="G31:H31"/>
    <mergeCell ref="B32:C32"/>
    <mergeCell ref="E32:F32"/>
    <mergeCell ref="G32:H32"/>
    <mergeCell ref="B29:C29"/>
    <mergeCell ref="E29:F29"/>
    <mergeCell ref="G29:H29"/>
    <mergeCell ref="B30:C30"/>
    <mergeCell ref="E30:F30"/>
    <mergeCell ref="G30:H30"/>
    <mergeCell ref="B35:C35"/>
    <mergeCell ref="E35:F35"/>
    <mergeCell ref="G35:H35"/>
    <mergeCell ref="B36:C36"/>
    <mergeCell ref="E36:F36"/>
    <mergeCell ref="G36:H36"/>
    <mergeCell ref="B33:C33"/>
    <mergeCell ref="E33:F33"/>
    <mergeCell ref="G33:H33"/>
    <mergeCell ref="B34:C34"/>
    <mergeCell ref="E34:F34"/>
    <mergeCell ref="G34:H34"/>
    <mergeCell ref="B39:C39"/>
    <mergeCell ref="E39:F39"/>
    <mergeCell ref="G39:H39"/>
    <mergeCell ref="B40:C40"/>
    <mergeCell ref="E40:F40"/>
    <mergeCell ref="G40:H40"/>
    <mergeCell ref="B37:C37"/>
    <mergeCell ref="E37:F37"/>
    <mergeCell ref="G37:H37"/>
    <mergeCell ref="B38:C38"/>
    <mergeCell ref="E38:F38"/>
    <mergeCell ref="G38:H38"/>
    <mergeCell ref="B43:C43"/>
    <mergeCell ref="E43:F43"/>
    <mergeCell ref="G43:H43"/>
    <mergeCell ref="B44:C44"/>
    <mergeCell ref="E44:F44"/>
    <mergeCell ref="G44:H44"/>
    <mergeCell ref="B41:C41"/>
    <mergeCell ref="E41:F41"/>
    <mergeCell ref="G41:H41"/>
    <mergeCell ref="B42:C42"/>
    <mergeCell ref="E42:F42"/>
    <mergeCell ref="G42:H42"/>
  </mergeCells>
  <pageMargins left="0.7" right="0.7" top="0.75" bottom="0.75" header="0.3" footer="0.3"/>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2731C9-146E-4E8B-8DC0-A6F0D79276C6}">
  <dimension ref="A1:F30"/>
  <sheetViews>
    <sheetView workbookViewId="0">
      <selection activeCell="E1" sqref="A1:XFD1048576"/>
    </sheetView>
  </sheetViews>
  <sheetFormatPr baseColWidth="10" defaultRowHeight="15" x14ac:dyDescent="0.25"/>
  <sheetData>
    <row r="1" spans="1:6" x14ac:dyDescent="0.25">
      <c r="A1" s="951" t="s">
        <v>661</v>
      </c>
      <c r="B1" s="951"/>
      <c r="C1" s="951"/>
      <c r="D1" s="951"/>
      <c r="E1" s="951"/>
      <c r="F1" s="951"/>
    </row>
    <row r="2" spans="1:6" x14ac:dyDescent="0.25">
      <c r="A2" s="951"/>
      <c r="B2" s="951"/>
      <c r="C2" s="951"/>
      <c r="D2" s="951"/>
      <c r="E2" s="951"/>
      <c r="F2" s="951"/>
    </row>
    <row r="3" spans="1:6" x14ac:dyDescent="0.25">
      <c r="A3" s="951"/>
      <c r="B3" s="951"/>
      <c r="C3" s="951"/>
      <c r="D3" s="951"/>
      <c r="E3" s="951"/>
      <c r="F3" s="951"/>
    </row>
    <row r="4" spans="1:6" x14ac:dyDescent="0.25">
      <c r="A4" s="951"/>
      <c r="B4" s="951"/>
      <c r="C4" s="951"/>
      <c r="D4" s="951"/>
      <c r="E4" s="951"/>
      <c r="F4" s="951"/>
    </row>
    <row r="5" spans="1:6" x14ac:dyDescent="0.25">
      <c r="A5" s="951"/>
      <c r="B5" s="951"/>
      <c r="C5" s="951"/>
      <c r="D5" s="951"/>
      <c r="E5" s="951"/>
      <c r="F5" s="951"/>
    </row>
    <row r="6" spans="1:6" x14ac:dyDescent="0.25">
      <c r="A6" s="951"/>
      <c r="B6" s="951"/>
      <c r="C6" s="951"/>
      <c r="D6" s="951"/>
      <c r="E6" s="951"/>
      <c r="F6" s="951"/>
    </row>
    <row r="7" spans="1:6" x14ac:dyDescent="0.25">
      <c r="A7" s="951"/>
      <c r="B7" s="951"/>
      <c r="C7" s="951"/>
      <c r="D7" s="951"/>
      <c r="E7" s="951"/>
      <c r="F7" s="951"/>
    </row>
    <row r="8" spans="1:6" x14ac:dyDescent="0.25">
      <c r="A8" s="951"/>
      <c r="B8" s="951"/>
      <c r="C8" s="951"/>
      <c r="D8" s="951"/>
      <c r="E8" s="951"/>
      <c r="F8" s="951"/>
    </row>
    <row r="9" spans="1:6" x14ac:dyDescent="0.25">
      <c r="A9" s="951"/>
      <c r="B9" s="951"/>
      <c r="C9" s="951"/>
      <c r="D9" s="951"/>
      <c r="E9" s="951"/>
      <c r="F9" s="951"/>
    </row>
    <row r="10" spans="1:6" x14ac:dyDescent="0.25">
      <c r="A10" s="951"/>
      <c r="B10" s="951"/>
      <c r="C10" s="951"/>
      <c r="D10" s="951"/>
      <c r="E10" s="951"/>
      <c r="F10" s="951"/>
    </row>
    <row r="11" spans="1:6" x14ac:dyDescent="0.25">
      <c r="A11" s="951"/>
      <c r="B11" s="951"/>
      <c r="C11" s="951"/>
      <c r="D11" s="951"/>
      <c r="E11" s="951"/>
      <c r="F11" s="951"/>
    </row>
    <row r="12" spans="1:6" x14ac:dyDescent="0.25">
      <c r="A12" s="951"/>
      <c r="B12" s="951"/>
      <c r="C12" s="951"/>
      <c r="D12" s="951"/>
      <c r="E12" s="951"/>
      <c r="F12" s="951"/>
    </row>
    <row r="13" spans="1:6" x14ac:dyDescent="0.25">
      <c r="A13" s="951"/>
      <c r="B13" s="951"/>
      <c r="C13" s="951"/>
      <c r="D13" s="951"/>
      <c r="E13" s="951"/>
      <c r="F13" s="951"/>
    </row>
    <row r="14" spans="1:6" x14ac:dyDescent="0.25">
      <c r="A14" s="951"/>
      <c r="B14" s="951"/>
      <c r="C14" s="951"/>
      <c r="D14" s="951"/>
      <c r="E14" s="951"/>
      <c r="F14" s="951"/>
    </row>
    <row r="15" spans="1:6" x14ac:dyDescent="0.25">
      <c r="A15" s="951"/>
      <c r="B15" s="951"/>
      <c r="C15" s="951"/>
      <c r="D15" s="951"/>
      <c r="E15" s="951"/>
      <c r="F15" s="951"/>
    </row>
    <row r="16" spans="1:6" x14ac:dyDescent="0.25">
      <c r="A16" s="951"/>
      <c r="B16" s="951"/>
      <c r="C16" s="951"/>
      <c r="D16" s="951"/>
      <c r="E16" s="951"/>
      <c r="F16" s="951"/>
    </row>
    <row r="17" spans="1:6" x14ac:dyDescent="0.25">
      <c r="A17" s="951"/>
      <c r="B17" s="951"/>
      <c r="C17" s="951"/>
      <c r="D17" s="951"/>
      <c r="E17" s="951"/>
      <c r="F17" s="951"/>
    </row>
    <row r="18" spans="1:6" x14ac:dyDescent="0.25">
      <c r="A18" s="951"/>
      <c r="B18" s="951"/>
      <c r="C18" s="951"/>
      <c r="D18" s="951"/>
      <c r="E18" s="951"/>
      <c r="F18" s="951"/>
    </row>
    <row r="19" spans="1:6" x14ac:dyDescent="0.25">
      <c r="A19" s="951"/>
      <c r="B19" s="951"/>
      <c r="C19" s="951"/>
      <c r="D19" s="951"/>
      <c r="E19" s="951"/>
      <c r="F19" s="951"/>
    </row>
    <row r="20" spans="1:6" x14ac:dyDescent="0.25">
      <c r="A20" s="951"/>
      <c r="B20" s="951"/>
      <c r="C20" s="951"/>
      <c r="D20" s="951"/>
      <c r="E20" s="951"/>
      <c r="F20" s="951"/>
    </row>
    <row r="21" spans="1:6" x14ac:dyDescent="0.25">
      <c r="A21" s="951"/>
      <c r="B21" s="951"/>
      <c r="C21" s="951"/>
      <c r="D21" s="951"/>
      <c r="E21" s="951"/>
      <c r="F21" s="951"/>
    </row>
    <row r="22" spans="1:6" x14ac:dyDescent="0.25">
      <c r="A22" s="951"/>
      <c r="B22" s="951"/>
      <c r="C22" s="951"/>
      <c r="D22" s="951"/>
      <c r="E22" s="951"/>
      <c r="F22" s="951"/>
    </row>
    <row r="23" spans="1:6" x14ac:dyDescent="0.25">
      <c r="A23" s="951"/>
      <c r="B23" s="951"/>
      <c r="C23" s="951"/>
      <c r="D23" s="951"/>
      <c r="E23" s="951"/>
      <c r="F23" s="951"/>
    </row>
    <row r="24" spans="1:6" x14ac:dyDescent="0.25">
      <c r="A24" s="951"/>
      <c r="B24" s="951"/>
      <c r="C24" s="951"/>
      <c r="D24" s="951"/>
      <c r="E24" s="951"/>
      <c r="F24" s="951"/>
    </row>
    <row r="25" spans="1:6" x14ac:dyDescent="0.25">
      <c r="A25" s="951"/>
      <c r="B25" s="951"/>
      <c r="C25" s="951"/>
      <c r="D25" s="951"/>
      <c r="E25" s="951"/>
      <c r="F25" s="951"/>
    </row>
    <row r="26" spans="1:6" x14ac:dyDescent="0.25">
      <c r="A26" s="951"/>
      <c r="B26" s="951"/>
      <c r="C26" s="951"/>
      <c r="D26" s="951"/>
      <c r="E26" s="951"/>
      <c r="F26" s="951"/>
    </row>
    <row r="27" spans="1:6" x14ac:dyDescent="0.25">
      <c r="A27" s="951"/>
      <c r="B27" s="951"/>
      <c r="C27" s="951"/>
      <c r="D27" s="951"/>
      <c r="E27" s="951"/>
      <c r="F27" s="951"/>
    </row>
    <row r="28" spans="1:6" x14ac:dyDescent="0.25">
      <c r="A28" s="951"/>
      <c r="B28" s="951"/>
      <c r="C28" s="951"/>
      <c r="D28" s="951"/>
      <c r="E28" s="951"/>
      <c r="F28" s="951"/>
    </row>
    <row r="29" spans="1:6" x14ac:dyDescent="0.25">
      <c r="A29" s="951"/>
      <c r="B29" s="951"/>
      <c r="C29" s="951"/>
      <c r="D29" s="951"/>
      <c r="E29" s="951"/>
      <c r="F29" s="951"/>
    </row>
    <row r="30" spans="1:6" x14ac:dyDescent="0.25">
      <c r="A30" s="951"/>
      <c r="B30" s="951"/>
      <c r="C30" s="951"/>
      <c r="D30" s="951"/>
      <c r="E30" s="951"/>
      <c r="F30" s="951"/>
    </row>
  </sheetData>
  <mergeCells count="1">
    <mergeCell ref="A1:F30"/>
  </mergeCells>
  <pageMargins left="0.7" right="0.7" top="0.75" bottom="0.75" header="0.3" footer="0.3"/>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096C3-FE44-4DBC-98AE-844F8A957786}">
  <dimension ref="A2:H49"/>
  <sheetViews>
    <sheetView workbookViewId="0">
      <selection activeCell="D15" sqref="A1:XFD1048576"/>
    </sheetView>
  </sheetViews>
  <sheetFormatPr baseColWidth="10" defaultRowHeight="15" x14ac:dyDescent="0.25"/>
  <cols>
    <col min="1" max="1" width="4.7109375" customWidth="1"/>
    <col min="2" max="2" width="46.7109375" customWidth="1"/>
    <col min="3" max="3" width="4.85546875" bestFit="1" customWidth="1"/>
    <col min="4" max="4" width="13.7109375" customWidth="1"/>
    <col min="5" max="5" width="16.7109375" customWidth="1"/>
    <col min="6" max="6" width="14.5703125" customWidth="1"/>
    <col min="7" max="7" width="16.7109375" customWidth="1"/>
    <col min="8" max="8" width="13.28515625" customWidth="1"/>
  </cols>
  <sheetData>
    <row r="2" spans="1:8" x14ac:dyDescent="0.25">
      <c r="A2" s="961" t="s">
        <v>464</v>
      </c>
      <c r="B2" s="961"/>
      <c r="C2" s="958" t="s">
        <v>2</v>
      </c>
      <c r="D2" s="958"/>
      <c r="E2" s="958"/>
      <c r="F2" s="958"/>
      <c r="G2" s="958"/>
      <c r="H2" s="958"/>
    </row>
    <row r="3" spans="1:8" x14ac:dyDescent="0.25">
      <c r="A3" s="961"/>
      <c r="B3" s="961"/>
      <c r="C3" s="957" t="s">
        <v>4</v>
      </c>
      <c r="D3" s="957"/>
      <c r="E3" s="957"/>
      <c r="F3" s="957"/>
      <c r="G3" s="957"/>
      <c r="H3" s="957"/>
    </row>
    <row r="4" spans="1:8" x14ac:dyDescent="0.25">
      <c r="A4" s="198" t="s">
        <v>362</v>
      </c>
      <c r="B4" s="199"/>
      <c r="C4" s="957" t="s">
        <v>6</v>
      </c>
      <c r="D4" s="957"/>
      <c r="E4" s="957"/>
      <c r="F4" s="957"/>
      <c r="G4" s="957"/>
      <c r="H4" s="957"/>
    </row>
    <row r="5" spans="1:8" x14ac:dyDescent="0.25">
      <c r="A5" s="198" t="s">
        <v>363</v>
      </c>
      <c r="B5" s="199"/>
      <c r="C5" s="957">
        <v>4431</v>
      </c>
      <c r="D5" s="957"/>
      <c r="E5" s="957"/>
      <c r="F5" s="957"/>
      <c r="G5" s="957"/>
      <c r="H5" s="957"/>
    </row>
    <row r="6" spans="1:8" x14ac:dyDescent="0.25">
      <c r="A6" s="198" t="s">
        <v>364</v>
      </c>
      <c r="B6" s="199"/>
      <c r="C6" s="957" t="s">
        <v>12</v>
      </c>
      <c r="D6" s="957"/>
      <c r="E6" s="46" t="s">
        <v>365</v>
      </c>
      <c r="F6" s="202">
        <v>46022</v>
      </c>
      <c r="G6" s="199" t="s">
        <v>465</v>
      </c>
      <c r="H6" s="235">
        <v>12</v>
      </c>
    </row>
    <row r="7" spans="1:8" x14ac:dyDescent="0.25">
      <c r="A7" s="200" t="s">
        <v>367</v>
      </c>
      <c r="B7" s="201"/>
      <c r="C7" s="957" t="s">
        <v>8</v>
      </c>
      <c r="D7" s="957"/>
      <c r="E7" s="199"/>
      <c r="F7" s="199"/>
      <c r="G7" s="199"/>
      <c r="H7" s="199"/>
    </row>
    <row r="8" spans="1:8" x14ac:dyDescent="0.25">
      <c r="A8" s="199" t="s">
        <v>466</v>
      </c>
      <c r="B8" s="199"/>
      <c r="C8" s="958" t="s">
        <v>34</v>
      </c>
      <c r="D8" s="958"/>
      <c r="E8" s="958"/>
      <c r="F8" s="958"/>
      <c r="G8" s="958"/>
      <c r="H8" s="958"/>
    </row>
    <row r="9" spans="1:8" x14ac:dyDescent="0.25">
      <c r="A9" s="199"/>
      <c r="B9" s="199"/>
      <c r="C9" s="957">
        <v>555555</v>
      </c>
      <c r="D9" s="957"/>
      <c r="E9" s="957"/>
      <c r="F9" s="957"/>
      <c r="G9" s="957"/>
      <c r="H9" s="957"/>
    </row>
    <row r="10" spans="1:8" x14ac:dyDescent="0.25">
      <c r="A10" s="199" t="s">
        <v>467</v>
      </c>
      <c r="B10" s="199"/>
      <c r="C10" s="957" t="s">
        <v>38</v>
      </c>
      <c r="D10" s="957"/>
      <c r="E10" s="770" t="s">
        <v>468</v>
      </c>
      <c r="F10" s="770"/>
      <c r="G10" s="957" t="s">
        <v>36</v>
      </c>
      <c r="H10" s="957"/>
    </row>
    <row r="11" spans="1:8" x14ac:dyDescent="0.25">
      <c r="A11" s="199" t="s">
        <v>469</v>
      </c>
      <c r="B11" s="199"/>
      <c r="C11" s="954">
        <v>44713</v>
      </c>
      <c r="D11" s="954"/>
      <c r="E11" s="975" t="s">
        <v>470</v>
      </c>
      <c r="F11" s="975"/>
      <c r="G11" s="954">
        <v>45991</v>
      </c>
      <c r="H11" s="954"/>
    </row>
    <row r="12" spans="1:8" ht="15.75" x14ac:dyDescent="0.25">
      <c r="A12" s="242"/>
      <c r="B12" s="242"/>
      <c r="C12" s="242"/>
      <c r="D12" s="242"/>
      <c r="E12" s="242"/>
      <c r="F12" s="242"/>
      <c r="G12" s="242"/>
      <c r="H12" s="242"/>
    </row>
    <row r="13" spans="1:8" x14ac:dyDescent="0.25">
      <c r="A13" s="770" t="s">
        <v>662</v>
      </c>
      <c r="B13" s="770"/>
      <c r="C13" s="770"/>
      <c r="D13" s="770"/>
      <c r="E13" s="770"/>
      <c r="F13" s="770"/>
      <c r="G13" s="770"/>
      <c r="H13" s="770"/>
    </row>
    <row r="15" spans="1:8" x14ac:dyDescent="0.25">
      <c r="A15" s="972" t="s">
        <v>471</v>
      </c>
      <c r="B15" s="972" t="s">
        <v>663</v>
      </c>
      <c r="C15" s="972"/>
      <c r="D15" s="972" t="s">
        <v>473</v>
      </c>
      <c r="E15" s="996" t="s">
        <v>474</v>
      </c>
      <c r="F15" s="996"/>
      <c r="G15" s="996" t="s">
        <v>474</v>
      </c>
      <c r="H15" s="996"/>
    </row>
    <row r="16" spans="1:8" x14ac:dyDescent="0.25">
      <c r="A16" s="972"/>
      <c r="B16" s="972"/>
      <c r="C16" s="972"/>
      <c r="D16" s="972"/>
      <c r="E16" s="997">
        <v>46022</v>
      </c>
      <c r="F16" s="997"/>
      <c r="G16" s="997">
        <v>46022</v>
      </c>
      <c r="H16" s="997"/>
    </row>
    <row r="17" spans="1:8" x14ac:dyDescent="0.25">
      <c r="A17" s="988" t="s">
        <v>368</v>
      </c>
      <c r="B17" s="248" t="s">
        <v>664</v>
      </c>
      <c r="C17" s="988" t="s">
        <v>665</v>
      </c>
      <c r="D17" s="990"/>
      <c r="E17" s="992"/>
      <c r="F17" s="993"/>
      <c r="G17" s="992"/>
      <c r="H17" s="993"/>
    </row>
    <row r="18" spans="1:8" x14ac:dyDescent="0.25">
      <c r="A18" s="989"/>
      <c r="B18" s="249" t="s">
        <v>666</v>
      </c>
      <c r="C18" s="989"/>
      <c r="D18" s="991"/>
      <c r="E18" s="994"/>
      <c r="F18" s="995"/>
      <c r="G18" s="994"/>
      <c r="H18" s="995"/>
    </row>
    <row r="19" spans="1:8" ht="25.5" x14ac:dyDescent="0.25">
      <c r="A19" s="250"/>
      <c r="B19" s="251" t="s">
        <v>667</v>
      </c>
      <c r="C19" s="250"/>
      <c r="D19" s="252"/>
      <c r="E19" s="985"/>
      <c r="F19" s="985"/>
      <c r="G19" s="985"/>
      <c r="H19" s="985"/>
    </row>
    <row r="20" spans="1:8" x14ac:dyDescent="0.25">
      <c r="A20" s="214" t="s">
        <v>668</v>
      </c>
      <c r="B20" s="253" t="s">
        <v>669</v>
      </c>
      <c r="C20" s="254"/>
      <c r="D20" s="255"/>
      <c r="E20" s="987"/>
      <c r="F20" s="987"/>
      <c r="G20" s="987"/>
      <c r="H20" s="987"/>
    </row>
    <row r="21" spans="1:8" ht="29.45" customHeight="1" x14ac:dyDescent="0.25">
      <c r="A21" s="214" t="s">
        <v>670</v>
      </c>
      <c r="B21" s="253" t="s">
        <v>671</v>
      </c>
      <c r="C21" s="254"/>
      <c r="D21" s="255"/>
      <c r="E21" s="987"/>
      <c r="F21" s="987"/>
      <c r="G21" s="987"/>
      <c r="H21" s="987"/>
    </row>
    <row r="22" spans="1:8" x14ac:dyDescent="0.25">
      <c r="A22" s="214" t="s">
        <v>672</v>
      </c>
      <c r="B22" s="253" t="s">
        <v>673</v>
      </c>
      <c r="C22" s="254"/>
      <c r="D22" s="255"/>
      <c r="E22" s="987"/>
      <c r="F22" s="987"/>
      <c r="G22" s="987"/>
      <c r="H22" s="987"/>
    </row>
    <row r="23" spans="1:8" x14ac:dyDescent="0.25">
      <c r="A23" s="214" t="s">
        <v>674</v>
      </c>
      <c r="B23" s="253" t="s">
        <v>675</v>
      </c>
      <c r="C23" s="254"/>
      <c r="D23" s="255"/>
      <c r="E23" s="987"/>
      <c r="F23" s="987"/>
      <c r="G23" s="987"/>
      <c r="H23" s="987"/>
    </row>
    <row r="24" spans="1:8" x14ac:dyDescent="0.25">
      <c r="A24" s="214" t="s">
        <v>676</v>
      </c>
      <c r="B24" s="253" t="s">
        <v>677</v>
      </c>
      <c r="C24" s="254"/>
      <c r="D24" s="255"/>
      <c r="E24" s="987"/>
      <c r="F24" s="987"/>
      <c r="G24" s="987"/>
      <c r="H24" s="987"/>
    </row>
    <row r="25" spans="1:8" x14ac:dyDescent="0.25">
      <c r="A25" s="214" t="s">
        <v>678</v>
      </c>
      <c r="B25" s="253" t="s">
        <v>679</v>
      </c>
      <c r="C25" s="254"/>
      <c r="D25" s="255"/>
      <c r="E25" s="987"/>
      <c r="F25" s="987"/>
      <c r="G25" s="987"/>
      <c r="H25" s="987"/>
    </row>
    <row r="26" spans="1:8" x14ac:dyDescent="0.25">
      <c r="A26" s="214" t="s">
        <v>680</v>
      </c>
      <c r="B26" s="253" t="s">
        <v>681</v>
      </c>
      <c r="C26" s="254"/>
      <c r="D26" s="255"/>
      <c r="E26" s="987"/>
      <c r="F26" s="987"/>
      <c r="G26" s="987"/>
      <c r="H26" s="987"/>
    </row>
    <row r="27" spans="1:8" x14ac:dyDescent="0.25">
      <c r="A27" s="214" t="s">
        <v>682</v>
      </c>
      <c r="B27" s="253" t="s">
        <v>683</v>
      </c>
      <c r="C27" s="254"/>
      <c r="D27" s="255"/>
      <c r="E27" s="987"/>
      <c r="F27" s="987"/>
      <c r="G27" s="987"/>
      <c r="H27" s="987"/>
    </row>
    <row r="28" spans="1:8" ht="25.5" x14ac:dyDescent="0.25">
      <c r="A28" s="256" t="s">
        <v>372</v>
      </c>
      <c r="B28" s="257" t="s">
        <v>684</v>
      </c>
      <c r="C28" s="256" t="s">
        <v>53</v>
      </c>
      <c r="D28" s="258"/>
      <c r="E28" s="986"/>
      <c r="F28" s="986"/>
      <c r="G28" s="986"/>
      <c r="H28" s="986"/>
    </row>
    <row r="29" spans="1:8" ht="25.5" x14ac:dyDescent="0.25">
      <c r="A29" s="250"/>
      <c r="B29" s="251" t="s">
        <v>685</v>
      </c>
      <c r="C29" s="259"/>
      <c r="D29" s="252"/>
      <c r="E29" s="985"/>
      <c r="F29" s="985"/>
      <c r="G29" s="985"/>
      <c r="H29" s="985"/>
    </row>
    <row r="30" spans="1:8" ht="25.5" x14ac:dyDescent="0.25">
      <c r="A30" s="214" t="s">
        <v>686</v>
      </c>
      <c r="B30" s="253" t="s">
        <v>687</v>
      </c>
      <c r="C30" s="254"/>
      <c r="D30" s="255"/>
      <c r="E30" s="987"/>
      <c r="F30" s="987"/>
      <c r="G30" s="987"/>
      <c r="H30" s="987"/>
    </row>
    <row r="31" spans="1:8" ht="25.5" x14ac:dyDescent="0.25">
      <c r="A31" s="214" t="s">
        <v>688</v>
      </c>
      <c r="B31" s="253" t="s">
        <v>689</v>
      </c>
      <c r="C31" s="254"/>
      <c r="D31" s="255"/>
      <c r="E31" s="987"/>
      <c r="F31" s="987"/>
      <c r="G31" s="987"/>
      <c r="H31" s="987"/>
    </row>
    <row r="32" spans="1:8" ht="25.5" x14ac:dyDescent="0.25">
      <c r="A32" s="214" t="s">
        <v>690</v>
      </c>
      <c r="B32" s="253" t="s">
        <v>691</v>
      </c>
      <c r="C32" s="254"/>
      <c r="D32" s="255"/>
      <c r="E32" s="987"/>
      <c r="F32" s="987"/>
      <c r="G32" s="987"/>
      <c r="H32" s="987"/>
    </row>
    <row r="33" spans="1:8" ht="25.5" x14ac:dyDescent="0.25">
      <c r="A33" s="214" t="s">
        <v>692</v>
      </c>
      <c r="B33" s="253" t="s">
        <v>693</v>
      </c>
      <c r="C33" s="254"/>
      <c r="D33" s="255"/>
      <c r="E33" s="987"/>
      <c r="F33" s="987"/>
      <c r="G33" s="987"/>
      <c r="H33" s="987"/>
    </row>
    <row r="34" spans="1:8" ht="25.5" x14ac:dyDescent="0.25">
      <c r="A34" s="256" t="s">
        <v>375</v>
      </c>
      <c r="B34" s="257" t="s">
        <v>694</v>
      </c>
      <c r="C34" s="256" t="s">
        <v>695</v>
      </c>
      <c r="D34" s="258"/>
      <c r="E34" s="986"/>
      <c r="F34" s="986"/>
      <c r="G34" s="986"/>
      <c r="H34" s="986"/>
    </row>
    <row r="35" spans="1:8" ht="25.5" x14ac:dyDescent="0.25">
      <c r="A35" s="250"/>
      <c r="B35" s="251" t="s">
        <v>696</v>
      </c>
      <c r="C35" s="250"/>
      <c r="D35" s="252"/>
      <c r="E35" s="985"/>
      <c r="F35" s="985"/>
      <c r="G35" s="985"/>
      <c r="H35" s="985"/>
    </row>
    <row r="36" spans="1:8" x14ac:dyDescent="0.25">
      <c r="A36" s="214" t="s">
        <v>697</v>
      </c>
      <c r="B36" s="253" t="s">
        <v>698</v>
      </c>
      <c r="C36" s="254"/>
      <c r="D36" s="255"/>
      <c r="E36" s="987"/>
      <c r="F36" s="987"/>
      <c r="G36" s="987"/>
      <c r="H36" s="987"/>
    </row>
    <row r="37" spans="1:8" x14ac:dyDescent="0.25">
      <c r="A37" s="214" t="s">
        <v>699</v>
      </c>
      <c r="B37" s="253" t="s">
        <v>700</v>
      </c>
      <c r="C37" s="254"/>
      <c r="D37" s="255"/>
      <c r="E37" s="987"/>
      <c r="F37" s="987"/>
      <c r="G37" s="987"/>
      <c r="H37" s="987"/>
    </row>
    <row r="38" spans="1:8" x14ac:dyDescent="0.25">
      <c r="A38" s="214" t="s">
        <v>701</v>
      </c>
      <c r="B38" s="253" t="s">
        <v>702</v>
      </c>
      <c r="C38" s="254"/>
      <c r="D38" s="255"/>
      <c r="E38" s="987"/>
      <c r="F38" s="987"/>
      <c r="G38" s="987"/>
      <c r="H38" s="987"/>
    </row>
    <row r="39" spans="1:8" ht="25.5" x14ac:dyDescent="0.25">
      <c r="A39" s="217" t="s">
        <v>374</v>
      </c>
      <c r="B39" s="227" t="s">
        <v>703</v>
      </c>
      <c r="C39" s="217" t="s">
        <v>704</v>
      </c>
      <c r="D39" s="260"/>
      <c r="E39" s="984"/>
      <c r="F39" s="984"/>
      <c r="G39" s="984"/>
      <c r="H39" s="984"/>
    </row>
    <row r="40" spans="1:8" ht="25.5" x14ac:dyDescent="0.25">
      <c r="A40" s="214"/>
      <c r="B40" s="220" t="s">
        <v>705</v>
      </c>
      <c r="C40" s="214"/>
      <c r="D40" s="255"/>
      <c r="E40" s="987"/>
      <c r="F40" s="987"/>
      <c r="G40" s="987"/>
      <c r="H40" s="987"/>
    </row>
    <row r="41" spans="1:8" ht="25.5" x14ac:dyDescent="0.25">
      <c r="A41" s="214" t="s">
        <v>706</v>
      </c>
      <c r="B41" s="253" t="s">
        <v>707</v>
      </c>
      <c r="C41" s="214"/>
      <c r="D41" s="255"/>
      <c r="E41" s="987"/>
      <c r="F41" s="987"/>
      <c r="G41" s="987"/>
      <c r="H41" s="987"/>
    </row>
    <row r="42" spans="1:8" ht="25.5" x14ac:dyDescent="0.25">
      <c r="A42" s="214" t="s">
        <v>708</v>
      </c>
      <c r="B42" s="253" t="s">
        <v>709</v>
      </c>
      <c r="C42" s="214"/>
      <c r="D42" s="255"/>
      <c r="E42" s="987"/>
      <c r="F42" s="987"/>
      <c r="G42" s="987"/>
      <c r="H42" s="987"/>
    </row>
    <row r="43" spans="1:8" ht="25.5" x14ac:dyDescent="0.25">
      <c r="A43" s="217" t="s">
        <v>378</v>
      </c>
      <c r="B43" s="227" t="s">
        <v>710</v>
      </c>
      <c r="C43" s="217" t="s">
        <v>711</v>
      </c>
      <c r="D43" s="260"/>
      <c r="E43" s="984"/>
      <c r="F43" s="984"/>
      <c r="G43" s="984"/>
      <c r="H43" s="984"/>
    </row>
    <row r="44" spans="1:8" ht="25.5" x14ac:dyDescent="0.25">
      <c r="A44" s="250"/>
      <c r="B44" s="251" t="s">
        <v>712</v>
      </c>
      <c r="C44" s="250"/>
      <c r="D44" s="252"/>
      <c r="E44" s="985"/>
      <c r="F44" s="985"/>
      <c r="G44" s="985"/>
      <c r="H44" s="985"/>
    </row>
    <row r="45" spans="1:8" ht="25.5" x14ac:dyDescent="0.25">
      <c r="A45" s="256" t="s">
        <v>379</v>
      </c>
      <c r="B45" s="257" t="s">
        <v>713</v>
      </c>
      <c r="C45" s="256" t="s">
        <v>714</v>
      </c>
      <c r="D45" s="258"/>
      <c r="E45" s="986"/>
      <c r="F45" s="986"/>
      <c r="G45" s="986"/>
      <c r="H45" s="986"/>
    </row>
    <row r="46" spans="1:8" x14ac:dyDescent="0.25">
      <c r="A46" s="976" t="s">
        <v>383</v>
      </c>
      <c r="B46" s="261" t="s">
        <v>715</v>
      </c>
      <c r="C46" s="976" t="s">
        <v>716</v>
      </c>
      <c r="D46" s="978"/>
      <c r="E46" s="980"/>
      <c r="F46" s="981"/>
      <c r="G46" s="980"/>
      <c r="H46" s="981"/>
    </row>
    <row r="47" spans="1:8" x14ac:dyDescent="0.25">
      <c r="A47" s="977"/>
      <c r="B47" s="262" t="s">
        <v>717</v>
      </c>
      <c r="C47" s="977"/>
      <c r="D47" s="979"/>
      <c r="E47" s="982"/>
      <c r="F47" s="983"/>
      <c r="G47" s="982"/>
      <c r="H47" s="983"/>
    </row>
    <row r="48" spans="1:8" x14ac:dyDescent="0.25">
      <c r="A48" s="241"/>
      <c r="B48" s="241"/>
      <c r="C48" s="241"/>
      <c r="D48" s="241"/>
      <c r="E48" s="241"/>
      <c r="F48" s="241"/>
      <c r="G48" s="241"/>
      <c r="H48" s="241"/>
    </row>
    <row r="49" spans="1:8" x14ac:dyDescent="0.25">
      <c r="A49" s="263" t="s">
        <v>718</v>
      </c>
      <c r="B49" s="241"/>
      <c r="C49" s="241"/>
      <c r="D49" s="241"/>
      <c r="E49" s="241"/>
      <c r="F49" s="241"/>
      <c r="G49" s="241"/>
      <c r="H49" s="241"/>
    </row>
  </sheetData>
  <mergeCells count="88">
    <mergeCell ref="C5:H5"/>
    <mergeCell ref="A2:B2"/>
    <mergeCell ref="C2:H2"/>
    <mergeCell ref="A3:B3"/>
    <mergeCell ref="C3:H3"/>
    <mergeCell ref="C4:H4"/>
    <mergeCell ref="C6:D6"/>
    <mergeCell ref="C7:D7"/>
    <mergeCell ref="C8:H8"/>
    <mergeCell ref="C9:H9"/>
    <mergeCell ref="C10:D10"/>
    <mergeCell ref="E10:F10"/>
    <mergeCell ref="G10:H10"/>
    <mergeCell ref="C11:D11"/>
    <mergeCell ref="E11:F11"/>
    <mergeCell ref="G11:H11"/>
    <mergeCell ref="A13:H13"/>
    <mergeCell ref="A15:A16"/>
    <mergeCell ref="B15:C16"/>
    <mergeCell ref="D15:D16"/>
    <mergeCell ref="E15:F15"/>
    <mergeCell ref="G15:H15"/>
    <mergeCell ref="E16:F16"/>
    <mergeCell ref="G16:H16"/>
    <mergeCell ref="A17:A18"/>
    <mergeCell ref="C17:C18"/>
    <mergeCell ref="D17:D18"/>
    <mergeCell ref="E17:F18"/>
    <mergeCell ref="G17:H18"/>
    <mergeCell ref="E19:F19"/>
    <mergeCell ref="G19:H19"/>
    <mergeCell ref="E20:F20"/>
    <mergeCell ref="G20:H20"/>
    <mergeCell ref="E21:F21"/>
    <mergeCell ref="G21:H21"/>
    <mergeCell ref="E22:F22"/>
    <mergeCell ref="G22:H22"/>
    <mergeCell ref="E23:F23"/>
    <mergeCell ref="G23:H23"/>
    <mergeCell ref="E24:F24"/>
    <mergeCell ref="G24:H24"/>
    <mergeCell ref="E25:F25"/>
    <mergeCell ref="G25:H25"/>
    <mergeCell ref="E26:F26"/>
    <mergeCell ref="G26:H26"/>
    <mergeCell ref="E27:F27"/>
    <mergeCell ref="G27:H27"/>
    <mergeCell ref="E28:F28"/>
    <mergeCell ref="G28:H28"/>
    <mergeCell ref="E29:F29"/>
    <mergeCell ref="G29:H29"/>
    <mergeCell ref="E30:F30"/>
    <mergeCell ref="G30:H30"/>
    <mergeCell ref="E31:F31"/>
    <mergeCell ref="G31:H31"/>
    <mergeCell ref="E32:F32"/>
    <mergeCell ref="G32:H32"/>
    <mergeCell ref="E33:F33"/>
    <mergeCell ref="G33:H33"/>
    <mergeCell ref="E34:F34"/>
    <mergeCell ref="G34:H34"/>
    <mergeCell ref="E35:F35"/>
    <mergeCell ref="G35:H35"/>
    <mergeCell ref="E36:F36"/>
    <mergeCell ref="G36:H36"/>
    <mergeCell ref="E37:F37"/>
    <mergeCell ref="G37:H37"/>
    <mergeCell ref="E38:F38"/>
    <mergeCell ref="G38:H38"/>
    <mergeCell ref="E39:F39"/>
    <mergeCell ref="G39:H39"/>
    <mergeCell ref="E40:F40"/>
    <mergeCell ref="G40:H40"/>
    <mergeCell ref="E41:F41"/>
    <mergeCell ref="G41:H41"/>
    <mergeCell ref="E42:F42"/>
    <mergeCell ref="G42:H42"/>
    <mergeCell ref="E43:F43"/>
    <mergeCell ref="G43:H43"/>
    <mergeCell ref="E44:F44"/>
    <mergeCell ref="G44:H44"/>
    <mergeCell ref="E45:F45"/>
    <mergeCell ref="G45:H45"/>
    <mergeCell ref="A46:A47"/>
    <mergeCell ref="C46:C47"/>
    <mergeCell ref="D46:D47"/>
    <mergeCell ref="E46:F47"/>
    <mergeCell ref="G46:H47"/>
  </mergeCells>
  <pageMargins left="0.7" right="0.7" top="0.75" bottom="0.75" header="0.3" footer="0.3"/>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4EFDBA-B642-430E-9E3C-0072736FAC9C}">
  <dimension ref="A1:F30"/>
  <sheetViews>
    <sheetView workbookViewId="0">
      <selection activeCell="D1" sqref="A1:XFD1048576"/>
    </sheetView>
  </sheetViews>
  <sheetFormatPr baseColWidth="10" defaultRowHeight="15" x14ac:dyDescent="0.25"/>
  <sheetData>
    <row r="1" spans="1:6" x14ac:dyDescent="0.25">
      <c r="A1" s="951" t="s">
        <v>719</v>
      </c>
      <c r="B1" s="951"/>
      <c r="C1" s="951"/>
      <c r="D1" s="951"/>
      <c r="E1" s="951"/>
      <c r="F1" s="951"/>
    </row>
    <row r="2" spans="1:6" x14ac:dyDescent="0.25">
      <c r="A2" s="951"/>
      <c r="B2" s="951"/>
      <c r="C2" s="951"/>
      <c r="D2" s="951"/>
      <c r="E2" s="951"/>
      <c r="F2" s="951"/>
    </row>
    <row r="3" spans="1:6" x14ac:dyDescent="0.25">
      <c r="A3" s="951"/>
      <c r="B3" s="951"/>
      <c r="C3" s="951"/>
      <c r="D3" s="951"/>
      <c r="E3" s="951"/>
      <c r="F3" s="951"/>
    </row>
    <row r="4" spans="1:6" x14ac:dyDescent="0.25">
      <c r="A4" s="951"/>
      <c r="B4" s="951"/>
      <c r="C4" s="951"/>
      <c r="D4" s="951"/>
      <c r="E4" s="951"/>
      <c r="F4" s="951"/>
    </row>
    <row r="5" spans="1:6" x14ac:dyDescent="0.25">
      <c r="A5" s="951"/>
      <c r="B5" s="951"/>
      <c r="C5" s="951"/>
      <c r="D5" s="951"/>
      <c r="E5" s="951"/>
      <c r="F5" s="951"/>
    </row>
    <row r="6" spans="1:6" x14ac:dyDescent="0.25">
      <c r="A6" s="951"/>
      <c r="B6" s="951"/>
      <c r="C6" s="951"/>
      <c r="D6" s="951"/>
      <c r="E6" s="951"/>
      <c r="F6" s="951"/>
    </row>
    <row r="7" spans="1:6" x14ac:dyDescent="0.25">
      <c r="A7" s="951"/>
      <c r="B7" s="951"/>
      <c r="C7" s="951"/>
      <c r="D7" s="951"/>
      <c r="E7" s="951"/>
      <c r="F7" s="951"/>
    </row>
    <row r="8" spans="1:6" x14ac:dyDescent="0.25">
      <c r="A8" s="951"/>
      <c r="B8" s="951"/>
      <c r="C8" s="951"/>
      <c r="D8" s="951"/>
      <c r="E8" s="951"/>
      <c r="F8" s="951"/>
    </row>
    <row r="9" spans="1:6" x14ac:dyDescent="0.25">
      <c r="A9" s="951"/>
      <c r="B9" s="951"/>
      <c r="C9" s="951"/>
      <c r="D9" s="951"/>
      <c r="E9" s="951"/>
      <c r="F9" s="951"/>
    </row>
    <row r="10" spans="1:6" x14ac:dyDescent="0.25">
      <c r="A10" s="951"/>
      <c r="B10" s="951"/>
      <c r="C10" s="951"/>
      <c r="D10" s="951"/>
      <c r="E10" s="951"/>
      <c r="F10" s="951"/>
    </row>
    <row r="11" spans="1:6" x14ac:dyDescent="0.25">
      <c r="A11" s="951"/>
      <c r="B11" s="951"/>
      <c r="C11" s="951"/>
      <c r="D11" s="951"/>
      <c r="E11" s="951"/>
      <c r="F11" s="951"/>
    </row>
    <row r="12" spans="1:6" x14ac:dyDescent="0.25">
      <c r="A12" s="951"/>
      <c r="B12" s="951"/>
      <c r="C12" s="951"/>
      <c r="D12" s="951"/>
      <c r="E12" s="951"/>
      <c r="F12" s="951"/>
    </row>
    <row r="13" spans="1:6" x14ac:dyDescent="0.25">
      <c r="A13" s="951"/>
      <c r="B13" s="951"/>
      <c r="C13" s="951"/>
      <c r="D13" s="951"/>
      <c r="E13" s="951"/>
      <c r="F13" s="951"/>
    </row>
    <row r="14" spans="1:6" x14ac:dyDescent="0.25">
      <c r="A14" s="951"/>
      <c r="B14" s="951"/>
      <c r="C14" s="951"/>
      <c r="D14" s="951"/>
      <c r="E14" s="951"/>
      <c r="F14" s="951"/>
    </row>
    <row r="15" spans="1:6" x14ac:dyDescent="0.25">
      <c r="A15" s="951"/>
      <c r="B15" s="951"/>
      <c r="C15" s="951"/>
      <c r="D15" s="951"/>
      <c r="E15" s="951"/>
      <c r="F15" s="951"/>
    </row>
    <row r="16" spans="1:6" x14ac:dyDescent="0.25">
      <c r="A16" s="951"/>
      <c r="B16" s="951"/>
      <c r="C16" s="951"/>
      <c r="D16" s="951"/>
      <c r="E16" s="951"/>
      <c r="F16" s="951"/>
    </row>
    <row r="17" spans="1:6" x14ac:dyDescent="0.25">
      <c r="A17" s="951"/>
      <c r="B17" s="951"/>
      <c r="C17" s="951"/>
      <c r="D17" s="951"/>
      <c r="E17" s="951"/>
      <c r="F17" s="951"/>
    </row>
    <row r="18" spans="1:6" x14ac:dyDescent="0.25">
      <c r="A18" s="951"/>
      <c r="B18" s="951"/>
      <c r="C18" s="951"/>
      <c r="D18" s="951"/>
      <c r="E18" s="951"/>
      <c r="F18" s="951"/>
    </row>
    <row r="19" spans="1:6" x14ac:dyDescent="0.25">
      <c r="A19" s="951"/>
      <c r="B19" s="951"/>
      <c r="C19" s="951"/>
      <c r="D19" s="951"/>
      <c r="E19" s="951"/>
      <c r="F19" s="951"/>
    </row>
    <row r="20" spans="1:6" x14ac:dyDescent="0.25">
      <c r="A20" s="951"/>
      <c r="B20" s="951"/>
      <c r="C20" s="951"/>
      <c r="D20" s="951"/>
      <c r="E20" s="951"/>
      <c r="F20" s="951"/>
    </row>
    <row r="21" spans="1:6" x14ac:dyDescent="0.25">
      <c r="A21" s="951"/>
      <c r="B21" s="951"/>
      <c r="C21" s="951"/>
      <c r="D21" s="951"/>
      <c r="E21" s="951"/>
      <c r="F21" s="951"/>
    </row>
    <row r="22" spans="1:6" x14ac:dyDescent="0.25">
      <c r="A22" s="951"/>
      <c r="B22" s="951"/>
      <c r="C22" s="951"/>
      <c r="D22" s="951"/>
      <c r="E22" s="951"/>
      <c r="F22" s="951"/>
    </row>
    <row r="23" spans="1:6" x14ac:dyDescent="0.25">
      <c r="A23" s="951"/>
      <c r="B23" s="951"/>
      <c r="C23" s="951"/>
      <c r="D23" s="951"/>
      <c r="E23" s="951"/>
      <c r="F23" s="951"/>
    </row>
    <row r="24" spans="1:6" x14ac:dyDescent="0.25">
      <c r="A24" s="951"/>
      <c r="B24" s="951"/>
      <c r="C24" s="951"/>
      <c r="D24" s="951"/>
      <c r="E24" s="951"/>
      <c r="F24" s="951"/>
    </row>
    <row r="25" spans="1:6" x14ac:dyDescent="0.25">
      <c r="A25" s="951"/>
      <c r="B25" s="951"/>
      <c r="C25" s="951"/>
      <c r="D25" s="951"/>
      <c r="E25" s="951"/>
      <c r="F25" s="951"/>
    </row>
    <row r="26" spans="1:6" x14ac:dyDescent="0.25">
      <c r="A26" s="951"/>
      <c r="B26" s="951"/>
      <c r="C26" s="951"/>
      <c r="D26" s="951"/>
      <c r="E26" s="951"/>
      <c r="F26" s="951"/>
    </row>
    <row r="27" spans="1:6" x14ac:dyDescent="0.25">
      <c r="A27" s="951"/>
      <c r="B27" s="951"/>
      <c r="C27" s="951"/>
      <c r="D27" s="951"/>
      <c r="E27" s="951"/>
      <c r="F27" s="951"/>
    </row>
    <row r="28" spans="1:6" x14ac:dyDescent="0.25">
      <c r="A28" s="951"/>
      <c r="B28" s="951"/>
      <c r="C28" s="951"/>
      <c r="D28" s="951"/>
      <c r="E28" s="951"/>
      <c r="F28" s="951"/>
    </row>
    <row r="29" spans="1:6" x14ac:dyDescent="0.25">
      <c r="A29" s="951"/>
      <c r="B29" s="951"/>
      <c r="C29" s="951"/>
      <c r="D29" s="951"/>
      <c r="E29" s="951"/>
      <c r="F29" s="951"/>
    </row>
    <row r="30" spans="1:6" x14ac:dyDescent="0.25">
      <c r="A30" s="951"/>
      <c r="B30" s="951"/>
      <c r="C30" s="951"/>
      <c r="D30" s="951"/>
      <c r="E30" s="951"/>
      <c r="F30" s="951"/>
    </row>
  </sheetData>
  <mergeCells count="1">
    <mergeCell ref="A1:F30"/>
  </mergeCells>
  <pageMargins left="0.7" right="0.7" top="0.75" bottom="0.75" header="0.3" footer="0.3"/>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534BAC-6F80-47B2-B9A3-F7094CBBAF1B}">
  <dimension ref="A2:H70"/>
  <sheetViews>
    <sheetView workbookViewId="0">
      <selection activeCell="E14" sqref="A1:XFD1048576"/>
    </sheetView>
  </sheetViews>
  <sheetFormatPr baseColWidth="10" defaultRowHeight="15" x14ac:dyDescent="0.25"/>
  <cols>
    <col min="1" max="1" width="10.42578125" customWidth="1"/>
    <col min="2" max="2" width="20.28515625" customWidth="1"/>
    <col min="3" max="3" width="4.85546875" bestFit="1" customWidth="1"/>
    <col min="4" max="4" width="13.7109375" customWidth="1"/>
    <col min="5" max="5" width="16.7109375" customWidth="1"/>
    <col min="6" max="6" width="14.5703125" customWidth="1"/>
    <col min="7" max="7" width="16.7109375" customWidth="1"/>
    <col min="8" max="8" width="13.28515625" customWidth="1"/>
  </cols>
  <sheetData>
    <row r="2" spans="1:8" x14ac:dyDescent="0.25">
      <c r="A2" s="961" t="s">
        <v>464</v>
      </c>
      <c r="B2" s="961"/>
      <c r="C2" s="958" t="s">
        <v>2</v>
      </c>
      <c r="D2" s="958"/>
      <c r="E2" s="958"/>
      <c r="F2" s="958"/>
      <c r="G2" s="958"/>
      <c r="H2" s="958"/>
    </row>
    <row r="3" spans="1:8" x14ac:dyDescent="0.25">
      <c r="A3" s="961"/>
      <c r="B3" s="961"/>
      <c r="C3" s="957" t="s">
        <v>4</v>
      </c>
      <c r="D3" s="957"/>
      <c r="E3" s="957"/>
      <c r="F3" s="957"/>
      <c r="G3" s="957"/>
      <c r="H3" s="957"/>
    </row>
    <row r="4" spans="1:8" x14ac:dyDescent="0.25">
      <c r="A4" s="198" t="s">
        <v>362</v>
      </c>
      <c r="B4" s="199"/>
      <c r="C4" s="957" t="s">
        <v>6</v>
      </c>
      <c r="D4" s="957"/>
      <c r="E4" s="957"/>
      <c r="F4" s="957"/>
      <c r="G4" s="957"/>
      <c r="H4" s="957"/>
    </row>
    <row r="5" spans="1:8" x14ac:dyDescent="0.25">
      <c r="A5" s="198" t="s">
        <v>363</v>
      </c>
      <c r="B5" s="199"/>
      <c r="C5" s="957">
        <v>4431</v>
      </c>
      <c r="D5" s="957"/>
      <c r="E5" s="957"/>
      <c r="F5" s="957"/>
      <c r="G5" s="957"/>
      <c r="H5" s="957"/>
    </row>
    <row r="6" spans="1:8" x14ac:dyDescent="0.25">
      <c r="A6" s="198" t="s">
        <v>364</v>
      </c>
      <c r="B6" s="199"/>
      <c r="C6" s="957" t="s">
        <v>12</v>
      </c>
      <c r="D6" s="957"/>
      <c r="E6" s="46" t="s">
        <v>365</v>
      </c>
      <c r="F6" s="202">
        <v>46022</v>
      </c>
      <c r="G6" s="199" t="s">
        <v>465</v>
      </c>
      <c r="H6" s="235">
        <v>12</v>
      </c>
    </row>
    <row r="7" spans="1:8" x14ac:dyDescent="0.25">
      <c r="A7" s="200" t="s">
        <v>367</v>
      </c>
      <c r="B7" s="201"/>
      <c r="C7" s="957" t="s">
        <v>8</v>
      </c>
      <c r="D7" s="957"/>
      <c r="E7" s="199"/>
      <c r="F7" s="199"/>
      <c r="G7" s="199"/>
      <c r="H7" s="199"/>
    </row>
    <row r="8" spans="1:8" x14ac:dyDescent="0.25">
      <c r="A8" s="199" t="s">
        <v>466</v>
      </c>
      <c r="B8" s="199"/>
      <c r="C8" s="958" t="s">
        <v>34</v>
      </c>
      <c r="D8" s="958"/>
      <c r="E8" s="958"/>
      <c r="F8" s="958"/>
      <c r="G8" s="958"/>
      <c r="H8" s="958"/>
    </row>
    <row r="9" spans="1:8" x14ac:dyDescent="0.25">
      <c r="A9" s="199"/>
      <c r="B9" s="199"/>
      <c r="C9" s="957">
        <v>555555</v>
      </c>
      <c r="D9" s="957"/>
      <c r="E9" s="957"/>
      <c r="F9" s="957"/>
      <c r="G9" s="957"/>
      <c r="H9" s="957"/>
    </row>
    <row r="10" spans="1:8" x14ac:dyDescent="0.25">
      <c r="A10" s="199" t="s">
        <v>467</v>
      </c>
      <c r="B10" s="199"/>
      <c r="C10" s="957" t="s">
        <v>38</v>
      </c>
      <c r="D10" s="957"/>
      <c r="E10" s="770" t="s">
        <v>468</v>
      </c>
      <c r="F10" s="770"/>
      <c r="G10" s="957" t="s">
        <v>36</v>
      </c>
      <c r="H10" s="957"/>
    </row>
    <row r="11" spans="1:8" x14ac:dyDescent="0.25">
      <c r="A11" s="199" t="s">
        <v>469</v>
      </c>
      <c r="B11" s="199"/>
      <c r="C11" s="954">
        <v>44713</v>
      </c>
      <c r="D11" s="954"/>
      <c r="E11" s="975" t="s">
        <v>470</v>
      </c>
      <c r="F11" s="975"/>
      <c r="G11" s="954">
        <v>45991</v>
      </c>
      <c r="H11" s="954"/>
    </row>
    <row r="12" spans="1:8" ht="7.15" customHeight="1" x14ac:dyDescent="0.25">
      <c r="A12" s="242"/>
      <c r="B12" s="242"/>
      <c r="C12" s="242"/>
      <c r="D12" s="242"/>
      <c r="E12" s="242"/>
      <c r="F12" s="242"/>
      <c r="G12" s="242"/>
      <c r="H12" s="242"/>
    </row>
    <row r="13" spans="1:8" x14ac:dyDescent="0.25">
      <c r="A13" s="770" t="s">
        <v>720</v>
      </c>
      <c r="B13" s="770"/>
      <c r="C13" s="770"/>
      <c r="D13" s="770"/>
      <c r="E13" s="770"/>
      <c r="F13" s="770"/>
      <c r="G13" s="770"/>
      <c r="H13" s="770"/>
    </row>
    <row r="14" spans="1:8" ht="7.15" customHeight="1" x14ac:dyDescent="0.25"/>
    <row r="15" spans="1:8" x14ac:dyDescent="0.25">
      <c r="A15" s="264" t="s">
        <v>719</v>
      </c>
      <c r="B15" s="1004" t="s">
        <v>721</v>
      </c>
      <c r="C15" s="1004"/>
      <c r="D15" s="1004"/>
      <c r="E15" s="1004"/>
      <c r="F15" s="1004"/>
      <c r="G15" s="264" t="s">
        <v>665</v>
      </c>
      <c r="H15" s="264" t="s">
        <v>722</v>
      </c>
    </row>
    <row r="16" spans="1:8" x14ac:dyDescent="0.25">
      <c r="A16" s="1005" t="s">
        <v>723</v>
      </c>
      <c r="B16" s="1005"/>
      <c r="C16" s="1005"/>
      <c r="D16" s="1005"/>
      <c r="E16" s="1005"/>
      <c r="F16" s="1005"/>
      <c r="G16" s="1005"/>
      <c r="H16" s="1005"/>
    </row>
    <row r="17" spans="1:8" ht="27.6" customHeight="1" x14ac:dyDescent="0.25">
      <c r="A17" s="265" t="s">
        <v>724</v>
      </c>
      <c r="B17" s="1003" t="s">
        <v>725</v>
      </c>
      <c r="C17" s="1003"/>
      <c r="D17" s="1003"/>
      <c r="E17" s="1003"/>
      <c r="F17" s="1003"/>
      <c r="G17" s="266" t="s">
        <v>726</v>
      </c>
      <c r="H17" s="266" t="s">
        <v>727</v>
      </c>
    </row>
    <row r="18" spans="1:8" x14ac:dyDescent="0.25">
      <c r="A18" s="265" t="s">
        <v>728</v>
      </c>
      <c r="B18" s="1000" t="s">
        <v>729</v>
      </c>
      <c r="C18" s="1000"/>
      <c r="D18" s="1000"/>
      <c r="E18" s="1000"/>
      <c r="F18" s="1000"/>
      <c r="G18" s="266" t="s">
        <v>726</v>
      </c>
      <c r="H18" s="266" t="s">
        <v>727</v>
      </c>
    </row>
    <row r="19" spans="1:8" x14ac:dyDescent="0.25">
      <c r="A19" s="265" t="s">
        <v>730</v>
      </c>
      <c r="B19" s="1000" t="s">
        <v>731</v>
      </c>
      <c r="C19" s="1000"/>
      <c r="D19" s="1000"/>
      <c r="E19" s="1000"/>
      <c r="F19" s="1000"/>
      <c r="G19" s="266" t="s">
        <v>726</v>
      </c>
      <c r="H19" s="266" t="s">
        <v>727</v>
      </c>
    </row>
    <row r="20" spans="1:8" x14ac:dyDescent="0.25">
      <c r="A20" s="265" t="s">
        <v>732</v>
      </c>
      <c r="B20" s="1000" t="s">
        <v>733</v>
      </c>
      <c r="C20" s="1000"/>
      <c r="D20" s="1000"/>
      <c r="E20" s="1000"/>
      <c r="F20" s="1000"/>
      <c r="G20" s="266" t="s">
        <v>726</v>
      </c>
      <c r="H20" s="266" t="s">
        <v>727</v>
      </c>
    </row>
    <row r="21" spans="1:8" x14ac:dyDescent="0.25">
      <c r="A21" s="1001" t="s">
        <v>734</v>
      </c>
      <c r="B21" s="1001"/>
      <c r="C21" s="1001"/>
      <c r="D21" s="1001"/>
      <c r="E21" s="1001"/>
      <c r="F21" s="1001"/>
      <c r="G21" s="1001"/>
      <c r="H21" s="1001"/>
    </row>
    <row r="22" spans="1:8" x14ac:dyDescent="0.25">
      <c r="A22" s="265" t="s">
        <v>735</v>
      </c>
      <c r="B22" s="1000" t="s">
        <v>736</v>
      </c>
      <c r="C22" s="1000"/>
      <c r="D22" s="1000"/>
      <c r="E22" s="1000"/>
      <c r="F22" s="1000"/>
      <c r="G22" s="266" t="s">
        <v>726</v>
      </c>
      <c r="H22" s="266" t="s">
        <v>727</v>
      </c>
    </row>
    <row r="23" spans="1:8" x14ac:dyDescent="0.25">
      <c r="A23" s="265" t="s">
        <v>737</v>
      </c>
      <c r="B23" s="1000" t="s">
        <v>738</v>
      </c>
      <c r="C23" s="1000"/>
      <c r="D23" s="1000"/>
      <c r="E23" s="1000"/>
      <c r="F23" s="1000"/>
      <c r="G23" s="266" t="s">
        <v>726</v>
      </c>
      <c r="H23" s="266" t="s">
        <v>727</v>
      </c>
    </row>
    <row r="24" spans="1:8" x14ac:dyDescent="0.25">
      <c r="A24" s="265" t="s">
        <v>739</v>
      </c>
      <c r="B24" s="1000" t="s">
        <v>740</v>
      </c>
      <c r="C24" s="1000"/>
      <c r="D24" s="1000"/>
      <c r="E24" s="1000"/>
      <c r="F24" s="1000"/>
      <c r="G24" s="266" t="s">
        <v>726</v>
      </c>
      <c r="H24" s="266" t="s">
        <v>727</v>
      </c>
    </row>
    <row r="25" spans="1:8" ht="27.6" customHeight="1" x14ac:dyDescent="0.25">
      <c r="A25" s="265" t="s">
        <v>741</v>
      </c>
      <c r="B25" s="1003" t="s">
        <v>742</v>
      </c>
      <c r="C25" s="1003"/>
      <c r="D25" s="1003"/>
      <c r="E25" s="1003"/>
      <c r="F25" s="1003"/>
      <c r="G25" s="266" t="s">
        <v>726</v>
      </c>
      <c r="H25" s="266" t="s">
        <v>727</v>
      </c>
    </row>
    <row r="26" spans="1:8" x14ac:dyDescent="0.25">
      <c r="A26" s="265" t="s">
        <v>743</v>
      </c>
      <c r="B26" s="1000" t="s">
        <v>744</v>
      </c>
      <c r="C26" s="1000"/>
      <c r="D26" s="1000"/>
      <c r="E26" s="1000"/>
      <c r="F26" s="1000"/>
      <c r="G26" s="266" t="s">
        <v>726</v>
      </c>
      <c r="H26" s="266" t="s">
        <v>727</v>
      </c>
    </row>
    <row r="27" spans="1:8" x14ac:dyDescent="0.25">
      <c r="A27" s="265" t="s">
        <v>745</v>
      </c>
      <c r="B27" s="1000" t="s">
        <v>746</v>
      </c>
      <c r="C27" s="1000"/>
      <c r="D27" s="1000"/>
      <c r="E27" s="1000"/>
      <c r="F27" s="1000"/>
      <c r="G27" s="266" t="s">
        <v>726</v>
      </c>
      <c r="H27" s="266" t="s">
        <v>727</v>
      </c>
    </row>
    <row r="28" spans="1:8" x14ac:dyDescent="0.25">
      <c r="A28" s="265" t="s">
        <v>747</v>
      </c>
      <c r="B28" s="1000" t="s">
        <v>748</v>
      </c>
      <c r="C28" s="1000"/>
      <c r="D28" s="1000"/>
      <c r="E28" s="1000"/>
      <c r="F28" s="1000"/>
      <c r="G28" s="266" t="s">
        <v>726</v>
      </c>
      <c r="H28" s="266" t="s">
        <v>727</v>
      </c>
    </row>
    <row r="29" spans="1:8" x14ac:dyDescent="0.25">
      <c r="A29" s="265" t="s">
        <v>749</v>
      </c>
      <c r="B29" s="1000" t="s">
        <v>750</v>
      </c>
      <c r="C29" s="1000"/>
      <c r="D29" s="1000"/>
      <c r="E29" s="1000"/>
      <c r="F29" s="1000"/>
      <c r="G29" s="266" t="s">
        <v>726</v>
      </c>
      <c r="H29" s="266" t="s">
        <v>727</v>
      </c>
    </row>
    <row r="30" spans="1:8" x14ac:dyDescent="0.25">
      <c r="A30" s="265" t="s">
        <v>751</v>
      </c>
      <c r="B30" s="1000" t="s">
        <v>752</v>
      </c>
      <c r="C30" s="1000"/>
      <c r="D30" s="1000"/>
      <c r="E30" s="1000"/>
      <c r="F30" s="1000"/>
      <c r="G30" s="266" t="s">
        <v>726</v>
      </c>
      <c r="H30" s="266" t="s">
        <v>727</v>
      </c>
    </row>
    <row r="31" spans="1:8" x14ac:dyDescent="0.25">
      <c r="A31" s="265" t="s">
        <v>753</v>
      </c>
      <c r="B31" s="1000" t="s">
        <v>754</v>
      </c>
      <c r="C31" s="1000"/>
      <c r="D31" s="1000"/>
      <c r="E31" s="1000"/>
      <c r="F31" s="1000"/>
      <c r="G31" s="266" t="s">
        <v>726</v>
      </c>
      <c r="H31" s="266" t="s">
        <v>727</v>
      </c>
    </row>
    <row r="32" spans="1:8" x14ac:dyDescent="0.25">
      <c r="A32" s="265" t="s">
        <v>755</v>
      </c>
      <c r="B32" s="1000" t="s">
        <v>564</v>
      </c>
      <c r="C32" s="1000"/>
      <c r="D32" s="1000"/>
      <c r="E32" s="1000"/>
      <c r="F32" s="1000"/>
      <c r="G32" s="266" t="s">
        <v>726</v>
      </c>
      <c r="H32" s="266" t="s">
        <v>727</v>
      </c>
    </row>
    <row r="33" spans="1:8" x14ac:dyDescent="0.25">
      <c r="A33" s="265" t="s">
        <v>756</v>
      </c>
      <c r="B33" s="1000" t="s">
        <v>757</v>
      </c>
      <c r="C33" s="1000"/>
      <c r="D33" s="1000"/>
      <c r="E33" s="1000"/>
      <c r="F33" s="1000"/>
      <c r="G33" s="266" t="s">
        <v>726</v>
      </c>
      <c r="H33" s="266" t="s">
        <v>727</v>
      </c>
    </row>
    <row r="34" spans="1:8" x14ac:dyDescent="0.25">
      <c r="A34" s="265" t="s">
        <v>758</v>
      </c>
      <c r="B34" s="1000" t="s">
        <v>577</v>
      </c>
      <c r="C34" s="1000"/>
      <c r="D34" s="1000"/>
      <c r="E34" s="1000"/>
      <c r="F34" s="1000"/>
      <c r="G34" s="266" t="s">
        <v>726</v>
      </c>
      <c r="H34" s="266" t="s">
        <v>727</v>
      </c>
    </row>
    <row r="35" spans="1:8" x14ac:dyDescent="0.25">
      <c r="A35" s="265" t="s">
        <v>759</v>
      </c>
      <c r="B35" s="1000" t="s">
        <v>583</v>
      </c>
      <c r="C35" s="1000"/>
      <c r="D35" s="1000"/>
      <c r="E35" s="1000"/>
      <c r="F35" s="1000"/>
      <c r="G35" s="266" t="s">
        <v>726</v>
      </c>
      <c r="H35" s="266" t="s">
        <v>727</v>
      </c>
    </row>
    <row r="36" spans="1:8" x14ac:dyDescent="0.25">
      <c r="A36" s="265" t="s">
        <v>760</v>
      </c>
      <c r="B36" s="1000" t="s">
        <v>587</v>
      </c>
      <c r="C36" s="1000"/>
      <c r="D36" s="1000"/>
      <c r="E36" s="1000"/>
      <c r="F36" s="1000"/>
      <c r="G36" s="266" t="s">
        <v>726</v>
      </c>
      <c r="H36" s="266" t="s">
        <v>727</v>
      </c>
    </row>
    <row r="37" spans="1:8" x14ac:dyDescent="0.25">
      <c r="A37" s="265" t="s">
        <v>761</v>
      </c>
      <c r="B37" s="1000" t="s">
        <v>762</v>
      </c>
      <c r="C37" s="1000"/>
      <c r="D37" s="1000"/>
      <c r="E37" s="1000"/>
      <c r="F37" s="1000"/>
      <c r="G37" s="266" t="s">
        <v>726</v>
      </c>
      <c r="H37" s="266" t="s">
        <v>727</v>
      </c>
    </row>
    <row r="38" spans="1:8" x14ac:dyDescent="0.25">
      <c r="A38" s="265" t="s">
        <v>763</v>
      </c>
      <c r="B38" s="1000" t="s">
        <v>764</v>
      </c>
      <c r="C38" s="1000"/>
      <c r="D38" s="1000"/>
      <c r="E38" s="1000"/>
      <c r="F38" s="1000"/>
      <c r="G38" s="266" t="s">
        <v>726</v>
      </c>
      <c r="H38" s="266" t="s">
        <v>727</v>
      </c>
    </row>
    <row r="39" spans="1:8" x14ac:dyDescent="0.25">
      <c r="A39" s="265" t="s">
        <v>765</v>
      </c>
      <c r="B39" s="1000" t="s">
        <v>766</v>
      </c>
      <c r="C39" s="1000"/>
      <c r="D39" s="1000"/>
      <c r="E39" s="1000"/>
      <c r="F39" s="1000"/>
      <c r="G39" s="266" t="s">
        <v>726</v>
      </c>
      <c r="H39" s="266" t="s">
        <v>727</v>
      </c>
    </row>
    <row r="40" spans="1:8" x14ac:dyDescent="0.25">
      <c r="A40" s="265" t="s">
        <v>767</v>
      </c>
      <c r="B40" s="1000" t="s">
        <v>503</v>
      </c>
      <c r="C40" s="1000"/>
      <c r="D40" s="1000"/>
      <c r="E40" s="1000"/>
      <c r="F40" s="1000"/>
      <c r="G40" s="266" t="s">
        <v>726</v>
      </c>
      <c r="H40" s="266" t="s">
        <v>727</v>
      </c>
    </row>
    <row r="41" spans="1:8" x14ac:dyDescent="0.25">
      <c r="A41" s="265" t="s">
        <v>768</v>
      </c>
      <c r="B41" s="1000" t="s">
        <v>769</v>
      </c>
      <c r="C41" s="1000"/>
      <c r="D41" s="1000"/>
      <c r="E41" s="1000"/>
      <c r="F41" s="1000"/>
      <c r="G41" s="266" t="s">
        <v>726</v>
      </c>
      <c r="H41" s="266" t="s">
        <v>727</v>
      </c>
    </row>
    <row r="42" spans="1:8" x14ac:dyDescent="0.25">
      <c r="A42" s="265" t="s">
        <v>770</v>
      </c>
      <c r="B42" s="1000" t="s">
        <v>771</v>
      </c>
      <c r="C42" s="1000"/>
      <c r="D42" s="1000"/>
      <c r="E42" s="1000"/>
      <c r="F42" s="1000"/>
      <c r="G42" s="266" t="s">
        <v>726</v>
      </c>
      <c r="H42" s="266" t="s">
        <v>727</v>
      </c>
    </row>
    <row r="43" spans="1:8" x14ac:dyDescent="0.25">
      <c r="A43" s="265" t="s">
        <v>772</v>
      </c>
      <c r="B43" s="1000" t="s">
        <v>773</v>
      </c>
      <c r="C43" s="1000"/>
      <c r="D43" s="1000"/>
      <c r="E43" s="1000"/>
      <c r="F43" s="1000"/>
      <c r="G43" s="266" t="s">
        <v>726</v>
      </c>
      <c r="H43" s="266" t="s">
        <v>727</v>
      </c>
    </row>
    <row r="44" spans="1:8" x14ac:dyDescent="0.25">
      <c r="A44" s="265" t="s">
        <v>774</v>
      </c>
      <c r="B44" s="1000" t="s">
        <v>775</v>
      </c>
      <c r="C44" s="1000"/>
      <c r="D44" s="1000"/>
      <c r="E44" s="1000"/>
      <c r="F44" s="1000"/>
      <c r="G44" s="266" t="s">
        <v>726</v>
      </c>
      <c r="H44" s="266" t="s">
        <v>727</v>
      </c>
    </row>
    <row r="45" spans="1:8" x14ac:dyDescent="0.25">
      <c r="A45" s="265" t="s">
        <v>776</v>
      </c>
      <c r="B45" s="1000" t="s">
        <v>777</v>
      </c>
      <c r="C45" s="1000"/>
      <c r="D45" s="1000"/>
      <c r="E45" s="1000"/>
      <c r="F45" s="1000"/>
      <c r="G45" s="266" t="s">
        <v>726</v>
      </c>
      <c r="H45" s="266" t="s">
        <v>727</v>
      </c>
    </row>
    <row r="46" spans="1:8" x14ac:dyDescent="0.25">
      <c r="A46" s="265" t="s">
        <v>778</v>
      </c>
      <c r="B46" s="1000" t="s">
        <v>779</v>
      </c>
      <c r="C46" s="1000"/>
      <c r="D46" s="1000"/>
      <c r="E46" s="1000"/>
      <c r="F46" s="1000"/>
      <c r="G46" s="266" t="s">
        <v>726</v>
      </c>
      <c r="H46" s="266" t="s">
        <v>727</v>
      </c>
    </row>
    <row r="47" spans="1:8" x14ac:dyDescent="0.25">
      <c r="A47" s="265" t="s">
        <v>780</v>
      </c>
      <c r="B47" s="1000" t="s">
        <v>781</v>
      </c>
      <c r="C47" s="1000"/>
      <c r="D47" s="1000"/>
      <c r="E47" s="1000"/>
      <c r="F47" s="1000"/>
      <c r="G47" s="266" t="s">
        <v>726</v>
      </c>
      <c r="H47" s="266" t="s">
        <v>727</v>
      </c>
    </row>
    <row r="48" spans="1:8" x14ac:dyDescent="0.25">
      <c r="A48" s="265" t="s">
        <v>782</v>
      </c>
      <c r="B48" s="1000" t="s">
        <v>783</v>
      </c>
      <c r="C48" s="1000"/>
      <c r="D48" s="1000"/>
      <c r="E48" s="1000"/>
      <c r="F48" s="1000"/>
      <c r="G48" s="266" t="s">
        <v>726</v>
      </c>
      <c r="H48" s="266" t="s">
        <v>727</v>
      </c>
    </row>
    <row r="49" spans="1:8" x14ac:dyDescent="0.25">
      <c r="A49" s="1001" t="s">
        <v>784</v>
      </c>
      <c r="B49" s="1001"/>
      <c r="C49" s="1001"/>
      <c r="D49" s="1001"/>
      <c r="E49" s="1001"/>
      <c r="F49" s="1001"/>
      <c r="G49" s="1001"/>
      <c r="H49" s="1001"/>
    </row>
    <row r="50" spans="1:8" x14ac:dyDescent="0.25">
      <c r="A50" s="265" t="s">
        <v>785</v>
      </c>
      <c r="B50" s="1000" t="s">
        <v>786</v>
      </c>
      <c r="C50" s="1000"/>
      <c r="D50" s="1000"/>
      <c r="E50" s="1000"/>
      <c r="F50" s="1000"/>
      <c r="G50" s="266" t="s">
        <v>726</v>
      </c>
      <c r="H50" s="266" t="s">
        <v>727</v>
      </c>
    </row>
    <row r="51" spans="1:8" x14ac:dyDescent="0.25">
      <c r="A51" s="265" t="s">
        <v>787</v>
      </c>
      <c r="B51" s="1000" t="s">
        <v>788</v>
      </c>
      <c r="C51" s="1000"/>
      <c r="D51" s="1000"/>
      <c r="E51" s="1000"/>
      <c r="F51" s="1000"/>
      <c r="G51" s="266" t="s">
        <v>726</v>
      </c>
      <c r="H51" s="266" t="s">
        <v>727</v>
      </c>
    </row>
    <row r="52" spans="1:8" x14ac:dyDescent="0.25">
      <c r="A52" s="265" t="s">
        <v>789</v>
      </c>
      <c r="B52" s="1000" t="s">
        <v>636</v>
      </c>
      <c r="C52" s="1000"/>
      <c r="D52" s="1000"/>
      <c r="E52" s="1000"/>
      <c r="F52" s="1000"/>
      <c r="G52" s="266" t="s">
        <v>726</v>
      </c>
      <c r="H52" s="266" t="s">
        <v>727</v>
      </c>
    </row>
    <row r="53" spans="1:8" x14ac:dyDescent="0.25">
      <c r="A53" s="265" t="s">
        <v>790</v>
      </c>
      <c r="B53" s="1000" t="s">
        <v>638</v>
      </c>
      <c r="C53" s="1000"/>
      <c r="D53" s="1000"/>
      <c r="E53" s="1000"/>
      <c r="F53" s="1000"/>
      <c r="G53" s="266" t="s">
        <v>726</v>
      </c>
      <c r="H53" s="266" t="s">
        <v>727</v>
      </c>
    </row>
    <row r="54" spans="1:8" x14ac:dyDescent="0.25">
      <c r="A54" s="265" t="s">
        <v>791</v>
      </c>
      <c r="B54" s="1000" t="s">
        <v>792</v>
      </c>
      <c r="C54" s="1000"/>
      <c r="D54" s="1000"/>
      <c r="E54" s="1000"/>
      <c r="F54" s="1000"/>
      <c r="G54" s="266" t="s">
        <v>726</v>
      </c>
      <c r="H54" s="266" t="s">
        <v>727</v>
      </c>
    </row>
    <row r="55" spans="1:8" x14ac:dyDescent="0.25">
      <c r="A55" s="265" t="s">
        <v>793</v>
      </c>
      <c r="B55" s="1000" t="s">
        <v>642</v>
      </c>
      <c r="C55" s="1000"/>
      <c r="D55" s="1000"/>
      <c r="E55" s="1000"/>
      <c r="F55" s="1000"/>
      <c r="G55" s="266" t="s">
        <v>726</v>
      </c>
      <c r="H55" s="266" t="s">
        <v>727</v>
      </c>
    </row>
    <row r="56" spans="1:8" x14ac:dyDescent="0.25">
      <c r="A56" s="265" t="s">
        <v>794</v>
      </c>
      <c r="B56" s="1000" t="s">
        <v>644</v>
      </c>
      <c r="C56" s="1000"/>
      <c r="D56" s="1000"/>
      <c r="E56" s="1000"/>
      <c r="F56" s="1000"/>
      <c r="G56" s="266" t="s">
        <v>726</v>
      </c>
      <c r="H56" s="266" t="s">
        <v>727</v>
      </c>
    </row>
    <row r="57" spans="1:8" x14ac:dyDescent="0.25">
      <c r="A57" s="265" t="s">
        <v>795</v>
      </c>
      <c r="B57" s="1000" t="s">
        <v>796</v>
      </c>
      <c r="C57" s="1000"/>
      <c r="D57" s="1000"/>
      <c r="E57" s="1000"/>
      <c r="F57" s="1000"/>
      <c r="G57" s="266" t="s">
        <v>726</v>
      </c>
      <c r="H57" s="266" t="s">
        <v>727</v>
      </c>
    </row>
    <row r="58" spans="1:8" x14ac:dyDescent="0.25">
      <c r="A58" s="265" t="s">
        <v>797</v>
      </c>
      <c r="B58" s="1000" t="s">
        <v>798</v>
      </c>
      <c r="C58" s="1000"/>
      <c r="D58" s="1000"/>
      <c r="E58" s="1000"/>
      <c r="F58" s="1000"/>
      <c r="G58" s="266" t="s">
        <v>726</v>
      </c>
      <c r="H58" s="266" t="s">
        <v>727</v>
      </c>
    </row>
    <row r="59" spans="1:8" x14ac:dyDescent="0.25">
      <c r="A59" s="265" t="s">
        <v>799</v>
      </c>
      <c r="B59" s="1000" t="s">
        <v>800</v>
      </c>
      <c r="C59" s="1000"/>
      <c r="D59" s="1000"/>
      <c r="E59" s="1000"/>
      <c r="F59" s="1000"/>
      <c r="G59" s="266" t="s">
        <v>726</v>
      </c>
      <c r="H59" s="266" t="s">
        <v>727</v>
      </c>
    </row>
    <row r="60" spans="1:8" x14ac:dyDescent="0.25">
      <c r="A60" s="265" t="s">
        <v>801</v>
      </c>
      <c r="B60" s="1000" t="s">
        <v>802</v>
      </c>
      <c r="C60" s="1000"/>
      <c r="D60" s="1000"/>
      <c r="E60" s="1000"/>
      <c r="F60" s="1000"/>
      <c r="G60" s="266" t="s">
        <v>726</v>
      </c>
      <c r="H60" s="266" t="s">
        <v>727</v>
      </c>
    </row>
    <row r="61" spans="1:8" x14ac:dyDescent="0.25">
      <c r="A61" s="1001" t="s">
        <v>803</v>
      </c>
      <c r="B61" s="1001"/>
      <c r="C61" s="1001"/>
      <c r="D61" s="1001"/>
      <c r="E61" s="1001"/>
      <c r="F61" s="1001"/>
      <c r="G61" s="1001"/>
      <c r="H61" s="1001"/>
    </row>
    <row r="62" spans="1:8" x14ac:dyDescent="0.25">
      <c r="A62" s="265" t="s">
        <v>804</v>
      </c>
      <c r="B62" s="1000" t="s">
        <v>805</v>
      </c>
      <c r="C62" s="1000"/>
      <c r="D62" s="1000"/>
      <c r="E62" s="1000"/>
      <c r="F62" s="1000"/>
      <c r="G62" s="266" t="s">
        <v>726</v>
      </c>
      <c r="H62" s="266" t="s">
        <v>727</v>
      </c>
    </row>
    <row r="63" spans="1:8" x14ac:dyDescent="0.25">
      <c r="A63" s="265" t="s">
        <v>806</v>
      </c>
      <c r="B63" s="1000" t="s">
        <v>807</v>
      </c>
      <c r="C63" s="1000"/>
      <c r="D63" s="1000"/>
      <c r="E63" s="1000"/>
      <c r="F63" s="1000"/>
      <c r="G63" s="266" t="s">
        <v>726</v>
      </c>
      <c r="H63" s="266" t="s">
        <v>727</v>
      </c>
    </row>
    <row r="64" spans="1:8" x14ac:dyDescent="0.25">
      <c r="A64" s="267" t="s">
        <v>808</v>
      </c>
      <c r="B64" s="1002" t="s">
        <v>809</v>
      </c>
      <c r="C64" s="1002"/>
      <c r="D64" s="1002"/>
      <c r="E64" s="1002"/>
      <c r="F64" s="1002"/>
      <c r="G64" s="268" t="s">
        <v>726</v>
      </c>
      <c r="H64" s="268" t="s">
        <v>727</v>
      </c>
    </row>
    <row r="65" spans="1:8" ht="7.15" customHeight="1" x14ac:dyDescent="0.25">
      <c r="A65" s="241"/>
      <c r="B65" s="241"/>
      <c r="C65" s="241"/>
      <c r="D65" s="241"/>
      <c r="E65" s="241"/>
      <c r="F65" s="241"/>
      <c r="G65" s="241"/>
      <c r="H65" s="241"/>
    </row>
    <row r="66" spans="1:8" ht="36.6" customHeight="1" x14ac:dyDescent="0.25">
      <c r="A66" s="998" t="s">
        <v>810</v>
      </c>
      <c r="B66" s="998"/>
      <c r="C66" s="998"/>
      <c r="D66" s="998"/>
      <c r="E66" s="998"/>
      <c r="F66" s="998"/>
      <c r="G66" s="998"/>
      <c r="H66" s="998"/>
    </row>
    <row r="67" spans="1:8" ht="5.45" customHeight="1" x14ac:dyDescent="0.25">
      <c r="A67" s="241"/>
      <c r="B67" s="241"/>
      <c r="C67" s="241"/>
      <c r="D67" s="241"/>
      <c r="E67" s="241"/>
      <c r="F67" s="241"/>
      <c r="G67" s="241"/>
      <c r="H67" s="241"/>
    </row>
    <row r="68" spans="1:8" x14ac:dyDescent="0.25">
      <c r="A68" s="269" t="s">
        <v>811</v>
      </c>
      <c r="B68" s="241"/>
      <c r="C68" s="241"/>
      <c r="D68" s="241"/>
      <c r="E68" s="241"/>
      <c r="F68" s="241"/>
      <c r="G68" s="241"/>
      <c r="H68" s="241"/>
    </row>
    <row r="69" spans="1:8" ht="9" customHeight="1" x14ac:dyDescent="0.25">
      <c r="A69" s="241"/>
      <c r="B69" s="241"/>
      <c r="C69" s="241"/>
      <c r="D69" s="241"/>
      <c r="E69" s="241"/>
      <c r="F69" s="241"/>
      <c r="G69" s="241"/>
      <c r="H69" s="241"/>
    </row>
    <row r="70" spans="1:8" x14ac:dyDescent="0.25">
      <c r="A70" s="999" t="s">
        <v>812</v>
      </c>
      <c r="B70" s="999"/>
      <c r="C70" s="999"/>
      <c r="D70" s="999"/>
      <c r="E70" s="999"/>
      <c r="F70" s="999"/>
      <c r="G70" s="999"/>
      <c r="H70" s="999"/>
    </row>
  </sheetData>
  <mergeCells count="69">
    <mergeCell ref="C5:H5"/>
    <mergeCell ref="A2:B2"/>
    <mergeCell ref="C2:H2"/>
    <mergeCell ref="A3:B3"/>
    <mergeCell ref="C3:H3"/>
    <mergeCell ref="C4:H4"/>
    <mergeCell ref="C6:D6"/>
    <mergeCell ref="C7:D7"/>
    <mergeCell ref="C8:H8"/>
    <mergeCell ref="C9:H9"/>
    <mergeCell ref="C10:D10"/>
    <mergeCell ref="E10:F10"/>
    <mergeCell ref="G10:H10"/>
    <mergeCell ref="B22:F22"/>
    <mergeCell ref="C11:D11"/>
    <mergeCell ref="E11:F11"/>
    <mergeCell ref="G11:H11"/>
    <mergeCell ref="A13:H13"/>
    <mergeCell ref="B15:F15"/>
    <mergeCell ref="A16:H16"/>
    <mergeCell ref="B17:F17"/>
    <mergeCell ref="B18:F18"/>
    <mergeCell ref="B19:F19"/>
    <mergeCell ref="B20:F20"/>
    <mergeCell ref="A21:H21"/>
    <mergeCell ref="B34:F34"/>
    <mergeCell ref="B23:F23"/>
    <mergeCell ref="B24:F24"/>
    <mergeCell ref="B25:F25"/>
    <mergeCell ref="B26:F26"/>
    <mergeCell ref="B27:F27"/>
    <mergeCell ref="B28:F28"/>
    <mergeCell ref="B29:F29"/>
    <mergeCell ref="B30:F30"/>
    <mergeCell ref="B31:F31"/>
    <mergeCell ref="B32:F32"/>
    <mergeCell ref="B33:F33"/>
    <mergeCell ref="B46:F46"/>
    <mergeCell ref="B35:F35"/>
    <mergeCell ref="B36:F36"/>
    <mergeCell ref="B37:F37"/>
    <mergeCell ref="B38:F38"/>
    <mergeCell ref="B39:F39"/>
    <mergeCell ref="B40:F40"/>
    <mergeCell ref="B41:F41"/>
    <mergeCell ref="B42:F42"/>
    <mergeCell ref="B43:F43"/>
    <mergeCell ref="B44:F44"/>
    <mergeCell ref="B45:F45"/>
    <mergeCell ref="B58:F58"/>
    <mergeCell ref="B47:F47"/>
    <mergeCell ref="B48:F48"/>
    <mergeCell ref="A49:H49"/>
    <mergeCell ref="B50:F50"/>
    <mergeCell ref="B51:F51"/>
    <mergeCell ref="B52:F52"/>
    <mergeCell ref="B53:F53"/>
    <mergeCell ref="B54:F54"/>
    <mergeCell ref="B55:F55"/>
    <mergeCell ref="B56:F56"/>
    <mergeCell ref="B57:F57"/>
    <mergeCell ref="A66:H66"/>
    <mergeCell ref="A70:H70"/>
    <mergeCell ref="B59:F59"/>
    <mergeCell ref="B60:F60"/>
    <mergeCell ref="A61:H61"/>
    <mergeCell ref="B62:F62"/>
    <mergeCell ref="B63:F63"/>
    <mergeCell ref="B64:F64"/>
  </mergeCells>
  <pageMargins left="0.7" right="0.7" top="0.75" bottom="0.75" header="0.3" footer="0.3"/>
  <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CBDDE9-24E2-421F-A875-15DECBCC7130}">
  <dimension ref="A2:H63"/>
  <sheetViews>
    <sheetView workbookViewId="0">
      <selection activeCell="E14" sqref="A1:XFD1048576"/>
    </sheetView>
  </sheetViews>
  <sheetFormatPr baseColWidth="10" defaultRowHeight="15" x14ac:dyDescent="0.25"/>
  <cols>
    <col min="1" max="1" width="17.42578125" customWidth="1"/>
    <col min="2" max="2" width="24.5703125" customWidth="1"/>
    <col min="3" max="3" width="6.28515625" customWidth="1"/>
    <col min="4" max="4" width="14.7109375" customWidth="1"/>
    <col min="5" max="6" width="18" customWidth="1"/>
    <col min="7" max="7" width="16.7109375" customWidth="1"/>
    <col min="8" max="8" width="6.42578125" customWidth="1"/>
  </cols>
  <sheetData>
    <row r="2" spans="1:8" x14ac:dyDescent="0.25">
      <c r="A2" s="961" t="s">
        <v>464</v>
      </c>
      <c r="B2" s="961"/>
      <c r="C2" s="958" t="s">
        <v>2</v>
      </c>
      <c r="D2" s="958"/>
      <c r="E2" s="958"/>
      <c r="F2" s="958"/>
      <c r="G2" s="958"/>
      <c r="H2" s="958"/>
    </row>
    <row r="3" spans="1:8" x14ac:dyDescent="0.25">
      <c r="A3" s="961"/>
      <c r="B3" s="961"/>
      <c r="C3" s="957" t="s">
        <v>4</v>
      </c>
      <c r="D3" s="957"/>
      <c r="E3" s="957"/>
      <c r="F3" s="957"/>
      <c r="G3" s="957"/>
      <c r="H3" s="957"/>
    </row>
    <row r="4" spans="1:8" x14ac:dyDescent="0.25">
      <c r="A4" s="198" t="s">
        <v>362</v>
      </c>
      <c r="B4" s="199"/>
      <c r="C4" s="957" t="s">
        <v>6</v>
      </c>
      <c r="D4" s="957"/>
      <c r="E4" s="957"/>
      <c r="F4" s="957"/>
      <c r="G4" s="957"/>
      <c r="H4" s="957"/>
    </row>
    <row r="5" spans="1:8" x14ac:dyDescent="0.25">
      <c r="A5" s="198" t="s">
        <v>363</v>
      </c>
      <c r="B5" s="199"/>
      <c r="C5" s="957">
        <v>4431</v>
      </c>
      <c r="D5" s="957"/>
      <c r="E5" s="957"/>
      <c r="F5" s="957"/>
      <c r="G5" s="957"/>
      <c r="H5" s="957"/>
    </row>
    <row r="6" spans="1:8" x14ac:dyDescent="0.25">
      <c r="A6" s="198" t="s">
        <v>364</v>
      </c>
      <c r="B6" s="199"/>
      <c r="C6" s="957" t="s">
        <v>12</v>
      </c>
      <c r="D6" s="957"/>
      <c r="E6" s="46" t="s">
        <v>365</v>
      </c>
      <c r="F6" s="202">
        <v>46022</v>
      </c>
      <c r="G6" s="199" t="s">
        <v>465</v>
      </c>
      <c r="H6" s="235">
        <v>12</v>
      </c>
    </row>
    <row r="7" spans="1:8" x14ac:dyDescent="0.25">
      <c r="A7" s="200" t="s">
        <v>367</v>
      </c>
      <c r="B7" s="201"/>
      <c r="C7" s="957" t="s">
        <v>8</v>
      </c>
      <c r="D7" s="957"/>
      <c r="E7" s="199"/>
      <c r="F7" s="199"/>
      <c r="G7" s="199"/>
      <c r="H7" s="199"/>
    </row>
    <row r="8" spans="1:8" x14ac:dyDescent="0.25">
      <c r="A8" s="199" t="s">
        <v>466</v>
      </c>
      <c r="B8" s="199"/>
      <c r="C8" s="958" t="s">
        <v>34</v>
      </c>
      <c r="D8" s="958"/>
      <c r="E8" s="958"/>
      <c r="F8" s="958"/>
      <c r="G8" s="958"/>
      <c r="H8" s="958"/>
    </row>
    <row r="9" spans="1:8" x14ac:dyDescent="0.25">
      <c r="A9" s="199"/>
      <c r="B9" s="199"/>
      <c r="C9" s="957">
        <v>555555</v>
      </c>
      <c r="D9" s="957"/>
      <c r="E9" s="957"/>
      <c r="F9" s="957"/>
      <c r="G9" s="957"/>
      <c r="H9" s="957"/>
    </row>
    <row r="10" spans="1:8" x14ac:dyDescent="0.25">
      <c r="A10" s="199" t="s">
        <v>467</v>
      </c>
      <c r="B10" s="199"/>
      <c r="C10" s="957" t="s">
        <v>38</v>
      </c>
      <c r="D10" s="957"/>
      <c r="E10" s="770" t="s">
        <v>468</v>
      </c>
      <c r="F10" s="770"/>
      <c r="G10" s="957" t="s">
        <v>36</v>
      </c>
      <c r="H10" s="957"/>
    </row>
    <row r="11" spans="1:8" x14ac:dyDescent="0.25">
      <c r="A11" s="199" t="s">
        <v>469</v>
      </c>
      <c r="B11" s="199"/>
      <c r="C11" s="954">
        <v>44713</v>
      </c>
      <c r="D11" s="954"/>
      <c r="E11" s="975" t="s">
        <v>470</v>
      </c>
      <c r="F11" s="975"/>
      <c r="G11" s="954">
        <v>45991</v>
      </c>
      <c r="H11" s="954"/>
    </row>
    <row r="12" spans="1:8" ht="6" customHeight="1" x14ac:dyDescent="0.25">
      <c r="A12" s="242"/>
      <c r="B12" s="242"/>
      <c r="C12" s="242"/>
      <c r="D12" s="242"/>
      <c r="E12" s="242"/>
      <c r="F12" s="242"/>
      <c r="G12" s="242"/>
      <c r="H12" s="242"/>
    </row>
    <row r="13" spans="1:8" x14ac:dyDescent="0.25">
      <c r="A13" s="770" t="s">
        <v>813</v>
      </c>
      <c r="B13" s="770"/>
      <c r="C13" s="770"/>
      <c r="D13" s="770"/>
      <c r="E13" s="770"/>
      <c r="F13" s="770"/>
      <c r="G13" s="770"/>
      <c r="H13" s="770"/>
    </row>
    <row r="14" spans="1:8" ht="8.4499999999999993" customHeight="1" x14ac:dyDescent="0.25">
      <c r="A14" s="270"/>
      <c r="B14" s="271"/>
      <c r="C14" s="271"/>
      <c r="D14" s="272"/>
      <c r="E14" s="273"/>
      <c r="F14" s="274"/>
      <c r="G14" s="272"/>
    </row>
    <row r="15" spans="1:8" x14ac:dyDescent="0.25">
      <c r="A15" s="770" t="s">
        <v>814</v>
      </c>
      <c r="B15" s="770"/>
      <c r="C15" s="770"/>
      <c r="D15" s="770"/>
      <c r="E15" s="770"/>
      <c r="F15" s="770"/>
      <c r="G15" s="770"/>
      <c r="H15" s="770"/>
    </row>
    <row r="16" spans="1:8" ht="10.15" customHeight="1" x14ac:dyDescent="0.25">
      <c r="A16" s="203"/>
      <c r="B16" s="203"/>
      <c r="C16" s="203"/>
      <c r="D16" s="203"/>
      <c r="E16" s="203"/>
      <c r="F16" s="203"/>
      <c r="G16" s="203"/>
      <c r="H16" s="241"/>
    </row>
    <row r="17" spans="1:8" x14ac:dyDescent="0.25">
      <c r="A17" s="1083" t="s">
        <v>602</v>
      </c>
      <c r="B17" s="1083"/>
      <c r="C17" s="1084" t="s">
        <v>603</v>
      </c>
      <c r="D17" s="1084" t="s">
        <v>815</v>
      </c>
      <c r="E17" s="1083" t="s">
        <v>816</v>
      </c>
      <c r="F17" s="1083"/>
      <c r="G17" s="1083"/>
      <c r="H17" s="1083"/>
    </row>
    <row r="18" spans="1:8" ht="14.45" customHeight="1" x14ac:dyDescent="0.25">
      <c r="A18" s="1083"/>
      <c r="B18" s="1083"/>
      <c r="C18" s="1084"/>
      <c r="D18" s="1084"/>
      <c r="E18" s="275" t="s">
        <v>817</v>
      </c>
      <c r="F18" s="276" t="s">
        <v>818</v>
      </c>
      <c r="G18" s="1083" t="s">
        <v>819</v>
      </c>
      <c r="H18" s="1083"/>
    </row>
    <row r="19" spans="1:8" x14ac:dyDescent="0.25">
      <c r="A19" s="1079" t="s">
        <v>820</v>
      </c>
      <c r="B19" s="1080"/>
      <c r="C19" s="277" t="s">
        <v>546</v>
      </c>
      <c r="D19" s="278"/>
      <c r="E19" s="279"/>
      <c r="F19" s="280"/>
      <c r="G19" s="1081"/>
      <c r="H19" s="1082"/>
    </row>
    <row r="20" spans="1:8" x14ac:dyDescent="0.25">
      <c r="A20" s="1038" t="s">
        <v>821</v>
      </c>
      <c r="B20" s="1040"/>
      <c r="C20" s="282"/>
      <c r="D20" s="283"/>
      <c r="E20" s="284"/>
      <c r="F20" s="285"/>
      <c r="G20" s="1075"/>
      <c r="H20" s="1076"/>
    </row>
    <row r="21" spans="1:8" x14ac:dyDescent="0.25">
      <c r="A21" s="1038" t="s">
        <v>822</v>
      </c>
      <c r="B21" s="1040"/>
      <c r="C21" s="282"/>
      <c r="D21" s="286"/>
      <c r="E21" s="287"/>
      <c r="F21" s="288"/>
      <c r="G21" s="1077"/>
      <c r="H21" s="1078"/>
    </row>
    <row r="22" spans="1:8" x14ac:dyDescent="0.25">
      <c r="A22" s="1038" t="s">
        <v>823</v>
      </c>
      <c r="B22" s="1040"/>
      <c r="C22" s="289"/>
      <c r="D22" s="286"/>
      <c r="E22" s="287"/>
      <c r="F22" s="288"/>
      <c r="G22" s="1069"/>
      <c r="H22" s="1070"/>
    </row>
    <row r="23" spans="1:8" x14ac:dyDescent="0.25">
      <c r="A23" s="1053" t="s">
        <v>824</v>
      </c>
      <c r="B23" s="1054"/>
      <c r="C23" s="291"/>
      <c r="D23" s="292">
        <f>SUM(D20:D22)</f>
        <v>0</v>
      </c>
      <c r="E23" s="293"/>
      <c r="F23" s="294"/>
      <c r="G23" s="1055"/>
      <c r="H23" s="1056"/>
    </row>
    <row r="24" spans="1:8" x14ac:dyDescent="0.25">
      <c r="A24" s="1071" t="s">
        <v>825</v>
      </c>
      <c r="B24" s="1072"/>
      <c r="C24" s="277" t="s">
        <v>546</v>
      </c>
      <c r="D24" s="278"/>
      <c r="E24" s="279"/>
      <c r="F24" s="280"/>
      <c r="G24" s="1073"/>
      <c r="H24" s="1074"/>
    </row>
    <row r="25" spans="1:8" x14ac:dyDescent="0.25">
      <c r="A25" s="1038" t="s">
        <v>826</v>
      </c>
      <c r="B25" s="1040"/>
      <c r="C25" s="282"/>
      <c r="D25" s="283"/>
      <c r="E25" s="284"/>
      <c r="F25" s="285"/>
      <c r="G25" s="1075"/>
      <c r="H25" s="1076"/>
    </row>
    <row r="26" spans="1:8" x14ac:dyDescent="0.25">
      <c r="A26" s="1038" t="s">
        <v>827</v>
      </c>
      <c r="B26" s="1040"/>
      <c r="C26" s="282"/>
      <c r="D26" s="286"/>
      <c r="E26" s="287"/>
      <c r="F26" s="288"/>
      <c r="G26" s="1077"/>
      <c r="H26" s="1078"/>
    </row>
    <row r="27" spans="1:8" x14ac:dyDescent="0.25">
      <c r="A27" s="1038" t="s">
        <v>828</v>
      </c>
      <c r="B27" s="1040"/>
      <c r="C27" s="282"/>
      <c r="D27" s="286"/>
      <c r="E27" s="287"/>
      <c r="F27" s="288"/>
      <c r="G27" s="1077"/>
      <c r="H27" s="1078"/>
    </row>
    <row r="28" spans="1:8" x14ac:dyDescent="0.25">
      <c r="A28" s="1038" t="s">
        <v>829</v>
      </c>
      <c r="B28" s="1040"/>
      <c r="C28" s="289"/>
      <c r="D28" s="295"/>
      <c r="E28" s="296"/>
      <c r="F28" s="290"/>
      <c r="G28" s="1069"/>
      <c r="H28" s="1070"/>
    </row>
    <row r="29" spans="1:8" x14ac:dyDescent="0.25">
      <c r="A29" s="1053" t="s">
        <v>830</v>
      </c>
      <c r="B29" s="1054"/>
      <c r="C29" s="291"/>
      <c r="D29" s="292">
        <f>SUM(D25:D28)</f>
        <v>0</v>
      </c>
      <c r="E29" s="293"/>
      <c r="F29" s="294"/>
      <c r="G29" s="1055"/>
      <c r="H29" s="1056"/>
    </row>
    <row r="30" spans="1:8" x14ac:dyDescent="0.25">
      <c r="A30" s="1071" t="s">
        <v>831</v>
      </c>
      <c r="B30" s="1072"/>
      <c r="C30" s="278"/>
      <c r="D30" s="278"/>
      <c r="E30" s="279"/>
      <c r="F30" s="280"/>
      <c r="G30" s="1073"/>
      <c r="H30" s="1074"/>
    </row>
    <row r="31" spans="1:8" x14ac:dyDescent="0.25">
      <c r="A31" s="1038" t="s">
        <v>832</v>
      </c>
      <c r="B31" s="1040"/>
      <c r="C31" s="297">
        <v>19</v>
      </c>
      <c r="D31" s="298"/>
      <c r="E31" s="299"/>
      <c r="F31" s="300"/>
      <c r="G31" s="1067"/>
      <c r="H31" s="1068"/>
    </row>
    <row r="32" spans="1:8" x14ac:dyDescent="0.25">
      <c r="A32" s="1038" t="s">
        <v>833</v>
      </c>
      <c r="B32" s="1040"/>
      <c r="C32" s="297">
        <v>9</v>
      </c>
      <c r="D32" s="298"/>
      <c r="E32" s="299"/>
      <c r="F32" s="301"/>
      <c r="G32" s="1063"/>
      <c r="H32" s="1064"/>
    </row>
    <row r="33" spans="1:8" x14ac:dyDescent="0.25">
      <c r="A33" s="1038" t="s">
        <v>834</v>
      </c>
      <c r="B33" s="1040"/>
      <c r="C33" s="297">
        <v>20</v>
      </c>
      <c r="D33" s="298"/>
      <c r="E33" s="299"/>
      <c r="F33" s="301"/>
      <c r="G33" s="1063"/>
      <c r="H33" s="1064"/>
    </row>
    <row r="34" spans="1:8" x14ac:dyDescent="0.25">
      <c r="A34" s="1038" t="s">
        <v>835</v>
      </c>
      <c r="B34" s="1040"/>
      <c r="C34" s="297">
        <v>20</v>
      </c>
      <c r="D34" s="298"/>
      <c r="E34" s="299"/>
      <c r="F34" s="301"/>
      <c r="G34" s="1063"/>
      <c r="H34" s="1064"/>
    </row>
    <row r="35" spans="1:8" x14ac:dyDescent="0.25">
      <c r="A35" s="1038" t="s">
        <v>836</v>
      </c>
      <c r="B35" s="1040"/>
      <c r="C35" s="297">
        <v>20</v>
      </c>
      <c r="D35" s="298"/>
      <c r="E35" s="299"/>
      <c r="F35" s="301"/>
      <c r="G35" s="1063"/>
      <c r="H35" s="1064"/>
    </row>
    <row r="36" spans="1:8" x14ac:dyDescent="0.25">
      <c r="A36" s="1038" t="s">
        <v>837</v>
      </c>
      <c r="B36" s="1040"/>
      <c r="C36" s="297">
        <v>21</v>
      </c>
      <c r="D36" s="298"/>
      <c r="E36" s="299"/>
      <c r="F36" s="301"/>
      <c r="G36" s="1063"/>
      <c r="H36" s="1064"/>
    </row>
    <row r="37" spans="1:8" ht="30" customHeight="1" x14ac:dyDescent="0.25">
      <c r="A37" s="1061" t="s">
        <v>838</v>
      </c>
      <c r="B37" s="1062"/>
      <c r="C37" s="297">
        <v>21</v>
      </c>
      <c r="D37" s="298"/>
      <c r="E37" s="299"/>
      <c r="F37" s="301"/>
      <c r="G37" s="1063"/>
      <c r="H37" s="1064"/>
    </row>
    <row r="38" spans="1:8" x14ac:dyDescent="0.25">
      <c r="A38" s="1038" t="s">
        <v>839</v>
      </c>
      <c r="B38" s="1040"/>
      <c r="C38" s="297">
        <v>21</v>
      </c>
      <c r="D38" s="298"/>
      <c r="E38" s="299"/>
      <c r="F38" s="301"/>
      <c r="G38" s="1065"/>
      <c r="H38" s="1066"/>
    </row>
    <row r="39" spans="1:8" x14ac:dyDescent="0.25">
      <c r="A39" s="1053" t="s">
        <v>840</v>
      </c>
      <c r="B39" s="1054"/>
      <c r="C39" s="291"/>
      <c r="D39" s="292">
        <f>SUM(D31:D38)</f>
        <v>0</v>
      </c>
      <c r="E39" s="293"/>
      <c r="F39" s="294"/>
      <c r="G39" s="1055"/>
      <c r="H39" s="1056"/>
    </row>
    <row r="40" spans="1:8" x14ac:dyDescent="0.25">
      <c r="A40" s="1053" t="s">
        <v>841</v>
      </c>
      <c r="B40" s="1054"/>
      <c r="C40" s="291"/>
      <c r="D40" s="292">
        <f>D23+D29+D39</f>
        <v>0</v>
      </c>
      <c r="E40" s="293"/>
      <c r="F40" s="294"/>
      <c r="G40" s="1055"/>
      <c r="H40" s="1056"/>
    </row>
    <row r="41" spans="1:8" x14ac:dyDescent="0.25">
      <c r="A41" s="281"/>
      <c r="B41" s="302"/>
      <c r="C41" s="302"/>
      <c r="D41" s="302"/>
      <c r="E41" s="302"/>
      <c r="F41" s="302"/>
      <c r="G41" s="302"/>
      <c r="H41" s="302"/>
    </row>
    <row r="42" spans="1:8" ht="25.5" x14ac:dyDescent="0.25">
      <c r="A42" s="1057" t="s">
        <v>842</v>
      </c>
      <c r="B42" s="1057"/>
      <c r="C42" s="1057"/>
      <c r="D42" s="303" t="s">
        <v>843</v>
      </c>
      <c r="E42" s="1045" t="s">
        <v>844</v>
      </c>
      <c r="F42" s="1046"/>
      <c r="G42" s="1045" t="s">
        <v>845</v>
      </c>
      <c r="H42" s="1046"/>
    </row>
    <row r="43" spans="1:8" x14ac:dyDescent="0.25">
      <c r="A43" s="1047" t="s">
        <v>846</v>
      </c>
      <c r="B43" s="1047"/>
      <c r="C43" s="1047"/>
      <c r="D43" s="304"/>
      <c r="E43" s="1034"/>
      <c r="F43" s="1058"/>
      <c r="G43" s="1059"/>
      <c r="H43" s="1060"/>
    </row>
    <row r="44" spans="1:8" x14ac:dyDescent="0.25">
      <c r="A44" s="1047" t="s">
        <v>847</v>
      </c>
      <c r="B44" s="1047"/>
      <c r="C44" s="1047"/>
      <c r="D44" s="304"/>
      <c r="E44" s="1028"/>
      <c r="F44" s="1030"/>
      <c r="G44" s="1048"/>
      <c r="H44" s="1049"/>
    </row>
    <row r="45" spans="1:8" x14ac:dyDescent="0.25">
      <c r="A45" s="1047" t="s">
        <v>848</v>
      </c>
      <c r="B45" s="1047"/>
      <c r="C45" s="1047"/>
      <c r="D45" s="304"/>
      <c r="E45" s="1018"/>
      <c r="F45" s="1050"/>
      <c r="G45" s="1051"/>
      <c r="H45" s="1052"/>
    </row>
    <row r="46" spans="1:8" x14ac:dyDescent="0.25">
      <c r="A46" s="1041" t="s">
        <v>849</v>
      </c>
      <c r="B46" s="1041"/>
      <c r="C46" s="1041"/>
      <c r="D46" s="305">
        <f>SUM(D43:D45)</f>
        <v>0</v>
      </c>
      <c r="E46" s="1025">
        <f>SUM(E43:F45)</f>
        <v>0</v>
      </c>
      <c r="F46" s="1026"/>
      <c r="G46" s="1025">
        <f>SUM(G43:H45)</f>
        <v>0</v>
      </c>
      <c r="H46" s="1026"/>
    </row>
    <row r="47" spans="1:8" ht="9.6" customHeight="1" x14ac:dyDescent="0.25">
      <c r="A47" s="203"/>
      <c r="B47" s="46"/>
      <c r="C47" s="46"/>
      <c r="D47" s="306"/>
      <c r="E47" s="239"/>
      <c r="F47" s="199"/>
      <c r="G47" s="306"/>
      <c r="H47" s="241"/>
    </row>
    <row r="48" spans="1:8" x14ac:dyDescent="0.25">
      <c r="A48" s="1042" t="s">
        <v>850</v>
      </c>
      <c r="B48" s="1043"/>
      <c r="C48" s="1043"/>
      <c r="D48" s="1044"/>
      <c r="E48" s="1045" t="s">
        <v>851</v>
      </c>
      <c r="F48" s="1046"/>
      <c r="G48" s="1045" t="s">
        <v>852</v>
      </c>
      <c r="H48" s="1046"/>
    </row>
    <row r="49" spans="1:8" x14ac:dyDescent="0.25">
      <c r="A49" s="1031" t="s">
        <v>853</v>
      </c>
      <c r="B49" s="1032"/>
      <c r="C49" s="1032"/>
      <c r="D49" s="1033"/>
      <c r="E49" s="1034"/>
      <c r="F49" s="1035"/>
      <c r="G49" s="1036"/>
      <c r="H49" s="1037"/>
    </row>
    <row r="50" spans="1:8" x14ac:dyDescent="0.25">
      <c r="A50" s="1038" t="s">
        <v>854</v>
      </c>
      <c r="B50" s="1039"/>
      <c r="C50" s="1039"/>
      <c r="D50" s="1040"/>
      <c r="E50" s="1028"/>
      <c r="F50" s="1029"/>
      <c r="G50" s="1028"/>
      <c r="H50" s="1030"/>
    </row>
    <row r="51" spans="1:8" x14ac:dyDescent="0.25">
      <c r="A51" s="757" t="s">
        <v>855</v>
      </c>
      <c r="B51" s="758"/>
      <c r="C51" s="758"/>
      <c r="D51" s="1027"/>
      <c r="E51" s="1028"/>
      <c r="F51" s="1029"/>
      <c r="G51" s="1028"/>
      <c r="H51" s="1030"/>
    </row>
    <row r="52" spans="1:8" x14ac:dyDescent="0.25">
      <c r="A52" s="757" t="s">
        <v>856</v>
      </c>
      <c r="B52" s="758"/>
      <c r="C52" s="758"/>
      <c r="D52" s="1027"/>
      <c r="E52" s="1028"/>
      <c r="F52" s="1029"/>
      <c r="G52" s="1028"/>
      <c r="H52" s="1030"/>
    </row>
    <row r="53" spans="1:8" x14ac:dyDescent="0.25">
      <c r="A53" s="1015" t="s">
        <v>857</v>
      </c>
      <c r="B53" s="1016"/>
      <c r="C53" s="1016"/>
      <c r="D53" s="1017"/>
      <c r="E53" s="1018"/>
      <c r="F53" s="1019"/>
      <c r="G53" s="1020"/>
      <c r="H53" s="1021"/>
    </row>
    <row r="54" spans="1:8" x14ac:dyDescent="0.25">
      <c r="A54" s="1022" t="s">
        <v>849</v>
      </c>
      <c r="B54" s="1023"/>
      <c r="C54" s="1023"/>
      <c r="D54" s="1024"/>
      <c r="E54" s="1025">
        <f>SUM(E49:F53)</f>
        <v>0</v>
      </c>
      <c r="F54" s="1026"/>
      <c r="G54" s="1025">
        <f>SUM(G49:H53)</f>
        <v>0</v>
      </c>
      <c r="H54" s="1026"/>
    </row>
    <row r="55" spans="1:8" ht="9.6" customHeight="1" x14ac:dyDescent="0.25">
      <c r="A55" s="203"/>
      <c r="B55" s="46"/>
      <c r="C55" s="46"/>
      <c r="D55" s="306"/>
      <c r="E55" s="239"/>
      <c r="F55" s="199"/>
      <c r="G55" s="306"/>
      <c r="H55" s="241"/>
    </row>
    <row r="56" spans="1:8" x14ac:dyDescent="0.25">
      <c r="A56" s="307" t="s">
        <v>858</v>
      </c>
      <c r="B56" s="203"/>
      <c r="C56" s="203"/>
      <c r="D56" s="203"/>
      <c r="E56" s="203"/>
      <c r="F56" s="203"/>
      <c r="G56" s="203"/>
      <c r="H56" s="241"/>
    </row>
    <row r="57" spans="1:8" x14ac:dyDescent="0.25">
      <c r="A57" s="203" t="s">
        <v>859</v>
      </c>
      <c r="B57" s="203"/>
      <c r="C57" s="203"/>
      <c r="D57" s="203"/>
      <c r="E57" s="203"/>
      <c r="F57" s="203"/>
      <c r="G57" s="203"/>
      <c r="H57" s="241"/>
    </row>
    <row r="58" spans="1:8" ht="14.45" customHeight="1" x14ac:dyDescent="0.25">
      <c r="A58" s="1006" t="s">
        <v>860</v>
      </c>
      <c r="B58" s="1007"/>
      <c r="C58" s="1007"/>
      <c r="D58" s="1007"/>
      <c r="E58" s="1007"/>
      <c r="F58" s="1007"/>
      <c r="G58" s="1007"/>
      <c r="H58" s="1008"/>
    </row>
    <row r="59" spans="1:8" x14ac:dyDescent="0.25">
      <c r="A59" s="1009"/>
      <c r="B59" s="1010"/>
      <c r="C59" s="1010"/>
      <c r="D59" s="1010"/>
      <c r="E59" s="1010"/>
      <c r="F59" s="1010"/>
      <c r="G59" s="1010"/>
      <c r="H59" s="1011"/>
    </row>
    <row r="60" spans="1:8" x14ac:dyDescent="0.25">
      <c r="A60" s="1009"/>
      <c r="B60" s="1010"/>
      <c r="C60" s="1010"/>
      <c r="D60" s="1010"/>
      <c r="E60" s="1010"/>
      <c r="F60" s="1010"/>
      <c r="G60" s="1010"/>
      <c r="H60" s="1011"/>
    </row>
    <row r="61" spans="1:8" x14ac:dyDescent="0.25">
      <c r="A61" s="1009"/>
      <c r="B61" s="1010"/>
      <c r="C61" s="1010"/>
      <c r="D61" s="1010"/>
      <c r="E61" s="1010"/>
      <c r="F61" s="1010"/>
      <c r="G61" s="1010"/>
      <c r="H61" s="1011"/>
    </row>
    <row r="62" spans="1:8" x14ac:dyDescent="0.25">
      <c r="A62" s="1009"/>
      <c r="B62" s="1010"/>
      <c r="C62" s="1010"/>
      <c r="D62" s="1010"/>
      <c r="E62" s="1010"/>
      <c r="F62" s="1010"/>
      <c r="G62" s="1010"/>
      <c r="H62" s="1011"/>
    </row>
    <row r="63" spans="1:8" x14ac:dyDescent="0.25">
      <c r="A63" s="1012"/>
      <c r="B63" s="1013"/>
      <c r="C63" s="1013"/>
      <c r="D63" s="1013"/>
      <c r="E63" s="1013"/>
      <c r="F63" s="1013"/>
      <c r="G63" s="1013"/>
      <c r="H63" s="1014"/>
    </row>
  </sheetData>
  <mergeCells count="104">
    <mergeCell ref="C6:D6"/>
    <mergeCell ref="C7:D7"/>
    <mergeCell ref="C8:H8"/>
    <mergeCell ref="C9:H9"/>
    <mergeCell ref="C10:D10"/>
    <mergeCell ref="E10:F10"/>
    <mergeCell ref="G10:H10"/>
    <mergeCell ref="A2:B2"/>
    <mergeCell ref="C2:H2"/>
    <mergeCell ref="A3:B3"/>
    <mergeCell ref="C3:H3"/>
    <mergeCell ref="C4:H4"/>
    <mergeCell ref="C5:H5"/>
    <mergeCell ref="A19:B19"/>
    <mergeCell ref="G19:H19"/>
    <mergeCell ref="A20:B20"/>
    <mergeCell ref="G20:H20"/>
    <mergeCell ref="A21:B21"/>
    <mergeCell ref="G21:H21"/>
    <mergeCell ref="C11:D11"/>
    <mergeCell ref="E11:F11"/>
    <mergeCell ref="G11:H11"/>
    <mergeCell ref="A13:H13"/>
    <mergeCell ref="A15:H15"/>
    <mergeCell ref="A17:B18"/>
    <mergeCell ref="C17:C18"/>
    <mergeCell ref="D17:D18"/>
    <mergeCell ref="E17:H17"/>
    <mergeCell ref="G18:H18"/>
    <mergeCell ref="A25:B25"/>
    <mergeCell ref="G25:H25"/>
    <mergeCell ref="A26:B26"/>
    <mergeCell ref="G26:H26"/>
    <mergeCell ref="A27:B27"/>
    <mergeCell ref="G27:H27"/>
    <mergeCell ref="A22:B22"/>
    <mergeCell ref="G22:H22"/>
    <mergeCell ref="A23:B23"/>
    <mergeCell ref="G23:H23"/>
    <mergeCell ref="A24:B24"/>
    <mergeCell ref="G24:H24"/>
    <mergeCell ref="A31:B31"/>
    <mergeCell ref="G31:H31"/>
    <mergeCell ref="A32:B32"/>
    <mergeCell ref="G32:H32"/>
    <mergeCell ref="A33:B33"/>
    <mergeCell ref="G33:H33"/>
    <mergeCell ref="A28:B28"/>
    <mergeCell ref="G28:H28"/>
    <mergeCell ref="A29:B29"/>
    <mergeCell ref="G29:H29"/>
    <mergeCell ref="A30:B30"/>
    <mergeCell ref="G30:H30"/>
    <mergeCell ref="A37:B37"/>
    <mergeCell ref="G37:H37"/>
    <mergeCell ref="A38:B38"/>
    <mergeCell ref="G38:H38"/>
    <mergeCell ref="A39:B39"/>
    <mergeCell ref="G39:H39"/>
    <mergeCell ref="A34:B34"/>
    <mergeCell ref="G34:H34"/>
    <mergeCell ref="A35:B35"/>
    <mergeCell ref="G35:H35"/>
    <mergeCell ref="A36:B36"/>
    <mergeCell ref="G36:H36"/>
    <mergeCell ref="A44:C44"/>
    <mergeCell ref="E44:F44"/>
    <mergeCell ref="G44:H44"/>
    <mergeCell ref="A45:C45"/>
    <mergeCell ref="E45:F45"/>
    <mergeCell ref="G45:H45"/>
    <mergeCell ref="A40:B40"/>
    <mergeCell ref="G40:H40"/>
    <mergeCell ref="A42:C42"/>
    <mergeCell ref="E42:F42"/>
    <mergeCell ref="G42:H42"/>
    <mergeCell ref="A43:C43"/>
    <mergeCell ref="E43:F43"/>
    <mergeCell ref="G43:H43"/>
    <mergeCell ref="A49:D49"/>
    <mergeCell ref="E49:F49"/>
    <mergeCell ref="G49:H49"/>
    <mergeCell ref="A50:D50"/>
    <mergeCell ref="E50:F50"/>
    <mergeCell ref="G50:H50"/>
    <mergeCell ref="A46:C46"/>
    <mergeCell ref="E46:F46"/>
    <mergeCell ref="G46:H46"/>
    <mergeCell ref="A48:D48"/>
    <mergeCell ref="E48:F48"/>
    <mergeCell ref="G48:H48"/>
    <mergeCell ref="A58:H63"/>
    <mergeCell ref="A53:D53"/>
    <mergeCell ref="E53:F53"/>
    <mergeCell ref="G53:H53"/>
    <mergeCell ref="A54:D54"/>
    <mergeCell ref="E54:F54"/>
    <mergeCell ref="G54:H54"/>
    <mergeCell ref="A51:D51"/>
    <mergeCell ref="E51:F51"/>
    <mergeCell ref="G51:H51"/>
    <mergeCell ref="A52:D52"/>
    <mergeCell ref="E52:F52"/>
    <mergeCell ref="G52:H52"/>
  </mergeCells>
  <pageMargins left="0.7" right="0.7" top="0.75" bottom="0.75" header="0.3" footer="0.3"/>
  <drawing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68A5BF-D08C-4546-A917-BE2143CE5136}">
  <dimension ref="A2:H47"/>
  <sheetViews>
    <sheetView workbookViewId="0">
      <selection activeCell="F15" sqref="A1:XFD1048576"/>
    </sheetView>
  </sheetViews>
  <sheetFormatPr baseColWidth="10" defaultRowHeight="15" x14ac:dyDescent="0.25"/>
  <cols>
    <col min="1" max="1" width="17.42578125" customWidth="1"/>
    <col min="2" max="2" width="15.5703125" customWidth="1"/>
    <col min="3" max="3" width="6.28515625" customWidth="1"/>
    <col min="4" max="4" width="14.7109375" customWidth="1"/>
    <col min="5" max="6" width="18" customWidth="1"/>
    <col min="7" max="7" width="16.7109375" customWidth="1"/>
    <col min="8" max="8" width="6.42578125" customWidth="1"/>
  </cols>
  <sheetData>
    <row r="2" spans="1:8" x14ac:dyDescent="0.25">
      <c r="A2" s="961" t="s">
        <v>464</v>
      </c>
      <c r="B2" s="961"/>
      <c r="C2" s="958" t="s">
        <v>2</v>
      </c>
      <c r="D2" s="958"/>
      <c r="E2" s="958"/>
      <c r="F2" s="958"/>
      <c r="G2" s="958"/>
      <c r="H2" s="958"/>
    </row>
    <row r="3" spans="1:8" x14ac:dyDescent="0.25">
      <c r="A3" s="961"/>
      <c r="B3" s="961"/>
      <c r="C3" s="957" t="s">
        <v>4</v>
      </c>
      <c r="D3" s="957"/>
      <c r="E3" s="957"/>
      <c r="F3" s="957"/>
      <c r="G3" s="957"/>
      <c r="H3" s="957"/>
    </row>
    <row r="4" spans="1:8" x14ac:dyDescent="0.25">
      <c r="A4" s="198" t="s">
        <v>362</v>
      </c>
      <c r="B4" s="199"/>
      <c r="C4" s="957" t="s">
        <v>6</v>
      </c>
      <c r="D4" s="957"/>
      <c r="E4" s="957"/>
      <c r="F4" s="957"/>
      <c r="G4" s="957"/>
      <c r="H4" s="957"/>
    </row>
    <row r="5" spans="1:8" x14ac:dyDescent="0.25">
      <c r="A5" s="198" t="s">
        <v>363</v>
      </c>
      <c r="B5" s="199"/>
      <c r="C5" s="957">
        <v>4431</v>
      </c>
      <c r="D5" s="957"/>
      <c r="E5" s="957"/>
      <c r="F5" s="957"/>
      <c r="G5" s="957"/>
      <c r="H5" s="957"/>
    </row>
    <row r="6" spans="1:8" x14ac:dyDescent="0.25">
      <c r="A6" s="198" t="s">
        <v>364</v>
      </c>
      <c r="B6" s="199"/>
      <c r="C6" s="957" t="s">
        <v>12</v>
      </c>
      <c r="D6" s="957"/>
      <c r="E6" s="46" t="s">
        <v>365</v>
      </c>
      <c r="F6" s="202">
        <v>46022</v>
      </c>
      <c r="G6" s="199" t="s">
        <v>465</v>
      </c>
      <c r="H6" s="235">
        <v>12</v>
      </c>
    </row>
    <row r="7" spans="1:8" x14ac:dyDescent="0.25">
      <c r="A7" s="200" t="s">
        <v>367</v>
      </c>
      <c r="B7" s="201"/>
      <c r="C7" s="957" t="s">
        <v>8</v>
      </c>
      <c r="D7" s="957"/>
      <c r="E7" s="199"/>
      <c r="F7" s="199"/>
      <c r="G7" s="199"/>
      <c r="H7" s="199"/>
    </row>
    <row r="8" spans="1:8" x14ac:dyDescent="0.25">
      <c r="A8" s="199" t="s">
        <v>466</v>
      </c>
      <c r="B8" s="199"/>
      <c r="C8" s="958" t="s">
        <v>34</v>
      </c>
      <c r="D8" s="958"/>
      <c r="E8" s="958"/>
      <c r="F8" s="958"/>
      <c r="G8" s="958"/>
      <c r="H8" s="958"/>
    </row>
    <row r="9" spans="1:8" x14ac:dyDescent="0.25">
      <c r="A9" s="199"/>
      <c r="B9" s="199"/>
      <c r="C9" s="957">
        <v>555555</v>
      </c>
      <c r="D9" s="957"/>
      <c r="E9" s="957"/>
      <c r="F9" s="957"/>
      <c r="G9" s="957"/>
      <c r="H9" s="957"/>
    </row>
    <row r="10" spans="1:8" x14ac:dyDescent="0.25">
      <c r="A10" s="199" t="s">
        <v>467</v>
      </c>
      <c r="B10" s="199"/>
      <c r="C10" s="957" t="s">
        <v>38</v>
      </c>
      <c r="D10" s="957"/>
      <c r="E10" s="770" t="s">
        <v>468</v>
      </c>
      <c r="F10" s="770"/>
      <c r="G10" s="957" t="s">
        <v>36</v>
      </c>
      <c r="H10" s="957"/>
    </row>
    <row r="11" spans="1:8" x14ac:dyDescent="0.25">
      <c r="A11" s="199" t="s">
        <v>469</v>
      </c>
      <c r="B11" s="199"/>
      <c r="C11" s="954">
        <v>44713</v>
      </c>
      <c r="D11" s="954"/>
      <c r="E11" s="975" t="s">
        <v>470</v>
      </c>
      <c r="F11" s="975"/>
      <c r="G11" s="954">
        <v>45991</v>
      </c>
      <c r="H11" s="954"/>
    </row>
    <row r="13" spans="1:8" ht="15.75" x14ac:dyDescent="0.25">
      <c r="A13" s="778" t="s">
        <v>861</v>
      </c>
      <c r="B13" s="778"/>
      <c r="C13" s="778"/>
      <c r="D13" s="778"/>
      <c r="E13" s="778"/>
      <c r="F13" s="778"/>
      <c r="G13" s="778"/>
      <c r="H13" s="778"/>
    </row>
    <row r="14" spans="1:8" ht="15.75" x14ac:dyDescent="0.25">
      <c r="A14" s="778" t="s">
        <v>862</v>
      </c>
      <c r="B14" s="778"/>
      <c r="C14" s="778"/>
      <c r="D14" s="778"/>
      <c r="E14" s="778"/>
      <c r="F14" s="778"/>
      <c r="G14" s="778"/>
      <c r="H14" s="778"/>
    </row>
    <row r="15" spans="1:8" ht="8.4499999999999993" customHeight="1" x14ac:dyDescent="0.25">
      <c r="A15" s="308"/>
      <c r="B15" s="308"/>
      <c r="C15" s="308"/>
      <c r="D15" s="308"/>
      <c r="E15" s="308"/>
      <c r="F15" s="308"/>
      <c r="G15" s="308"/>
      <c r="H15" s="308"/>
    </row>
    <row r="16" spans="1:8" x14ac:dyDescent="0.25">
      <c r="A16" s="1097" t="s">
        <v>863</v>
      </c>
      <c r="B16" s="1098"/>
      <c r="C16" s="1098"/>
      <c r="D16" s="1098"/>
      <c r="E16" s="1098"/>
      <c r="F16" s="1098"/>
      <c r="G16" s="1098"/>
      <c r="H16" s="1099"/>
    </row>
    <row r="17" spans="1:8" ht="17.45" customHeight="1" x14ac:dyDescent="0.25">
      <c r="A17" s="1094" t="s">
        <v>864</v>
      </c>
      <c r="B17" s="1095"/>
      <c r="C17" s="1095"/>
      <c r="D17" s="1095"/>
      <c r="E17" s="1095"/>
      <c r="F17" s="1095"/>
      <c r="G17" s="1095"/>
      <c r="H17" s="1096"/>
    </row>
    <row r="18" spans="1:8" ht="17.45" customHeight="1" x14ac:dyDescent="0.25">
      <c r="A18" s="1094"/>
      <c r="B18" s="1095"/>
      <c r="C18" s="1095"/>
      <c r="D18" s="1095"/>
      <c r="E18" s="1095"/>
      <c r="F18" s="1095"/>
      <c r="G18" s="1095"/>
      <c r="H18" s="1096"/>
    </row>
    <row r="19" spans="1:8" ht="17.45" customHeight="1" x14ac:dyDescent="0.25">
      <c r="A19" s="1094"/>
      <c r="B19" s="1095"/>
      <c r="C19" s="1095"/>
      <c r="D19" s="1095"/>
      <c r="E19" s="1095"/>
      <c r="F19" s="1095"/>
      <c r="G19" s="1095"/>
      <c r="H19" s="1096"/>
    </row>
    <row r="20" spans="1:8" ht="17.45" customHeight="1" x14ac:dyDescent="0.25">
      <c r="A20" s="1094"/>
      <c r="B20" s="1095"/>
      <c r="C20" s="1095"/>
      <c r="D20" s="1095"/>
      <c r="E20" s="1095"/>
      <c r="F20" s="1095"/>
      <c r="G20" s="1095"/>
      <c r="H20" s="1096"/>
    </row>
    <row r="21" spans="1:8" ht="17.45" customHeight="1" x14ac:dyDescent="0.25">
      <c r="A21" s="1094"/>
      <c r="B21" s="1095"/>
      <c r="C21" s="1095"/>
      <c r="D21" s="1095"/>
      <c r="E21" s="1095"/>
      <c r="F21" s="1095"/>
      <c r="G21" s="1095"/>
      <c r="H21" s="1096"/>
    </row>
    <row r="22" spans="1:8" ht="17.45" customHeight="1" x14ac:dyDescent="0.25">
      <c r="A22" s="1094"/>
      <c r="B22" s="1095"/>
      <c r="C22" s="1095"/>
      <c r="D22" s="1095"/>
      <c r="E22" s="1095"/>
      <c r="F22" s="1095"/>
      <c r="G22" s="1095"/>
      <c r="H22" s="1096"/>
    </row>
    <row r="23" spans="1:8" ht="17.45" customHeight="1" x14ac:dyDescent="0.25">
      <c r="A23" s="1094"/>
      <c r="B23" s="1095"/>
      <c r="C23" s="1095"/>
      <c r="D23" s="1095"/>
      <c r="E23" s="1095"/>
      <c r="F23" s="1095"/>
      <c r="G23" s="1095"/>
      <c r="H23" s="1096"/>
    </row>
    <row r="24" spans="1:8" ht="17.45" customHeight="1" x14ac:dyDescent="0.25">
      <c r="A24" s="1094"/>
      <c r="B24" s="1095"/>
      <c r="C24" s="1095"/>
      <c r="D24" s="1095"/>
      <c r="E24" s="1095"/>
      <c r="F24" s="1095"/>
      <c r="G24" s="1095"/>
      <c r="H24" s="1096"/>
    </row>
    <row r="25" spans="1:8" ht="43.15" customHeight="1" x14ac:dyDescent="0.25">
      <c r="A25" s="1097" t="s">
        <v>865</v>
      </c>
      <c r="B25" s="1098"/>
      <c r="C25" s="1098"/>
      <c r="D25" s="1098"/>
      <c r="E25" s="1098"/>
      <c r="F25" s="1098"/>
      <c r="G25" s="1098"/>
      <c r="H25" s="1099"/>
    </row>
    <row r="26" spans="1:8" ht="24" customHeight="1" x14ac:dyDescent="0.25">
      <c r="A26" s="1094"/>
      <c r="B26" s="1100"/>
      <c r="C26" s="1100"/>
      <c r="D26" s="1100"/>
      <c r="E26" s="1100"/>
      <c r="F26" s="1100"/>
      <c r="G26" s="1100"/>
      <c r="H26" s="1101"/>
    </row>
    <row r="27" spans="1:8" ht="24" customHeight="1" x14ac:dyDescent="0.25">
      <c r="A27" s="1102"/>
      <c r="B27" s="1100"/>
      <c r="C27" s="1100"/>
      <c r="D27" s="1100"/>
      <c r="E27" s="1100"/>
      <c r="F27" s="1100"/>
      <c r="G27" s="1100"/>
      <c r="H27" s="1101"/>
    </row>
    <row r="28" spans="1:8" ht="24" customHeight="1" x14ac:dyDescent="0.25">
      <c r="A28" s="1102"/>
      <c r="B28" s="1100"/>
      <c r="C28" s="1100"/>
      <c r="D28" s="1100"/>
      <c r="E28" s="1100"/>
      <c r="F28" s="1100"/>
      <c r="G28" s="1100"/>
      <c r="H28" s="1101"/>
    </row>
    <row r="29" spans="1:8" ht="24" customHeight="1" x14ac:dyDescent="0.25">
      <c r="A29" s="1102"/>
      <c r="B29" s="1100"/>
      <c r="C29" s="1100"/>
      <c r="D29" s="1100"/>
      <c r="E29" s="1100"/>
      <c r="F29" s="1100"/>
      <c r="G29" s="1100"/>
      <c r="H29" s="1101"/>
    </row>
    <row r="30" spans="1:8" ht="24" customHeight="1" x14ac:dyDescent="0.25">
      <c r="A30" s="1102"/>
      <c r="B30" s="1100"/>
      <c r="C30" s="1100"/>
      <c r="D30" s="1100"/>
      <c r="E30" s="1100"/>
      <c r="F30" s="1100"/>
      <c r="G30" s="1100"/>
      <c r="H30" s="1101"/>
    </row>
    <row r="31" spans="1:8" ht="24" customHeight="1" x14ac:dyDescent="0.25">
      <c r="A31" s="1102"/>
      <c r="B31" s="1100"/>
      <c r="C31" s="1100"/>
      <c r="D31" s="1100"/>
      <c r="E31" s="1100"/>
      <c r="F31" s="1100"/>
      <c r="G31" s="1100"/>
      <c r="H31" s="1101"/>
    </row>
    <row r="32" spans="1:8" ht="24" customHeight="1" x14ac:dyDescent="0.25">
      <c r="A32" s="1102"/>
      <c r="B32" s="1100"/>
      <c r="C32" s="1100"/>
      <c r="D32" s="1100"/>
      <c r="E32" s="1100"/>
      <c r="F32" s="1100"/>
      <c r="G32" s="1100"/>
      <c r="H32" s="1101"/>
    </row>
    <row r="33" spans="1:8" x14ac:dyDescent="0.25">
      <c r="A33" s="1097" t="s">
        <v>866</v>
      </c>
      <c r="B33" s="1098"/>
      <c r="C33" s="1098"/>
      <c r="D33" s="1098"/>
      <c r="E33" s="1098"/>
      <c r="F33" s="1098"/>
      <c r="G33" s="1098"/>
      <c r="H33" s="1099"/>
    </row>
    <row r="34" spans="1:8" ht="21" customHeight="1" x14ac:dyDescent="0.25">
      <c r="A34" s="1103"/>
      <c r="B34" s="1104"/>
      <c r="C34" s="1104"/>
      <c r="D34" s="1104"/>
      <c r="E34" s="1104"/>
      <c r="F34" s="1104"/>
      <c r="G34" s="1104"/>
      <c r="H34" s="1105"/>
    </row>
    <row r="35" spans="1:8" ht="21" customHeight="1" x14ac:dyDescent="0.25">
      <c r="A35" s="1106"/>
      <c r="B35" s="1107"/>
      <c r="C35" s="1107"/>
      <c r="D35" s="1107"/>
      <c r="E35" s="1107"/>
      <c r="F35" s="1107"/>
      <c r="G35" s="1107"/>
      <c r="H35" s="1108"/>
    </row>
    <row r="36" spans="1:8" ht="21" customHeight="1" x14ac:dyDescent="0.25">
      <c r="A36" s="1106"/>
      <c r="B36" s="1107"/>
      <c r="C36" s="1107"/>
      <c r="D36" s="1107"/>
      <c r="E36" s="1107"/>
      <c r="F36" s="1107"/>
      <c r="G36" s="1107"/>
      <c r="H36" s="1108"/>
    </row>
    <row r="37" spans="1:8" ht="21" customHeight="1" x14ac:dyDescent="0.25">
      <c r="A37" s="1106"/>
      <c r="B37" s="1107"/>
      <c r="C37" s="1107"/>
      <c r="D37" s="1107"/>
      <c r="E37" s="1107"/>
      <c r="F37" s="1107"/>
      <c r="G37" s="1107"/>
      <c r="H37" s="1108"/>
    </row>
    <row r="38" spans="1:8" ht="21" customHeight="1" x14ac:dyDescent="0.25">
      <c r="A38" s="1106"/>
      <c r="B38" s="1107"/>
      <c r="C38" s="1107"/>
      <c r="D38" s="1107"/>
      <c r="E38" s="1107"/>
      <c r="F38" s="1107"/>
      <c r="G38" s="1107"/>
      <c r="H38" s="1108"/>
    </row>
    <row r="39" spans="1:8" ht="21" customHeight="1" x14ac:dyDescent="0.25">
      <c r="A39" s="1106"/>
      <c r="B39" s="1107"/>
      <c r="C39" s="1107"/>
      <c r="D39" s="1107"/>
      <c r="E39" s="1107"/>
      <c r="F39" s="1107"/>
      <c r="G39" s="1107"/>
      <c r="H39" s="1108"/>
    </row>
    <row r="40" spans="1:8" ht="21" customHeight="1" x14ac:dyDescent="0.25">
      <c r="A40" s="1109"/>
      <c r="B40" s="1110"/>
      <c r="C40" s="1110"/>
      <c r="D40" s="1110"/>
      <c r="E40" s="1110"/>
      <c r="F40" s="1110"/>
      <c r="G40" s="1110"/>
      <c r="H40" s="1111"/>
    </row>
    <row r="41" spans="1:8" ht="37.9" customHeight="1" x14ac:dyDescent="0.25">
      <c r="A41" s="1097" t="s">
        <v>867</v>
      </c>
      <c r="B41" s="1098"/>
      <c r="C41" s="1098"/>
      <c r="D41" s="1098"/>
      <c r="E41" s="1098"/>
      <c r="F41" s="1098"/>
      <c r="G41" s="1098"/>
      <c r="H41" s="1099"/>
    </row>
    <row r="42" spans="1:8" ht="23.45" customHeight="1" x14ac:dyDescent="0.25">
      <c r="A42" s="1085"/>
      <c r="B42" s="1086"/>
      <c r="C42" s="1086"/>
      <c r="D42" s="1086"/>
      <c r="E42" s="1086"/>
      <c r="F42" s="1086"/>
      <c r="G42" s="1086"/>
      <c r="H42" s="1087"/>
    </row>
    <row r="43" spans="1:8" ht="23.45" customHeight="1" x14ac:dyDescent="0.25">
      <c r="A43" s="1088"/>
      <c r="B43" s="1089"/>
      <c r="C43" s="1089"/>
      <c r="D43" s="1089"/>
      <c r="E43" s="1089"/>
      <c r="F43" s="1089"/>
      <c r="G43" s="1089"/>
      <c r="H43" s="1090"/>
    </row>
    <row r="44" spans="1:8" ht="23.45" customHeight="1" x14ac:dyDescent="0.25">
      <c r="A44" s="1088"/>
      <c r="B44" s="1089"/>
      <c r="C44" s="1089"/>
      <c r="D44" s="1089"/>
      <c r="E44" s="1089"/>
      <c r="F44" s="1089"/>
      <c r="G44" s="1089"/>
      <c r="H44" s="1090"/>
    </row>
    <row r="45" spans="1:8" ht="23.45" customHeight="1" x14ac:dyDescent="0.25">
      <c r="A45" s="1088"/>
      <c r="B45" s="1089"/>
      <c r="C45" s="1089"/>
      <c r="D45" s="1089"/>
      <c r="E45" s="1089"/>
      <c r="F45" s="1089"/>
      <c r="G45" s="1089"/>
      <c r="H45" s="1090"/>
    </row>
    <row r="46" spans="1:8" ht="23.45" customHeight="1" x14ac:dyDescent="0.25">
      <c r="A46" s="1088"/>
      <c r="B46" s="1089"/>
      <c r="C46" s="1089"/>
      <c r="D46" s="1089"/>
      <c r="E46" s="1089"/>
      <c r="F46" s="1089"/>
      <c r="G46" s="1089"/>
      <c r="H46" s="1090"/>
    </row>
    <row r="47" spans="1:8" ht="23.45" customHeight="1" x14ac:dyDescent="0.25">
      <c r="A47" s="1091"/>
      <c r="B47" s="1092"/>
      <c r="C47" s="1092"/>
      <c r="D47" s="1092"/>
      <c r="E47" s="1092"/>
      <c r="F47" s="1092"/>
      <c r="G47" s="1092"/>
      <c r="H47" s="1093"/>
    </row>
  </sheetData>
  <mergeCells count="26">
    <mergeCell ref="C5:H5"/>
    <mergeCell ref="A2:B2"/>
    <mergeCell ref="C2:H2"/>
    <mergeCell ref="A3:B3"/>
    <mergeCell ref="C3:H3"/>
    <mergeCell ref="C4:H4"/>
    <mergeCell ref="A16:H16"/>
    <mergeCell ref="C6:D6"/>
    <mergeCell ref="C7:D7"/>
    <mergeCell ref="C8:H8"/>
    <mergeCell ref="C9:H9"/>
    <mergeCell ref="C10:D10"/>
    <mergeCell ref="E10:F10"/>
    <mergeCell ref="G10:H10"/>
    <mergeCell ref="C11:D11"/>
    <mergeCell ref="E11:F11"/>
    <mergeCell ref="G11:H11"/>
    <mergeCell ref="A13:H13"/>
    <mergeCell ref="A14:H14"/>
    <mergeCell ref="A42:H47"/>
    <mergeCell ref="A17:H24"/>
    <mergeCell ref="A25:H25"/>
    <mergeCell ref="A26:H32"/>
    <mergeCell ref="A33:H33"/>
    <mergeCell ref="A34:H40"/>
    <mergeCell ref="A41:H41"/>
  </mergeCells>
  <pageMargins left="0.7" right="0.7" top="0.75" bottom="0.75" header="0.3" footer="0.3"/>
  <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607501-2A69-4AA6-BB4B-C8BFB270030A}">
  <dimension ref="A2:I33"/>
  <sheetViews>
    <sheetView workbookViewId="0">
      <selection sqref="A1:XFD1048576"/>
    </sheetView>
  </sheetViews>
  <sheetFormatPr baseColWidth="10" defaultRowHeight="15" x14ac:dyDescent="0.25"/>
  <cols>
    <col min="1" max="1" width="18.28515625" customWidth="1"/>
    <col min="2" max="2" width="19.85546875" customWidth="1"/>
    <col min="3" max="3" width="6.28515625" customWidth="1"/>
    <col min="4" max="4" width="13.7109375" customWidth="1"/>
    <col min="5" max="5" width="18" customWidth="1"/>
    <col min="6" max="6" width="16.28515625" customWidth="1"/>
    <col min="7" max="7" width="16.7109375" customWidth="1"/>
    <col min="8" max="8" width="4.28515625" customWidth="1"/>
    <col min="9" max="9" width="5.140625" customWidth="1"/>
  </cols>
  <sheetData>
    <row r="2" spans="1:9" x14ac:dyDescent="0.25">
      <c r="A2" s="961" t="s">
        <v>464</v>
      </c>
      <c r="B2" s="961"/>
      <c r="C2" s="958" t="s">
        <v>2</v>
      </c>
      <c r="D2" s="958"/>
      <c r="E2" s="958"/>
      <c r="F2" s="958"/>
      <c r="G2" s="958"/>
      <c r="H2" s="958"/>
      <c r="I2" s="958"/>
    </row>
    <row r="3" spans="1:9" x14ac:dyDescent="0.25">
      <c r="A3" s="961"/>
      <c r="B3" s="961"/>
      <c r="C3" s="958" t="s">
        <v>4</v>
      </c>
      <c r="D3" s="958"/>
      <c r="E3" s="958"/>
      <c r="F3" s="958"/>
      <c r="G3" s="958"/>
      <c r="H3" s="958"/>
      <c r="I3" s="958"/>
    </row>
    <row r="4" spans="1:9" x14ac:dyDescent="0.25">
      <c r="A4" s="198" t="s">
        <v>362</v>
      </c>
      <c r="B4" s="199"/>
      <c r="C4" s="958" t="s">
        <v>6</v>
      </c>
      <c r="D4" s="958"/>
      <c r="E4" s="958"/>
      <c r="F4" s="958"/>
      <c r="G4" s="958"/>
      <c r="H4" s="958"/>
      <c r="I4" s="958"/>
    </row>
    <row r="5" spans="1:9" x14ac:dyDescent="0.25">
      <c r="A5" s="198" t="s">
        <v>363</v>
      </c>
      <c r="B5" s="199"/>
      <c r="C5" s="958">
        <v>4431</v>
      </c>
      <c r="D5" s="958"/>
      <c r="E5" s="958"/>
      <c r="F5" s="958"/>
      <c r="G5" s="958"/>
      <c r="H5" s="958"/>
      <c r="I5" s="958"/>
    </row>
    <row r="6" spans="1:9" x14ac:dyDescent="0.25">
      <c r="A6" s="198" t="s">
        <v>364</v>
      </c>
      <c r="B6" s="199"/>
      <c r="C6" s="958" t="s">
        <v>12</v>
      </c>
      <c r="D6" s="958"/>
      <c r="E6" s="46" t="s">
        <v>365</v>
      </c>
      <c r="F6" s="309">
        <v>46022</v>
      </c>
      <c r="G6" s="199" t="s">
        <v>465</v>
      </c>
      <c r="H6" s="1141">
        <v>12</v>
      </c>
      <c r="I6" s="1141"/>
    </row>
    <row r="7" spans="1:9" x14ac:dyDescent="0.25">
      <c r="A7" s="200" t="s">
        <v>367</v>
      </c>
      <c r="B7" s="201"/>
      <c r="C7" s="957" t="s">
        <v>8</v>
      </c>
      <c r="D7" s="957"/>
      <c r="E7" s="199"/>
      <c r="F7" s="199"/>
      <c r="G7" s="199"/>
      <c r="H7" s="199"/>
      <c r="I7" s="196"/>
    </row>
    <row r="8" spans="1:9" x14ac:dyDescent="0.25">
      <c r="A8" s="199" t="s">
        <v>466</v>
      </c>
      <c r="B8" s="199"/>
      <c r="C8" s="958" t="s">
        <v>34</v>
      </c>
      <c r="D8" s="958"/>
      <c r="E8" s="958"/>
      <c r="F8" s="958"/>
      <c r="G8" s="958"/>
      <c r="H8" s="958"/>
      <c r="I8" s="958"/>
    </row>
    <row r="9" spans="1:9" x14ac:dyDescent="0.25">
      <c r="A9" s="199"/>
      <c r="B9" s="199"/>
      <c r="C9" s="957">
        <v>555555</v>
      </c>
      <c r="D9" s="957"/>
      <c r="E9" s="957"/>
      <c r="F9" s="957"/>
      <c r="G9" s="957"/>
      <c r="H9" s="957"/>
      <c r="I9" s="957"/>
    </row>
    <row r="10" spans="1:9" x14ac:dyDescent="0.25">
      <c r="A10" s="199" t="s">
        <v>467</v>
      </c>
      <c r="B10" s="199"/>
      <c r="C10" s="958" t="s">
        <v>38</v>
      </c>
      <c r="D10" s="958"/>
      <c r="E10" s="770" t="s">
        <v>468</v>
      </c>
      <c r="F10" s="770"/>
      <c r="G10" s="958" t="s">
        <v>36</v>
      </c>
      <c r="H10" s="958"/>
      <c r="I10" s="958"/>
    </row>
    <row r="11" spans="1:9" x14ac:dyDescent="0.25">
      <c r="A11" s="199" t="s">
        <v>469</v>
      </c>
      <c r="B11" s="199"/>
      <c r="C11" s="954">
        <v>44713</v>
      </c>
      <c r="D11" s="954"/>
      <c r="E11" s="975" t="s">
        <v>470</v>
      </c>
      <c r="F11" s="975"/>
      <c r="G11" s="1142">
        <v>45991</v>
      </c>
      <c r="H11" s="1142"/>
      <c r="I11" s="1142"/>
    </row>
    <row r="12" spans="1:9" ht="7.15" customHeight="1" x14ac:dyDescent="0.25"/>
    <row r="13" spans="1:9" x14ac:dyDescent="0.25">
      <c r="A13" s="1143" t="s">
        <v>868</v>
      </c>
      <c r="B13" s="1143"/>
      <c r="C13" s="1143"/>
      <c r="D13" s="1143"/>
      <c r="E13" s="1143"/>
      <c r="F13" s="1143"/>
      <c r="G13" s="1143"/>
      <c r="H13" s="1143"/>
      <c r="I13" s="1143"/>
    </row>
    <row r="14" spans="1:9" ht="7.15" customHeight="1" x14ac:dyDescent="0.25">
      <c r="A14" s="241"/>
      <c r="B14" s="241"/>
      <c r="C14" s="241"/>
      <c r="D14" s="241"/>
      <c r="E14" s="241"/>
      <c r="F14" s="241"/>
      <c r="G14" s="241"/>
      <c r="H14" s="241"/>
      <c r="I14" s="241"/>
    </row>
    <row r="15" spans="1:9" x14ac:dyDescent="0.25">
      <c r="A15" s="1143" t="s">
        <v>869</v>
      </c>
      <c r="B15" s="1143"/>
      <c r="C15" s="1143"/>
      <c r="D15" s="1143"/>
      <c r="E15" s="1143"/>
      <c r="F15" s="1143"/>
      <c r="G15" s="1143"/>
      <c r="H15" s="1143"/>
      <c r="I15" s="1143"/>
    </row>
    <row r="16" spans="1:9" ht="9.6" customHeight="1" x14ac:dyDescent="0.25">
      <c r="A16" s="1140"/>
      <c r="B16" s="1140"/>
      <c r="C16" s="1140"/>
      <c r="D16" s="1140"/>
      <c r="E16" s="1140"/>
      <c r="F16" s="1140"/>
      <c r="G16" s="1140"/>
      <c r="H16" s="1140"/>
      <c r="I16" s="1140"/>
    </row>
    <row r="17" spans="1:9" x14ac:dyDescent="0.25">
      <c r="A17" s="1112" t="s">
        <v>870</v>
      </c>
      <c r="B17" s="1113"/>
      <c r="C17" s="1113"/>
      <c r="D17" s="1133"/>
      <c r="E17" s="1133"/>
      <c r="F17" s="1133"/>
      <c r="G17" s="1133"/>
      <c r="H17" s="1133"/>
      <c r="I17" s="1134"/>
    </row>
    <row r="18" spans="1:9" x14ac:dyDescent="0.25">
      <c r="A18" s="1112" t="s">
        <v>871</v>
      </c>
      <c r="B18" s="1113"/>
      <c r="C18" s="1113"/>
      <c r="D18" s="1135"/>
      <c r="E18" s="1135"/>
      <c r="F18" s="1135"/>
      <c r="G18" s="1135"/>
      <c r="H18" s="1135"/>
      <c r="I18" s="1136"/>
    </row>
    <row r="19" spans="1:9" ht="22.15" customHeight="1" x14ac:dyDescent="0.25">
      <c r="A19" s="1137" t="s">
        <v>872</v>
      </c>
      <c r="B19" s="1138"/>
      <c r="C19" s="1138"/>
      <c r="D19" s="1138"/>
      <c r="E19" s="1138"/>
      <c r="F19" s="1138"/>
      <c r="G19" s="1138"/>
      <c r="H19" s="1138"/>
      <c r="I19" s="1139"/>
    </row>
    <row r="20" spans="1:9" ht="34.9" customHeight="1" x14ac:dyDescent="0.25">
      <c r="A20" s="1115" t="s">
        <v>873</v>
      </c>
      <c r="B20" s="1116"/>
      <c r="C20" s="1116"/>
      <c r="D20" s="1116"/>
      <c r="E20" s="1116"/>
      <c r="F20" s="1116"/>
      <c r="G20" s="1116"/>
      <c r="H20" s="1116"/>
      <c r="I20" s="1117"/>
    </row>
    <row r="21" spans="1:9" ht="34.9" customHeight="1" x14ac:dyDescent="0.25">
      <c r="A21" s="1118"/>
      <c r="B21" s="1119"/>
      <c r="C21" s="1119"/>
      <c r="D21" s="1119"/>
      <c r="E21" s="1119"/>
      <c r="F21" s="1119"/>
      <c r="G21" s="1119"/>
      <c r="H21" s="1119"/>
      <c r="I21" s="1120"/>
    </row>
    <row r="22" spans="1:9" ht="34.9" customHeight="1" x14ac:dyDescent="0.25">
      <c r="A22" s="1118"/>
      <c r="B22" s="1119"/>
      <c r="C22" s="1119"/>
      <c r="D22" s="1119"/>
      <c r="E22" s="1119"/>
      <c r="F22" s="1119"/>
      <c r="G22" s="1119"/>
      <c r="H22" s="1119"/>
      <c r="I22" s="1120"/>
    </row>
    <row r="23" spans="1:9" ht="34.9" customHeight="1" x14ac:dyDescent="0.25">
      <c r="A23" s="1121"/>
      <c r="B23" s="1122"/>
      <c r="C23" s="1122"/>
      <c r="D23" s="1122"/>
      <c r="E23" s="1122"/>
      <c r="F23" s="1122"/>
      <c r="G23" s="1122"/>
      <c r="H23" s="1122"/>
      <c r="I23" s="1123"/>
    </row>
    <row r="24" spans="1:9" ht="27" customHeight="1" x14ac:dyDescent="0.25">
      <c r="A24" s="1112" t="s">
        <v>874</v>
      </c>
      <c r="B24" s="1113"/>
      <c r="C24" s="1113"/>
      <c r="D24" s="1113"/>
      <c r="E24" s="1113"/>
      <c r="F24" s="1113"/>
      <c r="G24" s="1113"/>
      <c r="H24" s="1113"/>
      <c r="I24" s="1114"/>
    </row>
    <row r="25" spans="1:9" ht="34.9" customHeight="1" x14ac:dyDescent="0.25">
      <c r="A25" s="1115" t="s">
        <v>875</v>
      </c>
      <c r="B25" s="1116"/>
      <c r="C25" s="1116"/>
      <c r="D25" s="1116"/>
      <c r="E25" s="1116"/>
      <c r="F25" s="1116"/>
      <c r="G25" s="1116"/>
      <c r="H25" s="1116"/>
      <c r="I25" s="1117"/>
    </row>
    <row r="26" spans="1:9" ht="34.9" customHeight="1" x14ac:dyDescent="0.25">
      <c r="A26" s="1118"/>
      <c r="B26" s="1119"/>
      <c r="C26" s="1119"/>
      <c r="D26" s="1119"/>
      <c r="E26" s="1119"/>
      <c r="F26" s="1119"/>
      <c r="G26" s="1119"/>
      <c r="H26" s="1119"/>
      <c r="I26" s="1120"/>
    </row>
    <row r="27" spans="1:9" ht="34.9" customHeight="1" x14ac:dyDescent="0.25">
      <c r="A27" s="1118"/>
      <c r="B27" s="1119"/>
      <c r="C27" s="1119"/>
      <c r="D27" s="1119"/>
      <c r="E27" s="1119"/>
      <c r="F27" s="1119"/>
      <c r="G27" s="1119"/>
      <c r="H27" s="1119"/>
      <c r="I27" s="1120"/>
    </row>
    <row r="28" spans="1:9" ht="34.9" customHeight="1" x14ac:dyDescent="0.25">
      <c r="A28" s="1118"/>
      <c r="B28" s="1119"/>
      <c r="C28" s="1119"/>
      <c r="D28" s="1119"/>
      <c r="E28" s="1119"/>
      <c r="F28" s="1119"/>
      <c r="G28" s="1119"/>
      <c r="H28" s="1119"/>
      <c r="I28" s="1120"/>
    </row>
    <row r="29" spans="1:9" ht="34.9" customHeight="1" x14ac:dyDescent="0.25">
      <c r="A29" s="1121"/>
      <c r="B29" s="1122"/>
      <c r="C29" s="1122"/>
      <c r="D29" s="1122"/>
      <c r="E29" s="1122"/>
      <c r="F29" s="1122"/>
      <c r="G29" s="1122"/>
      <c r="H29" s="1122"/>
      <c r="I29" s="1123"/>
    </row>
    <row r="30" spans="1:9" ht="21.6" customHeight="1" x14ac:dyDescent="0.25">
      <c r="A30" s="1112" t="s">
        <v>876</v>
      </c>
      <c r="B30" s="1113"/>
      <c r="C30" s="1113"/>
      <c r="D30" s="1113"/>
      <c r="E30" s="1113"/>
      <c r="F30" s="1113"/>
      <c r="G30" s="1113"/>
      <c r="H30" s="1113"/>
      <c r="I30" s="1114"/>
    </row>
    <row r="31" spans="1:9" ht="34.9" customHeight="1" x14ac:dyDescent="0.25">
      <c r="A31" s="1124" t="s">
        <v>877</v>
      </c>
      <c r="B31" s="1125"/>
      <c r="C31" s="1125"/>
      <c r="D31" s="1125"/>
      <c r="E31" s="1125"/>
      <c r="F31" s="1125"/>
      <c r="G31" s="1125"/>
      <c r="H31" s="1125"/>
      <c r="I31" s="1126"/>
    </row>
    <row r="32" spans="1:9" ht="34.9" customHeight="1" x14ac:dyDescent="0.25">
      <c r="A32" s="1127"/>
      <c r="B32" s="1128"/>
      <c r="C32" s="1128"/>
      <c r="D32" s="1128"/>
      <c r="E32" s="1128"/>
      <c r="F32" s="1128"/>
      <c r="G32" s="1128"/>
      <c r="H32" s="1128"/>
      <c r="I32" s="1129"/>
    </row>
    <row r="33" spans="1:9" ht="34.9" customHeight="1" x14ac:dyDescent="0.25">
      <c r="A33" s="1130"/>
      <c r="B33" s="1131"/>
      <c r="C33" s="1131"/>
      <c r="D33" s="1131"/>
      <c r="E33" s="1131"/>
      <c r="F33" s="1131"/>
      <c r="G33" s="1131"/>
      <c r="H33" s="1131"/>
      <c r="I33" s="1132"/>
    </row>
  </sheetData>
  <mergeCells count="30">
    <mergeCell ref="C5:I5"/>
    <mergeCell ref="A2:B2"/>
    <mergeCell ref="C2:I2"/>
    <mergeCell ref="A3:B3"/>
    <mergeCell ref="C3:I3"/>
    <mergeCell ref="C4:I4"/>
    <mergeCell ref="A16:I16"/>
    <mergeCell ref="C6:D6"/>
    <mergeCell ref="H6:I6"/>
    <mergeCell ref="C7:D7"/>
    <mergeCell ref="C8:I8"/>
    <mergeCell ref="C9:I9"/>
    <mergeCell ref="C10:D10"/>
    <mergeCell ref="E10:F10"/>
    <mergeCell ref="G10:I10"/>
    <mergeCell ref="C11:D11"/>
    <mergeCell ref="E11:F11"/>
    <mergeCell ref="G11:I11"/>
    <mergeCell ref="A13:I13"/>
    <mergeCell ref="A15:I15"/>
    <mergeCell ref="A24:I24"/>
    <mergeCell ref="A25:I29"/>
    <mergeCell ref="A30:I30"/>
    <mergeCell ref="A31:I33"/>
    <mergeCell ref="A17:C17"/>
    <mergeCell ref="D17:I17"/>
    <mergeCell ref="A18:C18"/>
    <mergeCell ref="D18:I18"/>
    <mergeCell ref="A19:I19"/>
    <mergeCell ref="A20:I23"/>
  </mergeCells>
  <pageMargins left="0.7" right="0.7" top="0.75" bottom="0.75" header="0.3" footer="0.3"/>
  <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B15B29-0072-45E4-B96F-2A0EA5293893}">
  <dimension ref="A2:I31"/>
  <sheetViews>
    <sheetView workbookViewId="0">
      <selection activeCell="F13" sqref="A1:XFD1048576"/>
    </sheetView>
  </sheetViews>
  <sheetFormatPr baseColWidth="10" defaultRowHeight="15" x14ac:dyDescent="0.25"/>
  <cols>
    <col min="1" max="1" width="18.28515625" customWidth="1"/>
    <col min="2" max="2" width="12.7109375" customWidth="1"/>
    <col min="3" max="3" width="6.28515625" customWidth="1"/>
    <col min="4" max="4" width="13.7109375" customWidth="1"/>
    <col min="5" max="5" width="18" customWidth="1"/>
    <col min="6" max="6" width="16.28515625" customWidth="1"/>
    <col min="7" max="7" width="16.7109375" customWidth="1"/>
    <col min="8" max="8" width="4.28515625" customWidth="1"/>
    <col min="9" max="9" width="5.140625" customWidth="1"/>
  </cols>
  <sheetData>
    <row r="2" spans="1:9" x14ac:dyDescent="0.25">
      <c r="A2" s="961" t="s">
        <v>464</v>
      </c>
      <c r="B2" s="961"/>
      <c r="C2" s="958" t="s">
        <v>2</v>
      </c>
      <c r="D2" s="958"/>
      <c r="E2" s="958"/>
      <c r="F2" s="958"/>
      <c r="G2" s="958"/>
      <c r="H2" s="958"/>
      <c r="I2" s="958"/>
    </row>
    <row r="3" spans="1:9" x14ac:dyDescent="0.25">
      <c r="A3" s="961"/>
      <c r="B3" s="961"/>
      <c r="C3" s="958" t="s">
        <v>4</v>
      </c>
      <c r="D3" s="958"/>
      <c r="E3" s="958"/>
      <c r="F3" s="958"/>
      <c r="G3" s="958"/>
      <c r="H3" s="958"/>
      <c r="I3" s="958"/>
    </row>
    <row r="4" spans="1:9" x14ac:dyDescent="0.25">
      <c r="A4" s="198" t="s">
        <v>362</v>
      </c>
      <c r="B4" s="199"/>
      <c r="C4" s="958" t="s">
        <v>6</v>
      </c>
      <c r="D4" s="958"/>
      <c r="E4" s="958"/>
      <c r="F4" s="958"/>
      <c r="G4" s="958"/>
      <c r="H4" s="958"/>
      <c r="I4" s="958"/>
    </row>
    <row r="5" spans="1:9" x14ac:dyDescent="0.25">
      <c r="A5" s="198" t="s">
        <v>363</v>
      </c>
      <c r="B5" s="199"/>
      <c r="C5" s="958">
        <v>4431</v>
      </c>
      <c r="D5" s="958"/>
      <c r="E5" s="958"/>
      <c r="F5" s="958"/>
      <c r="G5" s="958"/>
      <c r="H5" s="958"/>
      <c r="I5" s="958"/>
    </row>
    <row r="6" spans="1:9" x14ac:dyDescent="0.25">
      <c r="A6" s="198" t="s">
        <v>364</v>
      </c>
      <c r="B6" s="199"/>
      <c r="C6" s="958" t="s">
        <v>12</v>
      </c>
      <c r="D6" s="958"/>
      <c r="E6" s="46" t="s">
        <v>365</v>
      </c>
      <c r="F6" s="309">
        <v>46022</v>
      </c>
      <c r="G6" s="199" t="s">
        <v>465</v>
      </c>
      <c r="H6" s="1141">
        <v>12</v>
      </c>
      <c r="I6" s="1141"/>
    </row>
    <row r="7" spans="1:9" x14ac:dyDescent="0.25">
      <c r="A7" s="200" t="s">
        <v>367</v>
      </c>
      <c r="B7" s="201"/>
      <c r="C7" s="957" t="s">
        <v>8</v>
      </c>
      <c r="D7" s="957"/>
      <c r="E7" s="199"/>
      <c r="F7" s="199"/>
      <c r="G7" s="199"/>
      <c r="H7" s="199"/>
      <c r="I7" s="196"/>
    </row>
    <row r="8" spans="1:9" x14ac:dyDescent="0.25">
      <c r="A8" s="199" t="s">
        <v>466</v>
      </c>
      <c r="B8" s="199"/>
      <c r="C8" s="958" t="s">
        <v>34</v>
      </c>
      <c r="D8" s="958"/>
      <c r="E8" s="958"/>
      <c r="F8" s="958"/>
      <c r="G8" s="958"/>
      <c r="H8" s="958"/>
      <c r="I8" s="958"/>
    </row>
    <row r="9" spans="1:9" x14ac:dyDescent="0.25">
      <c r="A9" s="199"/>
      <c r="B9" s="199"/>
      <c r="C9" s="957">
        <v>555555</v>
      </c>
      <c r="D9" s="957"/>
      <c r="E9" s="957"/>
      <c r="F9" s="957"/>
      <c r="G9" s="957"/>
      <c r="H9" s="957"/>
      <c r="I9" s="957"/>
    </row>
    <row r="10" spans="1:9" x14ac:dyDescent="0.25">
      <c r="A10" s="199" t="s">
        <v>467</v>
      </c>
      <c r="B10" s="199"/>
      <c r="C10" s="958" t="s">
        <v>38</v>
      </c>
      <c r="D10" s="958"/>
      <c r="E10" s="770" t="s">
        <v>468</v>
      </c>
      <c r="F10" s="770"/>
      <c r="G10" s="958" t="s">
        <v>36</v>
      </c>
      <c r="H10" s="958"/>
      <c r="I10" s="958"/>
    </row>
    <row r="11" spans="1:9" x14ac:dyDescent="0.25">
      <c r="A11" s="199" t="s">
        <v>469</v>
      </c>
      <c r="B11" s="199"/>
      <c r="C11" s="954">
        <v>44713</v>
      </c>
      <c r="D11" s="954"/>
      <c r="E11" s="975" t="s">
        <v>470</v>
      </c>
      <c r="F11" s="975"/>
      <c r="G11" s="1142">
        <v>45991</v>
      </c>
      <c r="H11" s="1142"/>
      <c r="I11" s="1142"/>
    </row>
    <row r="12" spans="1:9" ht="8.4499999999999993" customHeight="1" x14ac:dyDescent="0.25"/>
    <row r="13" spans="1:9" x14ac:dyDescent="0.25">
      <c r="A13" s="1143" t="s">
        <v>878</v>
      </c>
      <c r="B13" s="1143"/>
      <c r="C13" s="1143"/>
      <c r="D13" s="1143"/>
      <c r="E13" s="1143"/>
      <c r="F13" s="1143"/>
      <c r="G13" s="1143"/>
      <c r="H13" s="1143"/>
      <c r="I13" s="1143"/>
    </row>
    <row r="14" spans="1:9" ht="8.4499999999999993" customHeight="1" x14ac:dyDescent="0.25">
      <c r="A14" s="241"/>
      <c r="B14" s="241"/>
      <c r="C14" s="241"/>
      <c r="D14" s="241"/>
      <c r="E14" s="241"/>
      <c r="F14" s="241"/>
      <c r="G14" s="241"/>
      <c r="H14" s="241"/>
      <c r="I14" s="241"/>
    </row>
    <row r="15" spans="1:9" x14ac:dyDescent="0.25">
      <c r="A15" s="1143" t="s">
        <v>879</v>
      </c>
      <c r="B15" s="1143"/>
      <c r="C15" s="1143"/>
      <c r="D15" s="1143"/>
      <c r="E15" s="1143"/>
      <c r="F15" s="1143"/>
      <c r="G15" s="1143"/>
      <c r="H15" s="1143"/>
      <c r="I15" s="1143"/>
    </row>
    <row r="16" spans="1:9" x14ac:dyDescent="0.25">
      <c r="A16" s="1140"/>
      <c r="B16" s="1140"/>
      <c r="C16" s="1140"/>
      <c r="D16" s="1140"/>
      <c r="E16" s="1140"/>
      <c r="F16" s="1140"/>
      <c r="G16" s="1140"/>
      <c r="H16" s="1140"/>
      <c r="I16" s="1140"/>
    </row>
    <row r="17" spans="1:9" x14ac:dyDescent="0.25">
      <c r="A17" s="1144" t="s">
        <v>880</v>
      </c>
      <c r="B17" s="1145"/>
      <c r="C17" s="1145"/>
      <c r="D17" s="1145"/>
      <c r="E17" s="1145"/>
      <c r="F17" s="1145"/>
      <c r="G17" s="1145"/>
      <c r="H17" s="1145"/>
      <c r="I17" s="1146"/>
    </row>
    <row r="18" spans="1:9" x14ac:dyDescent="0.25">
      <c r="A18" s="1147" t="s">
        <v>881</v>
      </c>
      <c r="B18" s="1148"/>
      <c r="C18" s="1148"/>
      <c r="D18" s="1148"/>
      <c r="E18" s="1148"/>
      <c r="F18" s="1148"/>
      <c r="G18" s="1148"/>
      <c r="H18" s="1148"/>
      <c r="I18" s="1149"/>
    </row>
    <row r="19" spans="1:9" ht="82.15" customHeight="1" x14ac:dyDescent="0.25">
      <c r="A19" s="1115" t="s">
        <v>882</v>
      </c>
      <c r="B19" s="1116"/>
      <c r="C19" s="1116"/>
      <c r="D19" s="1116"/>
      <c r="E19" s="1116"/>
      <c r="F19" s="1116"/>
      <c r="G19" s="1116"/>
      <c r="H19" s="1116"/>
      <c r="I19" s="1117"/>
    </row>
    <row r="20" spans="1:9" ht="82.15" customHeight="1" x14ac:dyDescent="0.25">
      <c r="A20" s="1118"/>
      <c r="B20" s="1119"/>
      <c r="C20" s="1119"/>
      <c r="D20" s="1119"/>
      <c r="E20" s="1119"/>
      <c r="F20" s="1119"/>
      <c r="G20" s="1119"/>
      <c r="H20" s="1119"/>
      <c r="I20" s="1120"/>
    </row>
    <row r="21" spans="1:9" x14ac:dyDescent="0.25">
      <c r="A21" s="1147" t="s">
        <v>883</v>
      </c>
      <c r="B21" s="1148"/>
      <c r="C21" s="1148"/>
      <c r="D21" s="1148"/>
      <c r="E21" s="1148"/>
      <c r="F21" s="1148"/>
      <c r="G21" s="1148"/>
      <c r="H21" s="1148"/>
      <c r="I21" s="1149"/>
    </row>
    <row r="22" spans="1:9" ht="76.150000000000006" customHeight="1" x14ac:dyDescent="0.25">
      <c r="A22" s="1115" t="s">
        <v>884</v>
      </c>
      <c r="B22" s="1116"/>
      <c r="C22" s="1116"/>
      <c r="D22" s="1116"/>
      <c r="E22" s="1116"/>
      <c r="F22" s="1116"/>
      <c r="G22" s="1116"/>
      <c r="H22" s="1116"/>
      <c r="I22" s="1117"/>
    </row>
    <row r="23" spans="1:9" ht="76.150000000000006" customHeight="1" x14ac:dyDescent="0.25">
      <c r="A23" s="1121"/>
      <c r="B23" s="1122"/>
      <c r="C23" s="1122"/>
      <c r="D23" s="1122"/>
      <c r="E23" s="1122"/>
      <c r="F23" s="1122"/>
      <c r="G23" s="1122"/>
      <c r="H23" s="1122"/>
      <c r="I23" s="1123"/>
    </row>
    <row r="24" spans="1:9" x14ac:dyDescent="0.25">
      <c r="A24" s="1144" t="s">
        <v>885</v>
      </c>
      <c r="B24" s="1145"/>
      <c r="C24" s="1145"/>
      <c r="D24" s="1145"/>
      <c r="E24" s="1145"/>
      <c r="F24" s="1145"/>
      <c r="G24" s="1145"/>
      <c r="H24" s="1145"/>
      <c r="I24" s="1146"/>
    </row>
    <row r="25" spans="1:9" ht="26.45" customHeight="1" x14ac:dyDescent="0.25">
      <c r="A25" s="1115" t="s">
        <v>886</v>
      </c>
      <c r="B25" s="1116"/>
      <c r="C25" s="1116"/>
      <c r="D25" s="1116"/>
      <c r="E25" s="1116"/>
      <c r="F25" s="1116"/>
      <c r="G25" s="1116"/>
      <c r="H25" s="1116"/>
      <c r="I25" s="1117"/>
    </row>
    <row r="26" spans="1:9" ht="26.45" customHeight="1" x14ac:dyDescent="0.25">
      <c r="A26" s="1118"/>
      <c r="B26" s="1119"/>
      <c r="C26" s="1119"/>
      <c r="D26" s="1119"/>
      <c r="E26" s="1119"/>
      <c r="F26" s="1119"/>
      <c r="G26" s="1119"/>
      <c r="H26" s="1119"/>
      <c r="I26" s="1120"/>
    </row>
    <row r="27" spans="1:9" ht="26.45" customHeight="1" x14ac:dyDescent="0.25">
      <c r="A27" s="1121"/>
      <c r="B27" s="1122"/>
      <c r="C27" s="1122"/>
      <c r="D27" s="1122"/>
      <c r="E27" s="1122"/>
      <c r="F27" s="1122"/>
      <c r="G27" s="1122"/>
      <c r="H27" s="1122"/>
      <c r="I27" s="1123"/>
    </row>
    <row r="28" spans="1:9" x14ac:dyDescent="0.25">
      <c r="A28" s="1144" t="s">
        <v>887</v>
      </c>
      <c r="B28" s="1145"/>
      <c r="C28" s="1145"/>
      <c r="D28" s="1145"/>
      <c r="E28" s="1145"/>
      <c r="F28" s="1145"/>
      <c r="G28" s="1145"/>
      <c r="H28" s="1145"/>
      <c r="I28" s="1146"/>
    </row>
    <row r="29" spans="1:9" ht="27" customHeight="1" x14ac:dyDescent="0.25">
      <c r="A29" s="1124" t="s">
        <v>888</v>
      </c>
      <c r="B29" s="1125"/>
      <c r="C29" s="1125"/>
      <c r="D29" s="1125"/>
      <c r="E29" s="1125"/>
      <c r="F29" s="1125"/>
      <c r="G29" s="1125"/>
      <c r="H29" s="1125"/>
      <c r="I29" s="1126"/>
    </row>
    <row r="30" spans="1:9" ht="27" customHeight="1" x14ac:dyDescent="0.25">
      <c r="A30" s="1127"/>
      <c r="B30" s="1128"/>
      <c r="C30" s="1128"/>
      <c r="D30" s="1128"/>
      <c r="E30" s="1128"/>
      <c r="F30" s="1128"/>
      <c r="G30" s="1128"/>
      <c r="H30" s="1128"/>
      <c r="I30" s="1129"/>
    </row>
    <row r="31" spans="1:9" ht="27" customHeight="1" x14ac:dyDescent="0.25">
      <c r="A31" s="1130"/>
      <c r="B31" s="1131"/>
      <c r="C31" s="1131"/>
      <c r="D31" s="1131"/>
      <c r="E31" s="1131"/>
      <c r="F31" s="1131"/>
      <c r="G31" s="1131"/>
      <c r="H31" s="1131"/>
      <c r="I31" s="1132"/>
    </row>
  </sheetData>
  <mergeCells count="29">
    <mergeCell ref="C5:I5"/>
    <mergeCell ref="A2:B2"/>
    <mergeCell ref="C2:I2"/>
    <mergeCell ref="A3:B3"/>
    <mergeCell ref="C3:I3"/>
    <mergeCell ref="C4:I4"/>
    <mergeCell ref="A16:I16"/>
    <mergeCell ref="C6:D6"/>
    <mergeCell ref="H6:I6"/>
    <mergeCell ref="C7:D7"/>
    <mergeCell ref="C8:I8"/>
    <mergeCell ref="C9:I9"/>
    <mergeCell ref="C10:D10"/>
    <mergeCell ref="E10:F10"/>
    <mergeCell ref="G10:I10"/>
    <mergeCell ref="C11:D11"/>
    <mergeCell ref="E11:F11"/>
    <mergeCell ref="G11:I11"/>
    <mergeCell ref="A13:I13"/>
    <mergeCell ref="A15:I15"/>
    <mergeCell ref="A25:I27"/>
    <mergeCell ref="A28:I28"/>
    <mergeCell ref="A29:I31"/>
    <mergeCell ref="A17:I17"/>
    <mergeCell ref="A18:I18"/>
    <mergeCell ref="A19:I20"/>
    <mergeCell ref="A21:I21"/>
    <mergeCell ref="A22:I23"/>
    <mergeCell ref="A24:I24"/>
  </mergeCells>
  <pageMargins left="0.7" right="0.7" top="0.75" bottom="0.75" header="0.3" footer="0.3"/>
  <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D9A4E4-A618-4196-818A-9D38045FCBC8}">
  <dimension ref="A2:I39"/>
  <sheetViews>
    <sheetView workbookViewId="0">
      <selection activeCell="B17" sqref="B17:B20"/>
    </sheetView>
  </sheetViews>
  <sheetFormatPr baseColWidth="10" defaultRowHeight="15" x14ac:dyDescent="0.25"/>
  <cols>
    <col min="1" max="1" width="39.85546875" customWidth="1"/>
    <col min="2" max="3" width="13.85546875" customWidth="1"/>
    <col min="4" max="4" width="12.7109375" customWidth="1"/>
    <col min="5" max="5" width="15.28515625" customWidth="1"/>
    <col min="6" max="6" width="14" customWidth="1"/>
    <col min="7" max="7" width="19.85546875" customWidth="1"/>
    <col min="8" max="8" width="8.140625" customWidth="1"/>
  </cols>
  <sheetData>
    <row r="2" spans="1:9" x14ac:dyDescent="0.25">
      <c r="A2" s="237" t="s">
        <v>464</v>
      </c>
      <c r="B2" s="958" t="s">
        <v>2</v>
      </c>
      <c r="C2" s="958"/>
      <c r="D2" s="958"/>
      <c r="E2" s="958"/>
      <c r="F2" s="958"/>
      <c r="G2" s="958"/>
      <c r="H2" s="958"/>
      <c r="I2" s="958"/>
    </row>
    <row r="3" spans="1:9" x14ac:dyDescent="0.25">
      <c r="A3" s="237"/>
      <c r="B3" s="957" t="s">
        <v>4</v>
      </c>
      <c r="C3" s="957"/>
      <c r="D3" s="957"/>
      <c r="E3" s="957"/>
      <c r="F3" s="957"/>
      <c r="G3" s="957"/>
      <c r="H3" s="957"/>
      <c r="I3" s="957"/>
    </row>
    <row r="4" spans="1:9" x14ac:dyDescent="0.25">
      <c r="A4" s="237" t="s">
        <v>362</v>
      </c>
      <c r="B4" s="957" t="s">
        <v>6</v>
      </c>
      <c r="C4" s="957"/>
      <c r="D4" s="957"/>
      <c r="E4" s="957"/>
      <c r="F4" s="957"/>
      <c r="G4" s="957"/>
      <c r="H4" s="957"/>
      <c r="I4" s="957"/>
    </row>
    <row r="5" spans="1:9" x14ac:dyDescent="0.25">
      <c r="A5" s="237" t="s">
        <v>363</v>
      </c>
      <c r="B5" s="957">
        <v>4431</v>
      </c>
      <c r="C5" s="957"/>
      <c r="D5" s="957"/>
      <c r="E5" s="957"/>
      <c r="F5" s="957"/>
      <c r="G5" s="957"/>
      <c r="H5" s="957"/>
      <c r="I5" s="957"/>
    </row>
    <row r="6" spans="1:9" x14ac:dyDescent="0.25">
      <c r="A6" s="237" t="s">
        <v>364</v>
      </c>
      <c r="B6" s="957" t="s">
        <v>12</v>
      </c>
      <c r="C6" s="957"/>
      <c r="D6" s="959" t="s">
        <v>365</v>
      </c>
      <c r="E6" s="959"/>
      <c r="F6" s="309">
        <v>46022</v>
      </c>
      <c r="G6" s="46" t="s">
        <v>465</v>
      </c>
      <c r="H6" s="1169">
        <v>12</v>
      </c>
      <c r="I6" s="1169"/>
    </row>
    <row r="7" spans="1:9" x14ac:dyDescent="0.25">
      <c r="A7" s="311" t="s">
        <v>367</v>
      </c>
      <c r="B7" s="958" t="s">
        <v>8</v>
      </c>
      <c r="C7" s="958"/>
      <c r="D7" s="958"/>
      <c r="E7" s="199"/>
      <c r="F7" s="199"/>
      <c r="G7" s="199"/>
      <c r="H7" s="199"/>
      <c r="I7" s="196"/>
    </row>
    <row r="8" spans="1:9" x14ac:dyDescent="0.25">
      <c r="A8" s="238" t="s">
        <v>466</v>
      </c>
      <c r="B8" s="958" t="s">
        <v>34</v>
      </c>
      <c r="C8" s="958"/>
      <c r="D8" s="958"/>
      <c r="E8" s="958"/>
      <c r="F8" s="958"/>
      <c r="G8" s="958"/>
      <c r="H8" s="958"/>
      <c r="I8" s="958"/>
    </row>
    <row r="9" spans="1:9" x14ac:dyDescent="0.25">
      <c r="A9" s="238"/>
      <c r="B9" s="235"/>
      <c r="C9" s="957">
        <v>555555</v>
      </c>
      <c r="D9" s="957"/>
      <c r="E9" s="957"/>
      <c r="F9" s="957"/>
      <c r="G9" s="957"/>
      <c r="H9" s="957"/>
      <c r="I9" s="957"/>
    </row>
    <row r="10" spans="1:9" x14ac:dyDescent="0.25">
      <c r="A10" s="238" t="s">
        <v>467</v>
      </c>
      <c r="B10" s="957" t="s">
        <v>38</v>
      </c>
      <c r="C10" s="957"/>
      <c r="D10" s="957"/>
      <c r="E10" s="770" t="s">
        <v>468</v>
      </c>
      <c r="F10" s="770"/>
      <c r="G10" s="958" t="s">
        <v>36</v>
      </c>
      <c r="H10" s="958"/>
      <c r="I10" s="958"/>
    </row>
    <row r="11" spans="1:9" x14ac:dyDescent="0.25">
      <c r="A11" s="238" t="s">
        <v>469</v>
      </c>
      <c r="B11" s="954">
        <v>44713</v>
      </c>
      <c r="C11" s="954"/>
      <c r="D11" s="954"/>
      <c r="E11" s="975" t="s">
        <v>470</v>
      </c>
      <c r="F11" s="975"/>
      <c r="G11" s="1142">
        <v>45991</v>
      </c>
      <c r="H11" s="1142"/>
      <c r="I11" s="1142"/>
    </row>
    <row r="12" spans="1:9" ht="5.45" customHeight="1" x14ac:dyDescent="0.25">
      <c r="A12" s="312"/>
      <c r="B12" s="312"/>
      <c r="C12" s="312"/>
      <c r="D12" s="312"/>
      <c r="E12" s="312"/>
      <c r="F12" s="312"/>
      <c r="G12" s="312"/>
      <c r="H12" s="312"/>
    </row>
    <row r="13" spans="1:9" x14ac:dyDescent="0.25">
      <c r="A13" s="1160" t="s">
        <v>889</v>
      </c>
      <c r="B13" s="1160"/>
      <c r="C13" s="1160"/>
      <c r="D13" s="1160"/>
      <c r="E13" s="1160"/>
      <c r="F13" s="1160"/>
      <c r="G13" s="1160"/>
      <c r="H13" s="1160"/>
      <c r="I13" s="1160"/>
    </row>
    <row r="14" spans="1:9" x14ac:dyDescent="0.25">
      <c r="A14" s="1161" t="s">
        <v>890</v>
      </c>
      <c r="B14" s="1161"/>
      <c r="C14" s="1161"/>
      <c r="D14" s="1161"/>
      <c r="E14" s="1161"/>
      <c r="F14" s="1161"/>
      <c r="G14" s="1161"/>
      <c r="H14" s="1161"/>
      <c r="I14" s="1161"/>
    </row>
    <row r="15" spans="1:9" ht="8.4499999999999993" customHeight="1" x14ac:dyDescent="0.25">
      <c r="A15" s="313"/>
      <c r="B15" s="313"/>
      <c r="C15" s="313"/>
      <c r="D15" s="313"/>
      <c r="E15" s="313"/>
      <c r="F15" s="314"/>
      <c r="G15" s="314"/>
      <c r="H15" s="314"/>
      <c r="I15" s="315"/>
    </row>
    <row r="16" spans="1:9" x14ac:dyDescent="0.25">
      <c r="A16" s="1162" t="s">
        <v>891</v>
      </c>
      <c r="B16" s="316" t="s">
        <v>665</v>
      </c>
      <c r="C16" s="1165" t="s">
        <v>892</v>
      </c>
      <c r="D16" s="1166"/>
      <c r="E16" s="1167"/>
      <c r="F16" s="1168" t="s">
        <v>893</v>
      </c>
      <c r="G16" s="1168"/>
      <c r="H16" s="1168" t="s">
        <v>894</v>
      </c>
      <c r="I16" s="1168"/>
    </row>
    <row r="17" spans="1:9" ht="23.45" customHeight="1" x14ac:dyDescent="0.25">
      <c r="A17" s="1163"/>
      <c r="B17" s="1157" t="s">
        <v>895</v>
      </c>
      <c r="C17" s="1155" t="s">
        <v>896</v>
      </c>
      <c r="D17" s="1155" t="s">
        <v>897</v>
      </c>
      <c r="E17" s="1155" t="s">
        <v>898</v>
      </c>
      <c r="F17" s="1155" t="s">
        <v>899</v>
      </c>
      <c r="G17" s="1155" t="s">
        <v>897</v>
      </c>
      <c r="H17" s="1157" t="s">
        <v>900</v>
      </c>
      <c r="I17" s="1157"/>
    </row>
    <row r="18" spans="1:9" ht="23.45" customHeight="1" x14ac:dyDescent="0.25">
      <c r="A18" s="1163"/>
      <c r="B18" s="1157"/>
      <c r="C18" s="1155"/>
      <c r="D18" s="1155"/>
      <c r="E18" s="1155"/>
      <c r="F18" s="1156"/>
      <c r="G18" s="1155"/>
      <c r="H18" s="1157"/>
      <c r="I18" s="1157"/>
    </row>
    <row r="19" spans="1:9" ht="23.45" customHeight="1" x14ac:dyDescent="0.25">
      <c r="A19" s="1163"/>
      <c r="B19" s="1157"/>
      <c r="C19" s="1155"/>
      <c r="D19" s="1155"/>
      <c r="E19" s="1155"/>
      <c r="F19" s="1156"/>
      <c r="G19" s="1155"/>
      <c r="H19" s="1157"/>
      <c r="I19" s="1157"/>
    </row>
    <row r="20" spans="1:9" ht="12" customHeight="1" x14ac:dyDescent="0.25">
      <c r="A20" s="1164"/>
      <c r="B20" s="1157"/>
      <c r="C20" s="1155"/>
      <c r="D20" s="1155"/>
      <c r="E20" s="1155"/>
      <c r="F20" s="1156"/>
      <c r="G20" s="1155"/>
      <c r="H20" s="1157"/>
      <c r="I20" s="1157"/>
    </row>
    <row r="21" spans="1:9" x14ac:dyDescent="0.25">
      <c r="A21" s="319" t="s">
        <v>901</v>
      </c>
      <c r="B21" s="320">
        <v>0</v>
      </c>
      <c r="C21" s="320">
        <v>0</v>
      </c>
      <c r="D21" s="320">
        <v>0</v>
      </c>
      <c r="E21" s="320">
        <v>0</v>
      </c>
      <c r="F21" s="320">
        <v>0</v>
      </c>
      <c r="G21" s="320">
        <v>0</v>
      </c>
      <c r="H21" s="1158">
        <v>0</v>
      </c>
      <c r="I21" s="1159"/>
    </row>
    <row r="22" spans="1:9" x14ac:dyDescent="0.25">
      <c r="A22" s="321" t="s">
        <v>902</v>
      </c>
      <c r="B22" s="322">
        <v>0</v>
      </c>
      <c r="C22" s="323"/>
      <c r="D22" s="323"/>
      <c r="E22" s="323"/>
      <c r="F22" s="323"/>
      <c r="G22" s="324"/>
      <c r="H22" s="1151">
        <v>0</v>
      </c>
      <c r="I22" s="1151"/>
    </row>
    <row r="23" spans="1:9" x14ac:dyDescent="0.25">
      <c r="A23" s="321" t="s">
        <v>903</v>
      </c>
      <c r="B23" s="325">
        <v>0</v>
      </c>
      <c r="C23" s="326"/>
      <c r="D23" s="326"/>
      <c r="E23" s="326"/>
      <c r="F23" s="326"/>
      <c r="G23" s="327"/>
      <c r="H23" s="1151">
        <v>0</v>
      </c>
      <c r="I23" s="1151"/>
    </row>
    <row r="24" spans="1:9" x14ac:dyDescent="0.25">
      <c r="A24" s="321" t="s">
        <v>501</v>
      </c>
      <c r="B24" s="328">
        <v>0</v>
      </c>
      <c r="C24" s="329"/>
      <c r="D24" s="329"/>
      <c r="E24" s="329"/>
      <c r="F24" s="329"/>
      <c r="G24" s="330"/>
      <c r="H24" s="1151">
        <v>0</v>
      </c>
      <c r="I24" s="1151"/>
    </row>
    <row r="25" spans="1:9" x14ac:dyDescent="0.25">
      <c r="A25" s="319" t="s">
        <v>904</v>
      </c>
      <c r="B25" s="320">
        <v>0</v>
      </c>
      <c r="C25" s="320">
        <v>0</v>
      </c>
      <c r="D25" s="320">
        <v>0</v>
      </c>
      <c r="E25" s="320">
        <v>0</v>
      </c>
      <c r="F25" s="320">
        <v>0</v>
      </c>
      <c r="G25" s="320">
        <v>0</v>
      </c>
      <c r="H25" s="1152">
        <v>0</v>
      </c>
      <c r="I25" s="1152"/>
    </row>
    <row r="26" spans="1:9" x14ac:dyDescent="0.25">
      <c r="A26" s="321" t="s">
        <v>513</v>
      </c>
      <c r="B26" s="322">
        <v>0</v>
      </c>
      <c r="C26" s="323"/>
      <c r="D26" s="323"/>
      <c r="E26" s="323"/>
      <c r="F26" s="323"/>
      <c r="G26" s="324"/>
      <c r="H26" s="1151">
        <v>0</v>
      </c>
      <c r="I26" s="1151"/>
    </row>
    <row r="27" spans="1:9" x14ac:dyDescent="0.25">
      <c r="A27" s="321" t="s">
        <v>518</v>
      </c>
      <c r="B27" s="325">
        <v>0</v>
      </c>
      <c r="C27" s="326"/>
      <c r="D27" s="326"/>
      <c r="E27" s="326"/>
      <c r="F27" s="326"/>
      <c r="G27" s="327"/>
      <c r="H27" s="1151">
        <v>0</v>
      </c>
      <c r="I27" s="1151"/>
    </row>
    <row r="28" spans="1:9" x14ac:dyDescent="0.25">
      <c r="A28" s="321" t="s">
        <v>905</v>
      </c>
      <c r="B28" s="328">
        <v>0</v>
      </c>
      <c r="C28" s="329"/>
      <c r="D28" s="329"/>
      <c r="E28" s="329"/>
      <c r="F28" s="329"/>
      <c r="G28" s="330"/>
      <c r="H28" s="1151">
        <v>0</v>
      </c>
      <c r="I28" s="1151"/>
    </row>
    <row r="29" spans="1:9" x14ac:dyDescent="0.25">
      <c r="A29" s="319" t="s">
        <v>906</v>
      </c>
      <c r="B29" s="320">
        <v>0</v>
      </c>
      <c r="C29" s="320">
        <v>0</v>
      </c>
      <c r="D29" s="320">
        <v>0</v>
      </c>
      <c r="E29" s="320">
        <v>0</v>
      </c>
      <c r="F29" s="320">
        <v>0</v>
      </c>
      <c r="G29" s="320">
        <v>0</v>
      </c>
      <c r="H29" s="1152">
        <v>0</v>
      </c>
      <c r="I29" s="1152"/>
    </row>
    <row r="30" spans="1:9" x14ac:dyDescent="0.25">
      <c r="A30" s="331" t="s">
        <v>543</v>
      </c>
      <c r="B30" s="322">
        <v>0</v>
      </c>
      <c r="C30" s="323"/>
      <c r="D30" s="323"/>
      <c r="E30" s="323"/>
      <c r="F30" s="323"/>
      <c r="G30" s="324"/>
      <c r="H30" s="1151">
        <v>0</v>
      </c>
      <c r="I30" s="1151"/>
    </row>
    <row r="31" spans="1:9" x14ac:dyDescent="0.25">
      <c r="A31" s="332" t="s">
        <v>548</v>
      </c>
      <c r="B31" s="333">
        <v>0</v>
      </c>
      <c r="C31" s="334"/>
      <c r="D31" s="334"/>
      <c r="E31" s="334"/>
      <c r="F31" s="334"/>
      <c r="G31" s="335"/>
      <c r="H31" s="1151">
        <v>0</v>
      </c>
      <c r="I31" s="1151"/>
    </row>
    <row r="32" spans="1:9" x14ac:dyDescent="0.25">
      <c r="A32" s="336" t="s">
        <v>907</v>
      </c>
      <c r="B32" s="337">
        <v>0</v>
      </c>
      <c r="C32" s="337">
        <v>0</v>
      </c>
      <c r="D32" s="337">
        <v>0</v>
      </c>
      <c r="E32" s="337">
        <v>0</v>
      </c>
      <c r="F32" s="337">
        <v>0</v>
      </c>
      <c r="G32" s="337">
        <v>0</v>
      </c>
      <c r="H32" s="1153">
        <v>0</v>
      </c>
      <c r="I32" s="1154"/>
    </row>
    <row r="33" spans="1:9" ht="9" customHeight="1" x14ac:dyDescent="0.25">
      <c r="A33" s="338"/>
      <c r="B33" s="339"/>
      <c r="C33" s="339"/>
      <c r="D33" s="339"/>
      <c r="E33" s="339"/>
      <c r="F33" s="339"/>
      <c r="G33" s="339"/>
      <c r="H33" s="340"/>
      <c r="I33" s="241"/>
    </row>
    <row r="34" spans="1:9" x14ac:dyDescent="0.25">
      <c r="A34" s="341" t="s">
        <v>908</v>
      </c>
      <c r="B34" s="338"/>
      <c r="C34" s="338"/>
      <c r="D34" s="338"/>
      <c r="E34" s="338"/>
      <c r="F34" s="338"/>
      <c r="G34" s="338"/>
      <c r="H34" s="338"/>
      <c r="I34" s="241"/>
    </row>
    <row r="35" spans="1:9" x14ac:dyDescent="0.25">
      <c r="A35" s="1150"/>
      <c r="B35" s="1150"/>
      <c r="C35" s="1150"/>
      <c r="D35" s="1150"/>
      <c r="E35" s="1150"/>
      <c r="F35" s="1150"/>
      <c r="G35" s="1150"/>
      <c r="H35" s="1150"/>
      <c r="I35" s="1150"/>
    </row>
    <row r="36" spans="1:9" x14ac:dyDescent="0.25">
      <c r="A36" s="1150"/>
      <c r="B36" s="1150"/>
      <c r="C36" s="1150"/>
      <c r="D36" s="1150"/>
      <c r="E36" s="1150"/>
      <c r="F36" s="1150"/>
      <c r="G36" s="1150"/>
      <c r="H36" s="1150"/>
      <c r="I36" s="1150"/>
    </row>
    <row r="37" spans="1:9" x14ac:dyDescent="0.25">
      <c r="A37" s="1150"/>
      <c r="B37" s="1150"/>
      <c r="C37" s="1150"/>
      <c r="D37" s="1150"/>
      <c r="E37" s="1150"/>
      <c r="F37" s="1150"/>
      <c r="G37" s="1150"/>
      <c r="H37" s="1150"/>
      <c r="I37" s="1150"/>
    </row>
    <row r="38" spans="1:9" x14ac:dyDescent="0.25">
      <c r="A38" s="1150"/>
      <c r="B38" s="1150"/>
      <c r="C38" s="1150"/>
      <c r="D38" s="1150"/>
      <c r="E38" s="1150"/>
      <c r="F38" s="1150"/>
      <c r="G38" s="1150"/>
      <c r="H38" s="1150"/>
      <c r="I38" s="1150"/>
    </row>
    <row r="39" spans="1:9" x14ac:dyDescent="0.25">
      <c r="A39" s="1150"/>
      <c r="B39" s="1150"/>
      <c r="C39" s="1150"/>
      <c r="D39" s="1150"/>
      <c r="E39" s="1150"/>
      <c r="F39" s="1150"/>
      <c r="G39" s="1150"/>
      <c r="H39" s="1150"/>
      <c r="I39" s="1150"/>
    </row>
  </sheetData>
  <mergeCells count="42">
    <mergeCell ref="B2:I2"/>
    <mergeCell ref="B3:I3"/>
    <mergeCell ref="B4:I4"/>
    <mergeCell ref="B5:I5"/>
    <mergeCell ref="B6:C6"/>
    <mergeCell ref="D6:E6"/>
    <mergeCell ref="H6:I6"/>
    <mergeCell ref="B7:D7"/>
    <mergeCell ref="B8:I8"/>
    <mergeCell ref="C9:I9"/>
    <mergeCell ref="B10:D10"/>
    <mergeCell ref="E10:F10"/>
    <mergeCell ref="G10:I10"/>
    <mergeCell ref="A16:A20"/>
    <mergeCell ref="C16:E16"/>
    <mergeCell ref="F16:G16"/>
    <mergeCell ref="H16:I16"/>
    <mergeCell ref="B17:B20"/>
    <mergeCell ref="B11:D11"/>
    <mergeCell ref="E11:F11"/>
    <mergeCell ref="G11:I11"/>
    <mergeCell ref="A13:I13"/>
    <mergeCell ref="A14:I14"/>
    <mergeCell ref="H26:I26"/>
    <mergeCell ref="C17:C20"/>
    <mergeCell ref="D17:D20"/>
    <mergeCell ref="E17:E20"/>
    <mergeCell ref="F17:F20"/>
    <mergeCell ref="G17:G20"/>
    <mergeCell ref="H17:I20"/>
    <mergeCell ref="H21:I21"/>
    <mergeCell ref="H22:I22"/>
    <mergeCell ref="H23:I23"/>
    <mergeCell ref="H24:I24"/>
    <mergeCell ref="H25:I25"/>
    <mergeCell ref="A35:I39"/>
    <mergeCell ref="H27:I27"/>
    <mergeCell ref="H28:I28"/>
    <mergeCell ref="H29:I29"/>
    <mergeCell ref="H30:I30"/>
    <mergeCell ref="H31:I31"/>
    <mergeCell ref="H32:I32"/>
  </mergeCells>
  <pageMargins left="0.7" right="0.7" top="0.75" bottom="0.75" header="0.3" footer="0.3"/>
  <drawing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9516C8-98D2-465F-85E3-F0BD7CF0B566}">
  <dimension ref="A2:I45"/>
  <sheetViews>
    <sheetView tabSelected="1" workbookViewId="0">
      <selection activeCell="A13" sqref="A13:I13"/>
    </sheetView>
  </sheetViews>
  <sheetFormatPr baseColWidth="10" defaultRowHeight="15" x14ac:dyDescent="0.25"/>
  <cols>
    <col min="1" max="1" width="45.5703125" customWidth="1"/>
    <col min="2" max="3" width="13.85546875" customWidth="1"/>
    <col min="4" max="4" width="12.7109375" customWidth="1"/>
    <col min="5" max="5" width="15.28515625" customWidth="1"/>
    <col min="6" max="6" width="14" customWidth="1"/>
    <col min="7" max="7" width="19.85546875" customWidth="1"/>
    <col min="8" max="8" width="8.140625" customWidth="1"/>
    <col min="9" max="9" width="7.85546875" customWidth="1"/>
  </cols>
  <sheetData>
    <row r="2" spans="1:9" x14ac:dyDescent="0.25">
      <c r="A2" s="237" t="s">
        <v>464</v>
      </c>
      <c r="B2" s="958" t="s">
        <v>2</v>
      </c>
      <c r="C2" s="958"/>
      <c r="D2" s="958"/>
      <c r="E2" s="958"/>
      <c r="F2" s="958"/>
      <c r="G2" s="958"/>
      <c r="H2" s="958"/>
      <c r="I2" s="958"/>
    </row>
    <row r="3" spans="1:9" x14ac:dyDescent="0.25">
      <c r="A3" s="237"/>
      <c r="B3" s="957" t="s">
        <v>4</v>
      </c>
      <c r="C3" s="957"/>
      <c r="D3" s="957"/>
      <c r="E3" s="957"/>
      <c r="F3" s="957"/>
      <c r="G3" s="957"/>
      <c r="H3" s="957"/>
      <c r="I3" s="957"/>
    </row>
    <row r="4" spans="1:9" x14ac:dyDescent="0.25">
      <c r="A4" s="237" t="s">
        <v>362</v>
      </c>
      <c r="B4" s="957" t="s">
        <v>6</v>
      </c>
      <c r="C4" s="957"/>
      <c r="D4" s="957"/>
      <c r="E4" s="957"/>
      <c r="F4" s="957"/>
      <c r="G4" s="957"/>
      <c r="H4" s="957"/>
      <c r="I4" s="957"/>
    </row>
    <row r="5" spans="1:9" x14ac:dyDescent="0.25">
      <c r="A5" s="237" t="s">
        <v>363</v>
      </c>
      <c r="B5" s="957">
        <v>4431</v>
      </c>
      <c r="C5" s="957"/>
      <c r="D5" s="957"/>
      <c r="E5" s="957"/>
      <c r="F5" s="957"/>
      <c r="G5" s="957"/>
      <c r="H5" s="957"/>
      <c r="I5" s="957"/>
    </row>
    <row r="6" spans="1:9" x14ac:dyDescent="0.25">
      <c r="A6" s="237" t="s">
        <v>364</v>
      </c>
      <c r="B6" s="957" t="s">
        <v>12</v>
      </c>
      <c r="C6" s="957"/>
      <c r="D6" s="959" t="s">
        <v>365</v>
      </c>
      <c r="E6" s="959"/>
      <c r="F6" s="309">
        <v>46022</v>
      </c>
      <c r="G6" s="46" t="s">
        <v>465</v>
      </c>
      <c r="H6" s="1169">
        <v>12</v>
      </c>
      <c r="I6" s="1169"/>
    </row>
    <row r="7" spans="1:9" x14ac:dyDescent="0.25">
      <c r="A7" s="311" t="s">
        <v>367</v>
      </c>
      <c r="B7" s="958" t="s">
        <v>8</v>
      </c>
      <c r="C7" s="958"/>
      <c r="D7" s="958"/>
      <c r="E7" s="199"/>
      <c r="F7" s="199"/>
      <c r="G7" s="199"/>
      <c r="H7" s="199"/>
      <c r="I7" s="196"/>
    </row>
    <row r="8" spans="1:9" x14ac:dyDescent="0.25">
      <c r="A8" s="238" t="s">
        <v>466</v>
      </c>
      <c r="B8" s="958" t="s">
        <v>34</v>
      </c>
      <c r="C8" s="958"/>
      <c r="D8" s="958"/>
      <c r="E8" s="958"/>
      <c r="F8" s="958"/>
      <c r="G8" s="958"/>
      <c r="H8" s="958"/>
      <c r="I8" s="958"/>
    </row>
    <row r="9" spans="1:9" x14ac:dyDescent="0.25">
      <c r="A9" s="238"/>
      <c r="B9" s="957">
        <v>555555</v>
      </c>
      <c r="C9" s="957"/>
      <c r="D9" s="957"/>
      <c r="E9" s="957"/>
      <c r="F9" s="957"/>
      <c r="G9" s="957"/>
      <c r="H9" s="957"/>
      <c r="I9" s="957"/>
    </row>
    <row r="10" spans="1:9" x14ac:dyDescent="0.25">
      <c r="A10" s="238" t="s">
        <v>467</v>
      </c>
      <c r="B10" s="957" t="s">
        <v>38</v>
      </c>
      <c r="C10" s="957"/>
      <c r="D10" s="957"/>
      <c r="E10" s="770" t="s">
        <v>468</v>
      </c>
      <c r="F10" s="770"/>
      <c r="G10" s="958" t="s">
        <v>36</v>
      </c>
      <c r="H10" s="958"/>
      <c r="I10" s="958"/>
    </row>
    <row r="11" spans="1:9" x14ac:dyDescent="0.25">
      <c r="A11" s="238" t="s">
        <v>469</v>
      </c>
      <c r="B11" s="954">
        <v>44713</v>
      </c>
      <c r="C11" s="954"/>
      <c r="D11" s="954"/>
      <c r="E11" s="975" t="s">
        <v>470</v>
      </c>
      <c r="F11" s="975"/>
      <c r="G11" s="1142">
        <v>45991</v>
      </c>
      <c r="H11" s="1142"/>
      <c r="I11" s="1142"/>
    </row>
    <row r="12" spans="1:9" ht="8.4499999999999993" customHeight="1" x14ac:dyDescent="0.25">
      <c r="A12" s="312"/>
      <c r="B12" s="312"/>
      <c r="C12" s="312"/>
      <c r="D12" s="312"/>
      <c r="E12" s="312"/>
      <c r="F12" s="312"/>
      <c r="G12" s="312"/>
      <c r="H12" s="312"/>
    </row>
    <row r="13" spans="1:9" x14ac:dyDescent="0.25">
      <c r="A13" s="1160" t="s">
        <v>909</v>
      </c>
      <c r="B13" s="1160"/>
      <c r="C13" s="1160"/>
      <c r="D13" s="1160"/>
      <c r="E13" s="1160"/>
      <c r="F13" s="1160"/>
      <c r="G13" s="1160"/>
      <c r="H13" s="1160"/>
      <c r="I13" s="1160"/>
    </row>
    <row r="14" spans="1:9" x14ac:dyDescent="0.25">
      <c r="A14" s="1161" t="s">
        <v>910</v>
      </c>
      <c r="B14" s="1161"/>
      <c r="C14" s="1161"/>
      <c r="D14" s="1161"/>
      <c r="E14" s="1161"/>
      <c r="F14" s="1161"/>
      <c r="G14" s="1161"/>
      <c r="H14" s="1161"/>
      <c r="I14" s="1161"/>
    </row>
    <row r="15" spans="1:9" ht="8.4499999999999993" customHeight="1" x14ac:dyDescent="0.25">
      <c r="A15" s="313"/>
      <c r="B15" s="313"/>
      <c r="C15" s="313"/>
      <c r="D15" s="313"/>
      <c r="E15" s="313"/>
      <c r="F15" s="314"/>
      <c r="G15" s="314"/>
      <c r="H15" s="314"/>
      <c r="I15" s="315"/>
    </row>
    <row r="16" spans="1:9" x14ac:dyDescent="0.25">
      <c r="A16" s="1162" t="s">
        <v>891</v>
      </c>
      <c r="B16" s="316" t="s">
        <v>665</v>
      </c>
      <c r="C16" s="1168" t="s">
        <v>892</v>
      </c>
      <c r="D16" s="1168"/>
      <c r="E16" s="1168"/>
      <c r="F16" s="1168" t="s">
        <v>893</v>
      </c>
      <c r="G16" s="1168"/>
      <c r="H16" s="1168" t="s">
        <v>894</v>
      </c>
      <c r="I16" s="1168"/>
    </row>
    <row r="17" spans="1:9" ht="22.15" customHeight="1" x14ac:dyDescent="0.25">
      <c r="A17" s="1163"/>
      <c r="B17" s="1157" t="s">
        <v>895</v>
      </c>
      <c r="C17" s="1155" t="s">
        <v>896</v>
      </c>
      <c r="D17" s="1155" t="s">
        <v>897</v>
      </c>
      <c r="E17" s="1155" t="s">
        <v>898</v>
      </c>
      <c r="F17" s="1155" t="s">
        <v>899</v>
      </c>
      <c r="G17" s="1155" t="s">
        <v>897</v>
      </c>
      <c r="H17" s="1157" t="s">
        <v>900</v>
      </c>
      <c r="I17" s="1157"/>
    </row>
    <row r="18" spans="1:9" ht="22.15" customHeight="1" x14ac:dyDescent="0.25">
      <c r="A18" s="1163"/>
      <c r="B18" s="1157"/>
      <c r="C18" s="1155"/>
      <c r="D18" s="1155"/>
      <c r="E18" s="1155"/>
      <c r="F18" s="1156"/>
      <c r="G18" s="1155"/>
      <c r="H18" s="1157"/>
      <c r="I18" s="1157"/>
    </row>
    <row r="19" spans="1:9" ht="22.15" customHeight="1" x14ac:dyDescent="0.25">
      <c r="A19" s="1163"/>
      <c r="B19" s="1157"/>
      <c r="C19" s="1155"/>
      <c r="D19" s="1155"/>
      <c r="E19" s="1155"/>
      <c r="F19" s="1156"/>
      <c r="G19" s="1155"/>
      <c r="H19" s="1157"/>
      <c r="I19" s="1157"/>
    </row>
    <row r="20" spans="1:9" ht="13.15" customHeight="1" x14ac:dyDescent="0.25">
      <c r="A20" s="1164"/>
      <c r="B20" s="1157"/>
      <c r="C20" s="1155"/>
      <c r="D20" s="1155"/>
      <c r="E20" s="1155"/>
      <c r="F20" s="1156"/>
      <c r="G20" s="1155"/>
      <c r="H20" s="1157"/>
      <c r="I20" s="1157"/>
    </row>
    <row r="21" spans="1:9" x14ac:dyDescent="0.25">
      <c r="A21" s="319" t="s">
        <v>901</v>
      </c>
      <c r="B21" s="320">
        <v>0</v>
      </c>
      <c r="C21" s="320">
        <v>0</v>
      </c>
      <c r="D21" s="320">
        <v>0</v>
      </c>
      <c r="E21" s="320">
        <v>0</v>
      </c>
      <c r="F21" s="320">
        <v>0</v>
      </c>
      <c r="G21" s="320">
        <v>0</v>
      </c>
      <c r="H21" s="1152">
        <v>0</v>
      </c>
      <c r="I21" s="1152"/>
    </row>
    <row r="22" spans="1:9" x14ac:dyDescent="0.25">
      <c r="A22" s="321" t="s">
        <v>911</v>
      </c>
      <c r="B22" s="342">
        <v>0</v>
      </c>
      <c r="C22" s="323"/>
      <c r="D22" s="323"/>
      <c r="E22" s="323"/>
      <c r="F22" s="323"/>
      <c r="G22" s="324"/>
      <c r="H22" s="1179">
        <v>0</v>
      </c>
      <c r="I22" s="1179"/>
    </row>
    <row r="23" spans="1:9" x14ac:dyDescent="0.25">
      <c r="A23" s="321" t="s">
        <v>912</v>
      </c>
      <c r="B23" s="343">
        <v>0</v>
      </c>
      <c r="C23" s="326"/>
      <c r="D23" s="326"/>
      <c r="E23" s="326"/>
      <c r="F23" s="326"/>
      <c r="G23" s="327"/>
      <c r="H23" s="1179">
        <v>0</v>
      </c>
      <c r="I23" s="1179"/>
    </row>
    <row r="24" spans="1:9" x14ac:dyDescent="0.25">
      <c r="A24" s="321" t="s">
        <v>913</v>
      </c>
      <c r="B24" s="343">
        <v>0</v>
      </c>
      <c r="C24" s="326"/>
      <c r="D24" s="326"/>
      <c r="E24" s="326"/>
      <c r="F24" s="326"/>
      <c r="G24" s="327"/>
      <c r="H24" s="1179">
        <v>0</v>
      </c>
      <c r="I24" s="1179"/>
    </row>
    <row r="25" spans="1:9" x14ac:dyDescent="0.25">
      <c r="A25" s="321" t="s">
        <v>501</v>
      </c>
      <c r="B25" s="344">
        <v>0</v>
      </c>
      <c r="C25" s="329"/>
      <c r="D25" s="329"/>
      <c r="E25" s="329"/>
      <c r="F25" s="329"/>
      <c r="G25" s="330"/>
      <c r="H25" s="1179">
        <v>0</v>
      </c>
      <c r="I25" s="1179"/>
    </row>
    <row r="26" spans="1:9" x14ac:dyDescent="0.25">
      <c r="A26" s="319" t="s">
        <v>904</v>
      </c>
      <c r="B26" s="320">
        <v>0</v>
      </c>
      <c r="C26" s="320">
        <v>0</v>
      </c>
      <c r="D26" s="320">
        <v>0</v>
      </c>
      <c r="E26" s="320">
        <v>0</v>
      </c>
      <c r="F26" s="320">
        <v>0</v>
      </c>
      <c r="G26" s="320">
        <v>0</v>
      </c>
      <c r="H26" s="1152">
        <v>0</v>
      </c>
      <c r="I26" s="1152"/>
    </row>
    <row r="27" spans="1:9" x14ac:dyDescent="0.25">
      <c r="A27" s="321" t="s">
        <v>914</v>
      </c>
      <c r="B27" s="342">
        <v>0</v>
      </c>
      <c r="C27" s="323"/>
      <c r="D27" s="323"/>
      <c r="E27" s="323"/>
      <c r="F27" s="323"/>
      <c r="G27" s="324"/>
      <c r="H27" s="1179">
        <v>0</v>
      </c>
      <c r="I27" s="1179"/>
    </row>
    <row r="28" spans="1:9" x14ac:dyDescent="0.25">
      <c r="A28" s="321" t="s">
        <v>915</v>
      </c>
      <c r="B28" s="343">
        <v>0</v>
      </c>
      <c r="C28" s="326"/>
      <c r="D28" s="326"/>
      <c r="E28" s="326"/>
      <c r="F28" s="326"/>
      <c r="G28" s="327"/>
      <c r="H28" s="1179">
        <v>0</v>
      </c>
      <c r="I28" s="1179"/>
    </row>
    <row r="29" spans="1:9" x14ac:dyDescent="0.25">
      <c r="A29" s="321" t="s">
        <v>916</v>
      </c>
      <c r="B29" s="343">
        <v>0</v>
      </c>
      <c r="C29" s="326"/>
      <c r="D29" s="326"/>
      <c r="E29" s="326"/>
      <c r="F29" s="326"/>
      <c r="G29" s="327"/>
      <c r="H29" s="1179">
        <v>0</v>
      </c>
      <c r="I29" s="1179"/>
    </row>
    <row r="30" spans="1:9" x14ac:dyDescent="0.25">
      <c r="A30" s="321" t="s">
        <v>917</v>
      </c>
      <c r="B30" s="343">
        <v>0</v>
      </c>
      <c r="C30" s="326"/>
      <c r="D30" s="326"/>
      <c r="E30" s="326"/>
      <c r="F30" s="326"/>
      <c r="G30" s="327"/>
      <c r="H30" s="1179">
        <v>0</v>
      </c>
      <c r="I30" s="1179"/>
    </row>
    <row r="31" spans="1:9" x14ac:dyDescent="0.25">
      <c r="A31" s="321" t="s">
        <v>522</v>
      </c>
      <c r="B31" s="343">
        <v>0</v>
      </c>
      <c r="C31" s="326"/>
      <c r="D31" s="326"/>
      <c r="E31" s="326"/>
      <c r="F31" s="326"/>
      <c r="G31" s="327"/>
      <c r="H31" s="1179">
        <v>0</v>
      </c>
      <c r="I31" s="1179"/>
    </row>
    <row r="32" spans="1:9" x14ac:dyDescent="0.25">
      <c r="A32" s="321" t="s">
        <v>526</v>
      </c>
      <c r="B32" s="343">
        <v>0</v>
      </c>
      <c r="C32" s="326"/>
      <c r="D32" s="326"/>
      <c r="E32" s="326"/>
      <c r="F32" s="326"/>
      <c r="G32" s="327"/>
      <c r="H32" s="1179">
        <v>0</v>
      </c>
      <c r="I32" s="1179"/>
    </row>
    <row r="33" spans="1:9" x14ac:dyDescent="0.25">
      <c r="A33" s="321" t="s">
        <v>531</v>
      </c>
      <c r="B33" s="343">
        <v>0</v>
      </c>
      <c r="C33" s="326"/>
      <c r="D33" s="326"/>
      <c r="E33" s="326"/>
      <c r="F33" s="326"/>
      <c r="G33" s="327"/>
      <c r="H33" s="1179">
        <v>0</v>
      </c>
      <c r="I33" s="1179"/>
    </row>
    <row r="34" spans="1:9" x14ac:dyDescent="0.25">
      <c r="A34" s="321" t="s">
        <v>918</v>
      </c>
      <c r="B34" s="344">
        <v>0</v>
      </c>
      <c r="C34" s="329"/>
      <c r="D34" s="329"/>
      <c r="E34" s="329"/>
      <c r="F34" s="329"/>
      <c r="G34" s="330"/>
      <c r="H34" s="1179">
        <v>0</v>
      </c>
      <c r="I34" s="1179"/>
    </row>
    <row r="35" spans="1:9" x14ac:dyDescent="0.25">
      <c r="A35" s="319" t="s">
        <v>906</v>
      </c>
      <c r="B35" s="320">
        <v>0</v>
      </c>
      <c r="C35" s="320">
        <v>0</v>
      </c>
      <c r="D35" s="320">
        <v>0</v>
      </c>
      <c r="E35" s="320">
        <v>0</v>
      </c>
      <c r="F35" s="320">
        <v>0</v>
      </c>
      <c r="G35" s="320">
        <v>0</v>
      </c>
      <c r="H35" s="1152">
        <v>0</v>
      </c>
      <c r="I35" s="1152"/>
    </row>
    <row r="36" spans="1:9" x14ac:dyDescent="0.25">
      <c r="A36" s="331" t="s">
        <v>543</v>
      </c>
      <c r="B36" s="342">
        <v>0</v>
      </c>
      <c r="C36" s="323"/>
      <c r="D36" s="323"/>
      <c r="E36" s="323"/>
      <c r="F36" s="323"/>
      <c r="G36" s="324"/>
      <c r="H36" s="1179">
        <v>0</v>
      </c>
      <c r="I36" s="1179"/>
    </row>
    <row r="37" spans="1:9" x14ac:dyDescent="0.25">
      <c r="A37" s="332" t="s">
        <v>548</v>
      </c>
      <c r="B37" s="344">
        <v>0</v>
      </c>
      <c r="C37" s="329"/>
      <c r="D37" s="329"/>
      <c r="E37" s="329"/>
      <c r="F37" s="329"/>
      <c r="G37" s="330"/>
      <c r="H37" s="1179">
        <v>0</v>
      </c>
      <c r="I37" s="1179"/>
    </row>
    <row r="38" spans="1:9" x14ac:dyDescent="0.25">
      <c r="A38" s="336" t="s">
        <v>907</v>
      </c>
      <c r="B38" s="337">
        <v>0</v>
      </c>
      <c r="C38" s="337">
        <v>0</v>
      </c>
      <c r="D38" s="337">
        <v>0</v>
      </c>
      <c r="E38" s="337">
        <v>0</v>
      </c>
      <c r="F38" s="337">
        <v>0</v>
      </c>
      <c r="G38" s="337">
        <v>0</v>
      </c>
      <c r="H38" s="1180">
        <v>0</v>
      </c>
      <c r="I38" s="1180"/>
    </row>
    <row r="39" spans="1:9" ht="7.9" customHeight="1" x14ac:dyDescent="0.25">
      <c r="A39" s="338"/>
      <c r="B39" s="340"/>
      <c r="C39" s="340"/>
      <c r="D39" s="340"/>
      <c r="E39" s="340"/>
      <c r="F39" s="340"/>
      <c r="G39" s="340"/>
      <c r="H39" s="340"/>
      <c r="I39" s="241"/>
    </row>
    <row r="40" spans="1:9" x14ac:dyDescent="0.25">
      <c r="A40" s="341" t="s">
        <v>908</v>
      </c>
      <c r="B40" s="338"/>
      <c r="C40" s="338"/>
      <c r="D40" s="338"/>
      <c r="E40" s="338"/>
      <c r="F40" s="338"/>
      <c r="G40" s="338"/>
      <c r="H40" s="338"/>
      <c r="I40" s="241"/>
    </row>
    <row r="41" spans="1:9" x14ac:dyDescent="0.25">
      <c r="A41" s="1170"/>
      <c r="B41" s="1171"/>
      <c r="C41" s="1171"/>
      <c r="D41" s="1171"/>
      <c r="E41" s="1171"/>
      <c r="F41" s="1171"/>
      <c r="G41" s="1171"/>
      <c r="H41" s="1171"/>
      <c r="I41" s="1172"/>
    </row>
    <row r="42" spans="1:9" x14ac:dyDescent="0.25">
      <c r="A42" s="1173"/>
      <c r="B42" s="1174"/>
      <c r="C42" s="1174"/>
      <c r="D42" s="1174"/>
      <c r="E42" s="1174"/>
      <c r="F42" s="1174"/>
      <c r="G42" s="1174"/>
      <c r="H42" s="1174"/>
      <c r="I42" s="1175"/>
    </row>
    <row r="43" spans="1:9" x14ac:dyDescent="0.25">
      <c r="A43" s="1173"/>
      <c r="B43" s="1174"/>
      <c r="C43" s="1174"/>
      <c r="D43" s="1174"/>
      <c r="E43" s="1174"/>
      <c r="F43" s="1174"/>
      <c r="G43" s="1174"/>
      <c r="H43" s="1174"/>
      <c r="I43" s="1175"/>
    </row>
    <row r="44" spans="1:9" x14ac:dyDescent="0.25">
      <c r="A44" s="1173"/>
      <c r="B44" s="1174"/>
      <c r="C44" s="1174"/>
      <c r="D44" s="1174"/>
      <c r="E44" s="1174"/>
      <c r="F44" s="1174"/>
      <c r="G44" s="1174"/>
      <c r="H44" s="1174"/>
      <c r="I44" s="1175"/>
    </row>
    <row r="45" spans="1:9" x14ac:dyDescent="0.25">
      <c r="A45" s="1176"/>
      <c r="B45" s="1177"/>
      <c r="C45" s="1177"/>
      <c r="D45" s="1177"/>
      <c r="E45" s="1177"/>
      <c r="F45" s="1177"/>
      <c r="G45" s="1177"/>
      <c r="H45" s="1177"/>
      <c r="I45" s="1178"/>
    </row>
  </sheetData>
  <mergeCells count="48">
    <mergeCell ref="B2:I2"/>
    <mergeCell ref="B3:I3"/>
    <mergeCell ref="B4:I4"/>
    <mergeCell ref="B5:I5"/>
    <mergeCell ref="B6:C6"/>
    <mergeCell ref="D6:E6"/>
    <mergeCell ref="H6:I6"/>
    <mergeCell ref="B7:D7"/>
    <mergeCell ref="B8:I8"/>
    <mergeCell ref="B9:I9"/>
    <mergeCell ref="B10:D10"/>
    <mergeCell ref="E10:F10"/>
    <mergeCell ref="G10:I10"/>
    <mergeCell ref="H17:I20"/>
    <mergeCell ref="B11:D11"/>
    <mergeCell ref="E11:F11"/>
    <mergeCell ref="G11:I11"/>
    <mergeCell ref="A13:I13"/>
    <mergeCell ref="A14:I14"/>
    <mergeCell ref="A16:A20"/>
    <mergeCell ref="C16:E16"/>
    <mergeCell ref="F16:G16"/>
    <mergeCell ref="H16:I16"/>
    <mergeCell ref="B17:B20"/>
    <mergeCell ref="C17:C20"/>
    <mergeCell ref="D17:D20"/>
    <mergeCell ref="E17:E20"/>
    <mergeCell ref="F17:F20"/>
    <mergeCell ref="G17:G20"/>
    <mergeCell ref="H32:I32"/>
    <mergeCell ref="H21:I21"/>
    <mergeCell ref="H22:I22"/>
    <mergeCell ref="H23:I23"/>
    <mergeCell ref="H24:I24"/>
    <mergeCell ref="H25:I25"/>
    <mergeCell ref="H26:I26"/>
    <mergeCell ref="H27:I27"/>
    <mergeCell ref="H28:I28"/>
    <mergeCell ref="H29:I29"/>
    <mergeCell ref="H30:I30"/>
    <mergeCell ref="H31:I31"/>
    <mergeCell ref="A41:I45"/>
    <mergeCell ref="H33:I33"/>
    <mergeCell ref="H34:I34"/>
    <mergeCell ref="H35:I35"/>
    <mergeCell ref="H36:I36"/>
    <mergeCell ref="H37:I37"/>
    <mergeCell ref="H38:I38"/>
  </mergeCells>
  <pageMargins left="0.7" right="0.7" top="0.75" bottom="0.75" header="0.3" footer="0.3"/>
  <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144A00-8A75-4281-BCBC-2D20AD7CBBB8}">
  <dimension ref="A2:I36"/>
  <sheetViews>
    <sheetView workbookViewId="0">
      <selection sqref="A1:XFD1048576"/>
    </sheetView>
  </sheetViews>
  <sheetFormatPr baseColWidth="10" defaultRowHeight="15" x14ac:dyDescent="0.25"/>
  <cols>
    <col min="1" max="1" width="36.85546875" customWidth="1"/>
    <col min="2" max="3" width="13.85546875" customWidth="1"/>
    <col min="4" max="4" width="12.7109375" customWidth="1"/>
    <col min="5" max="5" width="15.28515625" customWidth="1"/>
    <col min="6" max="6" width="14" customWidth="1"/>
    <col min="7" max="7" width="19.42578125" customWidth="1"/>
    <col min="8" max="8" width="15.28515625" customWidth="1"/>
    <col min="9" max="9" width="15" customWidth="1"/>
  </cols>
  <sheetData>
    <row r="2" spans="1:9" x14ac:dyDescent="0.25">
      <c r="A2" s="237" t="s">
        <v>464</v>
      </c>
      <c r="B2" s="958" t="s">
        <v>2</v>
      </c>
      <c r="C2" s="958"/>
      <c r="D2" s="958"/>
      <c r="E2" s="958"/>
      <c r="F2" s="958"/>
      <c r="G2" s="958"/>
      <c r="H2" s="958"/>
      <c r="I2" s="958"/>
    </row>
    <row r="3" spans="1:9" x14ac:dyDescent="0.25">
      <c r="A3" s="237"/>
      <c r="B3" s="957" t="s">
        <v>4</v>
      </c>
      <c r="C3" s="957"/>
      <c r="D3" s="957"/>
      <c r="E3" s="957"/>
      <c r="F3" s="957"/>
      <c r="G3" s="957"/>
      <c r="H3" s="957"/>
      <c r="I3" s="957"/>
    </row>
    <row r="4" spans="1:9" x14ac:dyDescent="0.25">
      <c r="A4" s="237" t="s">
        <v>362</v>
      </c>
      <c r="B4" s="957" t="s">
        <v>6</v>
      </c>
      <c r="C4" s="957"/>
      <c r="D4" s="957"/>
      <c r="E4" s="957"/>
      <c r="F4" s="957"/>
      <c r="G4" s="957"/>
      <c r="H4" s="957"/>
      <c r="I4" s="957"/>
    </row>
    <row r="5" spans="1:9" x14ac:dyDescent="0.25">
      <c r="A5" s="237" t="s">
        <v>363</v>
      </c>
      <c r="B5" s="957">
        <v>4431</v>
      </c>
      <c r="C5" s="957"/>
      <c r="D5" s="957"/>
      <c r="E5" s="957"/>
      <c r="F5" s="957"/>
      <c r="G5" s="957"/>
      <c r="H5" s="957"/>
      <c r="I5" s="957"/>
    </row>
    <row r="6" spans="1:9" x14ac:dyDescent="0.25">
      <c r="A6" s="237" t="s">
        <v>364</v>
      </c>
      <c r="B6" s="957" t="s">
        <v>12</v>
      </c>
      <c r="C6" s="957"/>
      <c r="D6" s="959" t="s">
        <v>365</v>
      </c>
      <c r="E6" s="959"/>
      <c r="F6" s="309">
        <v>46022</v>
      </c>
      <c r="G6" s="46" t="s">
        <v>465</v>
      </c>
      <c r="H6" s="1169">
        <v>12</v>
      </c>
      <c r="I6" s="1169"/>
    </row>
    <row r="7" spans="1:9" x14ac:dyDescent="0.25">
      <c r="A7" s="311" t="s">
        <v>367</v>
      </c>
      <c r="B7" s="958" t="s">
        <v>8</v>
      </c>
      <c r="C7" s="958"/>
      <c r="D7" s="958"/>
      <c r="E7" s="199"/>
      <c r="F7" s="199"/>
      <c r="G7" s="199"/>
      <c r="H7" s="199"/>
      <c r="I7" s="196"/>
    </row>
    <row r="8" spans="1:9" x14ac:dyDescent="0.25">
      <c r="A8" s="238" t="s">
        <v>466</v>
      </c>
      <c r="B8" s="958" t="s">
        <v>34</v>
      </c>
      <c r="C8" s="958"/>
      <c r="D8" s="958"/>
      <c r="E8" s="958"/>
      <c r="F8" s="958"/>
      <c r="G8" s="958"/>
      <c r="H8" s="958"/>
      <c r="I8" s="958"/>
    </row>
    <row r="9" spans="1:9" x14ac:dyDescent="0.25">
      <c r="A9" s="238"/>
      <c r="B9" s="957">
        <v>555555</v>
      </c>
      <c r="C9" s="957"/>
      <c r="D9" s="957"/>
      <c r="E9" s="957"/>
      <c r="F9" s="957"/>
      <c r="G9" s="957"/>
      <c r="H9" s="957"/>
      <c r="I9" s="957"/>
    </row>
    <row r="10" spans="1:9" x14ac:dyDescent="0.25">
      <c r="A10" s="238" t="s">
        <v>467</v>
      </c>
      <c r="B10" s="957" t="s">
        <v>38</v>
      </c>
      <c r="C10" s="957"/>
      <c r="D10" s="957"/>
      <c r="E10" s="770" t="s">
        <v>468</v>
      </c>
      <c r="F10" s="770"/>
      <c r="G10" s="958" t="s">
        <v>36</v>
      </c>
      <c r="H10" s="958"/>
      <c r="I10" s="958"/>
    </row>
    <row r="11" spans="1:9" x14ac:dyDescent="0.25">
      <c r="A11" s="238" t="s">
        <v>469</v>
      </c>
      <c r="B11" s="954">
        <v>44713</v>
      </c>
      <c r="C11" s="954"/>
      <c r="D11" s="954"/>
      <c r="E11" s="975" t="s">
        <v>470</v>
      </c>
      <c r="F11" s="975"/>
      <c r="G11" s="1142">
        <v>45991</v>
      </c>
      <c r="H11" s="1142"/>
      <c r="I11" s="1142"/>
    </row>
    <row r="12" spans="1:9" ht="9" customHeight="1" x14ac:dyDescent="0.25"/>
    <row r="13" spans="1:9" x14ac:dyDescent="0.25">
      <c r="A13" s="1160" t="s">
        <v>919</v>
      </c>
      <c r="B13" s="1160"/>
      <c r="C13" s="1160"/>
      <c r="D13" s="1160"/>
      <c r="E13" s="1160"/>
      <c r="F13" s="1160"/>
      <c r="G13" s="1160"/>
      <c r="H13" s="1160"/>
      <c r="I13" s="1160"/>
    </row>
    <row r="14" spans="1:9" x14ac:dyDescent="0.25">
      <c r="A14" s="1161" t="s">
        <v>920</v>
      </c>
      <c r="B14" s="1161"/>
      <c r="C14" s="1161"/>
      <c r="D14" s="1161"/>
      <c r="E14" s="1161"/>
      <c r="F14" s="1161"/>
      <c r="G14" s="1161"/>
      <c r="H14" s="1161"/>
      <c r="I14" s="1161"/>
    </row>
    <row r="15" spans="1:9" ht="9" customHeight="1" x14ac:dyDescent="0.25">
      <c r="A15" s="314"/>
      <c r="B15" s="314"/>
      <c r="C15" s="314"/>
      <c r="D15" s="314"/>
      <c r="E15" s="314"/>
      <c r="F15" s="314"/>
      <c r="G15" s="314"/>
      <c r="H15" s="314"/>
      <c r="I15" s="314"/>
    </row>
    <row r="16" spans="1:9" x14ac:dyDescent="0.25">
      <c r="A16" s="1162" t="s">
        <v>921</v>
      </c>
      <c r="B16" s="1190" t="s">
        <v>922</v>
      </c>
      <c r="C16" s="345" t="s">
        <v>665</v>
      </c>
      <c r="D16" s="1201" t="s">
        <v>923</v>
      </c>
      <c r="E16" s="1202"/>
      <c r="F16" s="1203"/>
      <c r="G16" s="1201" t="s">
        <v>924</v>
      </c>
      <c r="H16" s="1203"/>
      <c r="I16" s="346" t="s">
        <v>894</v>
      </c>
    </row>
    <row r="17" spans="1:9" x14ac:dyDescent="0.25">
      <c r="A17" s="1163"/>
      <c r="B17" s="1191"/>
      <c r="C17" s="1190" t="s">
        <v>895</v>
      </c>
      <c r="D17" s="1190" t="s">
        <v>896</v>
      </c>
      <c r="E17" s="1190" t="s">
        <v>897</v>
      </c>
      <c r="F17" s="1190" t="s">
        <v>898</v>
      </c>
      <c r="G17" s="1190" t="s">
        <v>899</v>
      </c>
      <c r="H17" s="1195" t="s">
        <v>897</v>
      </c>
      <c r="I17" s="1198" t="s">
        <v>900</v>
      </c>
    </row>
    <row r="18" spans="1:9" x14ac:dyDescent="0.25">
      <c r="A18" s="1163"/>
      <c r="B18" s="1191"/>
      <c r="C18" s="1191"/>
      <c r="D18" s="1191"/>
      <c r="E18" s="1191"/>
      <c r="F18" s="1191"/>
      <c r="G18" s="1193"/>
      <c r="H18" s="1196"/>
      <c r="I18" s="1199"/>
    </row>
    <row r="19" spans="1:9" x14ac:dyDescent="0.25">
      <c r="A19" s="1163"/>
      <c r="B19" s="1191"/>
      <c r="C19" s="1191"/>
      <c r="D19" s="1191"/>
      <c r="E19" s="1191"/>
      <c r="F19" s="1191"/>
      <c r="G19" s="1193"/>
      <c r="H19" s="1196"/>
      <c r="I19" s="1199"/>
    </row>
    <row r="20" spans="1:9" x14ac:dyDescent="0.25">
      <c r="A20" s="1163"/>
      <c r="B20" s="1191"/>
      <c r="C20" s="1191"/>
      <c r="D20" s="1191"/>
      <c r="E20" s="1191"/>
      <c r="F20" s="1191"/>
      <c r="G20" s="1193"/>
      <c r="H20" s="1196"/>
      <c r="I20" s="1199"/>
    </row>
    <row r="21" spans="1:9" ht="22.15" customHeight="1" x14ac:dyDescent="0.25">
      <c r="A21" s="1164"/>
      <c r="B21" s="1192"/>
      <c r="C21" s="1192"/>
      <c r="D21" s="1192"/>
      <c r="E21" s="1192"/>
      <c r="F21" s="1192"/>
      <c r="G21" s="1194"/>
      <c r="H21" s="1197"/>
      <c r="I21" s="1200"/>
    </row>
    <row r="22" spans="1:9" x14ac:dyDescent="0.25">
      <c r="A22" s="347" t="s">
        <v>925</v>
      </c>
      <c r="B22" s="348"/>
      <c r="C22" s="349">
        <v>0</v>
      </c>
      <c r="D22" s="350"/>
      <c r="E22" s="351"/>
      <c r="F22" s="350"/>
      <c r="G22" s="352"/>
      <c r="H22" s="353"/>
      <c r="I22" s="354">
        <f>C22+D22+E22+F22-G22-H22</f>
        <v>0</v>
      </c>
    </row>
    <row r="23" spans="1:9" x14ac:dyDescent="0.25">
      <c r="A23" s="347" t="s">
        <v>926</v>
      </c>
      <c r="B23" s="348"/>
      <c r="C23" s="349">
        <v>0</v>
      </c>
      <c r="D23" s="350"/>
      <c r="E23" s="351"/>
      <c r="F23" s="350"/>
      <c r="G23" s="352"/>
      <c r="H23" s="355"/>
      <c r="I23" s="354">
        <f t="shared" ref="I23:I24" si="0">C23+D23+E23+F23-G23-H23</f>
        <v>0</v>
      </c>
    </row>
    <row r="24" spans="1:9" x14ac:dyDescent="0.25">
      <c r="A24" s="347" t="s">
        <v>927</v>
      </c>
      <c r="B24" s="348"/>
      <c r="C24" s="349">
        <v>0</v>
      </c>
      <c r="D24" s="350"/>
      <c r="E24" s="351"/>
      <c r="F24" s="350"/>
      <c r="G24" s="352"/>
      <c r="H24" s="355"/>
      <c r="I24" s="354">
        <f t="shared" si="0"/>
        <v>0</v>
      </c>
    </row>
    <row r="25" spans="1:9" x14ac:dyDescent="0.25">
      <c r="A25" s="347" t="s">
        <v>928</v>
      </c>
      <c r="B25" s="356"/>
      <c r="C25" s="357">
        <v>0</v>
      </c>
      <c r="D25" s="358"/>
      <c r="E25" s="359"/>
      <c r="F25" s="358"/>
      <c r="G25" s="360"/>
      <c r="H25" s="361"/>
      <c r="I25" s="354">
        <f>C25+D25+E25+F25-G25-H25</f>
        <v>0</v>
      </c>
    </row>
    <row r="26" spans="1:9" ht="25.5" x14ac:dyDescent="0.25">
      <c r="A26" s="362" t="s">
        <v>929</v>
      </c>
      <c r="B26" s="363"/>
      <c r="C26" s="364">
        <v>0</v>
      </c>
      <c r="D26" s="365">
        <f>SUM(D22:D25)</f>
        <v>0</v>
      </c>
      <c r="E26" s="365">
        <f t="shared" ref="E26:H26" si="1">SUM(E22:E25)</f>
        <v>0</v>
      </c>
      <c r="F26" s="365">
        <f t="shared" si="1"/>
        <v>0</v>
      </c>
      <c r="G26" s="366">
        <f t="shared" si="1"/>
        <v>0</v>
      </c>
      <c r="H26" s="367">
        <f t="shared" si="1"/>
        <v>0</v>
      </c>
      <c r="I26" s="365">
        <f>SUM(I22:I25)</f>
        <v>0</v>
      </c>
    </row>
    <row r="27" spans="1:9" ht="9.6" customHeight="1" x14ac:dyDescent="0.25">
      <c r="A27" s="368"/>
      <c r="B27" s="338"/>
      <c r="C27" s="338"/>
      <c r="D27" s="339"/>
      <c r="E27" s="339"/>
      <c r="F27" s="339"/>
      <c r="G27" s="339"/>
      <c r="H27" s="339"/>
      <c r="I27" s="339"/>
    </row>
    <row r="28" spans="1:9" x14ac:dyDescent="0.25">
      <c r="A28" s="369" t="s">
        <v>930</v>
      </c>
      <c r="B28" s="338"/>
      <c r="C28" s="338"/>
      <c r="D28" s="338"/>
      <c r="E28" s="338"/>
      <c r="F28" s="338"/>
      <c r="G28" s="338"/>
      <c r="H28" s="338"/>
      <c r="I28" s="338"/>
    </row>
    <row r="29" spans="1:9" x14ac:dyDescent="0.25">
      <c r="A29" s="338" t="s">
        <v>908</v>
      </c>
      <c r="B29" s="338"/>
      <c r="C29" s="338"/>
      <c r="D29" s="338"/>
      <c r="E29" s="338"/>
      <c r="F29" s="338"/>
      <c r="G29" s="338"/>
      <c r="H29" s="338"/>
      <c r="I29" s="338"/>
    </row>
    <row r="30" spans="1:9" x14ac:dyDescent="0.25">
      <c r="A30" s="1181"/>
      <c r="B30" s="1182"/>
      <c r="C30" s="1182"/>
      <c r="D30" s="1182"/>
      <c r="E30" s="1182"/>
      <c r="F30" s="1182"/>
      <c r="G30" s="1182"/>
      <c r="H30" s="1182"/>
      <c r="I30" s="1183"/>
    </row>
    <row r="31" spans="1:9" x14ac:dyDescent="0.25">
      <c r="A31" s="1184"/>
      <c r="B31" s="1185"/>
      <c r="C31" s="1185"/>
      <c r="D31" s="1185"/>
      <c r="E31" s="1185"/>
      <c r="F31" s="1185"/>
      <c r="G31" s="1185"/>
      <c r="H31" s="1185"/>
      <c r="I31" s="1186"/>
    </row>
    <row r="32" spans="1:9" x14ac:dyDescent="0.25">
      <c r="A32" s="1184"/>
      <c r="B32" s="1185"/>
      <c r="C32" s="1185"/>
      <c r="D32" s="1185"/>
      <c r="E32" s="1185"/>
      <c r="F32" s="1185"/>
      <c r="G32" s="1185"/>
      <c r="H32" s="1185"/>
      <c r="I32" s="1186"/>
    </row>
    <row r="33" spans="1:9" x14ac:dyDescent="0.25">
      <c r="A33" s="1184"/>
      <c r="B33" s="1185"/>
      <c r="C33" s="1185"/>
      <c r="D33" s="1185"/>
      <c r="E33" s="1185"/>
      <c r="F33" s="1185"/>
      <c r="G33" s="1185"/>
      <c r="H33" s="1185"/>
      <c r="I33" s="1186"/>
    </row>
    <row r="34" spans="1:9" x14ac:dyDescent="0.25">
      <c r="A34" s="1184"/>
      <c r="B34" s="1185"/>
      <c r="C34" s="1185"/>
      <c r="D34" s="1185"/>
      <c r="E34" s="1185"/>
      <c r="F34" s="1185"/>
      <c r="G34" s="1185"/>
      <c r="H34" s="1185"/>
      <c r="I34" s="1186"/>
    </row>
    <row r="35" spans="1:9" x14ac:dyDescent="0.25">
      <c r="A35" s="1184"/>
      <c r="B35" s="1185"/>
      <c r="C35" s="1185"/>
      <c r="D35" s="1185"/>
      <c r="E35" s="1185"/>
      <c r="F35" s="1185"/>
      <c r="G35" s="1185"/>
      <c r="H35" s="1185"/>
      <c r="I35" s="1186"/>
    </row>
    <row r="36" spans="1:9" x14ac:dyDescent="0.25">
      <c r="A36" s="1187"/>
      <c r="B36" s="1188"/>
      <c r="C36" s="1188"/>
      <c r="D36" s="1188"/>
      <c r="E36" s="1188"/>
      <c r="F36" s="1188"/>
      <c r="G36" s="1188"/>
      <c r="H36" s="1188"/>
      <c r="I36" s="1189"/>
    </row>
  </sheetData>
  <mergeCells count="30">
    <mergeCell ref="B2:I2"/>
    <mergeCell ref="B3:I3"/>
    <mergeCell ref="B4:I4"/>
    <mergeCell ref="B5:I5"/>
    <mergeCell ref="B6:C6"/>
    <mergeCell ref="D6:E6"/>
    <mergeCell ref="H6:I6"/>
    <mergeCell ref="B7:D7"/>
    <mergeCell ref="B8:I8"/>
    <mergeCell ref="B9:I9"/>
    <mergeCell ref="B10:D10"/>
    <mergeCell ref="E10:F10"/>
    <mergeCell ref="G10:I10"/>
    <mergeCell ref="B11:D11"/>
    <mergeCell ref="E11:F11"/>
    <mergeCell ref="G11:I11"/>
    <mergeCell ref="A13:I13"/>
    <mergeCell ref="A14:I14"/>
    <mergeCell ref="A30:I36"/>
    <mergeCell ref="D17:D21"/>
    <mergeCell ref="E17:E21"/>
    <mergeCell ref="F17:F21"/>
    <mergeCell ref="G17:G21"/>
    <mergeCell ref="H17:H21"/>
    <mergeCell ref="I17:I21"/>
    <mergeCell ref="A16:A21"/>
    <mergeCell ref="B16:B21"/>
    <mergeCell ref="D16:F16"/>
    <mergeCell ref="G16:H16"/>
    <mergeCell ref="C17:C21"/>
  </mergeCells>
  <dataValidations count="1">
    <dataValidation type="list" allowBlank="1" showInputMessage="1" showErrorMessage="1" sqref="B22:B25" xr:uid="{31884A37-801E-4F69-A09F-BFE04141D405}">
      <formula1>"i,m,a"</formula1>
    </dataValidation>
  </dataValidations>
  <pageMargins left="0.7" right="0.7" top="0.75" bottom="0.75" header="0.3" footer="0.3"/>
  <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1C0178-4CDF-420B-B4F4-C045CEF89935}">
  <dimension ref="A2:H34"/>
  <sheetViews>
    <sheetView workbookViewId="0">
      <selection activeCell="F16" sqref="A1:XFD1048576"/>
    </sheetView>
  </sheetViews>
  <sheetFormatPr baseColWidth="10" defaultRowHeight="15" x14ac:dyDescent="0.25"/>
  <cols>
    <col min="1" max="1" width="45.28515625" bestFit="1" customWidth="1"/>
    <col min="2" max="2" width="20" customWidth="1"/>
    <col min="3" max="3" width="18" customWidth="1"/>
    <col min="4" max="4" width="20.7109375" customWidth="1"/>
    <col min="5" max="5" width="18.85546875" customWidth="1"/>
    <col min="6" max="6" width="14.42578125" customWidth="1"/>
    <col min="7" max="7" width="14.85546875" customWidth="1"/>
    <col min="8" max="8" width="7.140625" customWidth="1"/>
  </cols>
  <sheetData>
    <row r="2" spans="1:8" x14ac:dyDescent="0.25">
      <c r="A2" s="237" t="s">
        <v>464</v>
      </c>
      <c r="B2" s="958" t="s">
        <v>2</v>
      </c>
      <c r="C2" s="958"/>
      <c r="D2" s="958"/>
      <c r="E2" s="958"/>
      <c r="F2" s="958"/>
      <c r="G2" s="958"/>
      <c r="H2" s="958"/>
    </row>
    <row r="3" spans="1:8" x14ac:dyDescent="0.25">
      <c r="A3" s="237"/>
      <c r="B3" s="957" t="s">
        <v>4</v>
      </c>
      <c r="C3" s="957"/>
      <c r="D3" s="957"/>
      <c r="E3" s="957"/>
      <c r="F3" s="957"/>
      <c r="G3" s="957"/>
      <c r="H3" s="957"/>
    </row>
    <row r="4" spans="1:8" x14ac:dyDescent="0.25">
      <c r="A4" s="237" t="s">
        <v>362</v>
      </c>
      <c r="B4" s="957" t="s">
        <v>6</v>
      </c>
      <c r="C4" s="957"/>
      <c r="D4" s="957"/>
      <c r="E4" s="957"/>
      <c r="F4" s="957"/>
      <c r="G4" s="957"/>
      <c r="H4" s="957"/>
    </row>
    <row r="5" spans="1:8" x14ac:dyDescent="0.25">
      <c r="A5" s="237" t="s">
        <v>363</v>
      </c>
      <c r="B5" s="957">
        <v>4431</v>
      </c>
      <c r="C5" s="957"/>
      <c r="D5" s="957"/>
      <c r="E5" s="957"/>
      <c r="F5" s="957"/>
      <c r="G5" s="957"/>
      <c r="H5" s="957"/>
    </row>
    <row r="6" spans="1:8" x14ac:dyDescent="0.25">
      <c r="A6" s="237" t="s">
        <v>364</v>
      </c>
      <c r="B6" s="957" t="s">
        <v>12</v>
      </c>
      <c r="C6" s="957"/>
      <c r="D6" s="957"/>
      <c r="E6" s="46" t="s">
        <v>365</v>
      </c>
      <c r="F6" s="309">
        <v>46022</v>
      </c>
      <c r="G6" s="199" t="s">
        <v>465</v>
      </c>
      <c r="H6" s="310">
        <v>12</v>
      </c>
    </row>
    <row r="7" spans="1:8" x14ac:dyDescent="0.25">
      <c r="A7" s="311" t="s">
        <v>367</v>
      </c>
      <c r="B7" s="957" t="s">
        <v>8</v>
      </c>
      <c r="C7" s="957"/>
      <c r="D7" s="957"/>
      <c r="E7" s="199"/>
      <c r="F7" s="199"/>
      <c r="G7" s="199"/>
      <c r="H7" s="199"/>
    </row>
    <row r="8" spans="1:8" x14ac:dyDescent="0.25">
      <c r="A8" s="238" t="s">
        <v>466</v>
      </c>
      <c r="B8" s="958" t="s">
        <v>34</v>
      </c>
      <c r="C8" s="958"/>
      <c r="D8" s="958"/>
      <c r="E8" s="958"/>
      <c r="F8" s="958"/>
      <c r="G8" s="958"/>
      <c r="H8" s="958"/>
    </row>
    <row r="9" spans="1:8" x14ac:dyDescent="0.25">
      <c r="A9" s="238"/>
      <c r="B9" s="957">
        <v>555555</v>
      </c>
      <c r="C9" s="957"/>
      <c r="D9" s="957"/>
      <c r="E9" s="957"/>
      <c r="F9" s="957"/>
      <c r="G9" s="957"/>
      <c r="H9" s="957"/>
    </row>
    <row r="10" spans="1:8" x14ac:dyDescent="0.25">
      <c r="A10" s="238" t="s">
        <v>467</v>
      </c>
      <c r="B10" s="957" t="s">
        <v>38</v>
      </c>
      <c r="C10" s="957"/>
      <c r="D10" s="957"/>
      <c r="E10" s="770" t="s">
        <v>468</v>
      </c>
      <c r="F10" s="770"/>
      <c r="G10" s="958" t="s">
        <v>36</v>
      </c>
      <c r="H10" s="958"/>
    </row>
    <row r="11" spans="1:8" x14ac:dyDescent="0.25">
      <c r="A11" s="238" t="s">
        <v>469</v>
      </c>
      <c r="B11" s="954">
        <v>44713</v>
      </c>
      <c r="C11" s="954"/>
      <c r="D11" s="954"/>
      <c r="E11" s="975" t="s">
        <v>470</v>
      </c>
      <c r="F11" s="975"/>
      <c r="G11" s="954">
        <v>45991</v>
      </c>
      <c r="H11" s="954"/>
    </row>
    <row r="12" spans="1:8" ht="9" customHeight="1" x14ac:dyDescent="0.25"/>
    <row r="13" spans="1:8" ht="14.45" customHeight="1" x14ac:dyDescent="0.25">
      <c r="A13" s="1160" t="s">
        <v>931</v>
      </c>
      <c r="B13" s="1160"/>
      <c r="C13" s="1160"/>
      <c r="D13" s="1160"/>
      <c r="E13" s="1160"/>
      <c r="F13" s="1160"/>
      <c r="G13" s="1160"/>
      <c r="H13" s="1160"/>
    </row>
    <row r="14" spans="1:8" ht="15.6" customHeight="1" x14ac:dyDescent="0.25">
      <c r="A14" s="1160" t="s">
        <v>932</v>
      </c>
      <c r="B14" s="1160"/>
      <c r="C14" s="1160"/>
      <c r="D14" s="1160"/>
      <c r="E14" s="1160"/>
      <c r="F14" s="1160"/>
      <c r="G14" s="1160"/>
      <c r="H14" s="1160"/>
    </row>
    <row r="15" spans="1:8" ht="9" customHeight="1" x14ac:dyDescent="0.25">
      <c r="A15" s="314"/>
      <c r="B15" s="314"/>
      <c r="C15" s="314"/>
      <c r="D15" s="370"/>
      <c r="E15" s="370"/>
      <c r="F15" s="370"/>
      <c r="G15" s="370"/>
      <c r="H15" s="315"/>
    </row>
    <row r="16" spans="1:8" x14ac:dyDescent="0.25">
      <c r="A16" s="1211" t="s">
        <v>891</v>
      </c>
      <c r="B16" s="318" t="s">
        <v>665</v>
      </c>
      <c r="C16" s="318" t="s">
        <v>933</v>
      </c>
      <c r="D16" s="1165" t="s">
        <v>695</v>
      </c>
      <c r="E16" s="1167"/>
      <c r="F16" s="317" t="s">
        <v>704</v>
      </c>
      <c r="G16" s="1168" t="s">
        <v>934</v>
      </c>
      <c r="H16" s="1168"/>
    </row>
    <row r="17" spans="1:8" ht="30" customHeight="1" x14ac:dyDescent="0.25">
      <c r="A17" s="1212"/>
      <c r="B17" s="1190" t="s">
        <v>935</v>
      </c>
      <c r="C17" s="1190" t="s">
        <v>936</v>
      </c>
      <c r="D17" s="1214" t="s">
        <v>937</v>
      </c>
      <c r="E17" s="1215"/>
      <c r="F17" s="1195" t="s">
        <v>938</v>
      </c>
      <c r="G17" s="1155" t="s">
        <v>939</v>
      </c>
      <c r="H17" s="1155"/>
    </row>
    <row r="18" spans="1:8" ht="30" customHeight="1" x14ac:dyDescent="0.25">
      <c r="A18" s="1212"/>
      <c r="B18" s="1191"/>
      <c r="C18" s="1191"/>
      <c r="D18" s="1190" t="s">
        <v>940</v>
      </c>
      <c r="E18" s="1190" t="s">
        <v>941</v>
      </c>
      <c r="F18" s="1196"/>
      <c r="G18" s="1155"/>
      <c r="H18" s="1155"/>
    </row>
    <row r="19" spans="1:8" ht="30" customHeight="1" x14ac:dyDescent="0.25">
      <c r="A19" s="1213"/>
      <c r="B19" s="1192"/>
      <c r="C19" s="1192"/>
      <c r="D19" s="1192"/>
      <c r="E19" s="1192"/>
      <c r="F19" s="1197"/>
      <c r="G19" s="1155"/>
      <c r="H19" s="1155"/>
    </row>
    <row r="20" spans="1:8" x14ac:dyDescent="0.25">
      <c r="A20" s="321" t="s">
        <v>902</v>
      </c>
      <c r="B20" s="371">
        <v>0</v>
      </c>
      <c r="C20" s="372"/>
      <c r="D20" s="373"/>
      <c r="E20" s="373"/>
      <c r="F20" s="373"/>
      <c r="G20" s="1205">
        <v>0</v>
      </c>
      <c r="H20" s="1205"/>
    </row>
    <row r="21" spans="1:8" x14ac:dyDescent="0.25">
      <c r="A21" s="321" t="s">
        <v>903</v>
      </c>
      <c r="B21" s="343">
        <v>0</v>
      </c>
      <c r="C21" s="326"/>
      <c r="D21" s="374"/>
      <c r="E21" s="374"/>
      <c r="F21" s="374"/>
      <c r="G21" s="1206">
        <v>0</v>
      </c>
      <c r="H21" s="1206"/>
    </row>
    <row r="22" spans="1:8" x14ac:dyDescent="0.25">
      <c r="A22" s="321" t="s">
        <v>501</v>
      </c>
      <c r="B22" s="344">
        <v>0</v>
      </c>
      <c r="C22" s="329"/>
      <c r="D22" s="375"/>
      <c r="E22" s="375"/>
      <c r="F22" s="375"/>
      <c r="G22" s="1207">
        <v>0</v>
      </c>
      <c r="H22" s="1207"/>
    </row>
    <row r="23" spans="1:8" x14ac:dyDescent="0.25">
      <c r="A23" s="376" t="s">
        <v>942</v>
      </c>
      <c r="B23" s="377">
        <v>0</v>
      </c>
      <c r="C23" s="378">
        <f t="shared" ref="C23:F23" si="0">SUM(C20:C22)</f>
        <v>0</v>
      </c>
      <c r="D23" s="378">
        <f t="shared" si="0"/>
        <v>0</v>
      </c>
      <c r="E23" s="378">
        <f t="shared" si="0"/>
        <v>0</v>
      </c>
      <c r="F23" s="378">
        <f t="shared" si="0"/>
        <v>0</v>
      </c>
      <c r="G23" s="1208">
        <v>0</v>
      </c>
      <c r="H23" s="1208"/>
    </row>
    <row r="24" spans="1:8" x14ac:dyDescent="0.25">
      <c r="A24" s="321" t="s">
        <v>513</v>
      </c>
      <c r="B24" s="342">
        <v>0</v>
      </c>
      <c r="C24" s="323"/>
      <c r="D24" s="379"/>
      <c r="E24" s="379"/>
      <c r="F24" s="379"/>
      <c r="G24" s="1209">
        <v>0</v>
      </c>
      <c r="H24" s="1209"/>
    </row>
    <row r="25" spans="1:8" x14ac:dyDescent="0.25">
      <c r="A25" s="321" t="s">
        <v>518</v>
      </c>
      <c r="B25" s="343">
        <v>0</v>
      </c>
      <c r="C25" s="326"/>
      <c r="D25" s="374"/>
      <c r="E25" s="374"/>
      <c r="F25" s="374"/>
      <c r="G25" s="1206">
        <v>0</v>
      </c>
      <c r="H25" s="1206"/>
    </row>
    <row r="26" spans="1:8" x14ac:dyDescent="0.25">
      <c r="A26" s="321" t="s">
        <v>943</v>
      </c>
      <c r="B26" s="343">
        <v>0</v>
      </c>
      <c r="C26" s="326"/>
      <c r="D26" s="374"/>
      <c r="E26" s="374"/>
      <c r="F26" s="374"/>
      <c r="G26" s="1206">
        <v>0</v>
      </c>
      <c r="H26" s="1206"/>
    </row>
    <row r="27" spans="1:8" x14ac:dyDescent="0.25">
      <c r="A27" s="376" t="s">
        <v>944</v>
      </c>
      <c r="B27" s="377">
        <v>0</v>
      </c>
      <c r="C27" s="378">
        <f>SUM(C24:C26)</f>
        <v>0</v>
      </c>
      <c r="D27" s="378">
        <f>SUM(D24:D26)</f>
        <v>0</v>
      </c>
      <c r="E27" s="378">
        <f>SUM(E24:E26)</f>
        <v>0</v>
      </c>
      <c r="F27" s="378">
        <f>SUM(F24:F26)</f>
        <v>0</v>
      </c>
      <c r="G27" s="1208">
        <v>0</v>
      </c>
      <c r="H27" s="1208"/>
    </row>
    <row r="28" spans="1:8" x14ac:dyDescent="0.25">
      <c r="A28" s="380" t="s">
        <v>599</v>
      </c>
      <c r="B28" s="381">
        <v>0</v>
      </c>
      <c r="C28" s="382">
        <f t="shared" ref="C28:F28" si="1">C23+C27</f>
        <v>0</v>
      </c>
      <c r="D28" s="382">
        <f t="shared" si="1"/>
        <v>0</v>
      </c>
      <c r="E28" s="382">
        <f t="shared" si="1"/>
        <v>0</v>
      </c>
      <c r="F28" s="382">
        <f t="shared" si="1"/>
        <v>0</v>
      </c>
      <c r="G28" s="1210">
        <v>0</v>
      </c>
      <c r="H28" s="1210"/>
    </row>
    <row r="29" spans="1:8" ht="6" customHeight="1" x14ac:dyDescent="0.25">
      <c r="A29" s="312"/>
      <c r="B29" s="312"/>
      <c r="C29" s="312"/>
      <c r="D29" s="312"/>
      <c r="E29" s="312"/>
      <c r="F29" s="312"/>
      <c r="G29" s="312"/>
    </row>
    <row r="30" spans="1:8" x14ac:dyDescent="0.25">
      <c r="A30" s="338" t="s">
        <v>908</v>
      </c>
    </row>
    <row r="31" spans="1:8" x14ac:dyDescent="0.25">
      <c r="A31" s="1204"/>
      <c r="B31" s="1204"/>
      <c r="C31" s="1204"/>
      <c r="D31" s="1204"/>
      <c r="E31" s="1204"/>
      <c r="F31" s="1204"/>
      <c r="G31" s="1204"/>
      <c r="H31" s="1204"/>
    </row>
    <row r="32" spans="1:8" x14ac:dyDescent="0.25">
      <c r="A32" s="1204"/>
      <c r="B32" s="1204"/>
      <c r="C32" s="1204"/>
      <c r="D32" s="1204"/>
      <c r="E32" s="1204"/>
      <c r="F32" s="1204"/>
      <c r="G32" s="1204"/>
      <c r="H32" s="1204"/>
    </row>
    <row r="33" spans="1:8" x14ac:dyDescent="0.25">
      <c r="A33" s="1204"/>
      <c r="B33" s="1204"/>
      <c r="C33" s="1204"/>
      <c r="D33" s="1204"/>
      <c r="E33" s="1204"/>
      <c r="F33" s="1204"/>
      <c r="G33" s="1204"/>
      <c r="H33" s="1204"/>
    </row>
    <row r="34" spans="1:8" x14ac:dyDescent="0.25">
      <c r="A34" s="1204"/>
      <c r="B34" s="1204"/>
      <c r="C34" s="1204"/>
      <c r="D34" s="1204"/>
      <c r="E34" s="1204"/>
      <c r="F34" s="1204"/>
      <c r="G34" s="1204"/>
      <c r="H34" s="1204"/>
    </row>
  </sheetData>
  <mergeCells count="36">
    <mergeCell ref="B11:D11"/>
    <mergeCell ref="E11:F11"/>
    <mergeCell ref="G11:H11"/>
    <mergeCell ref="B2:H2"/>
    <mergeCell ref="B3:H3"/>
    <mergeCell ref="B4:H4"/>
    <mergeCell ref="B5:H5"/>
    <mergeCell ref="B6:D6"/>
    <mergeCell ref="B7:D7"/>
    <mergeCell ref="B8:H8"/>
    <mergeCell ref="B9:H9"/>
    <mergeCell ref="B10:D10"/>
    <mergeCell ref="E10:F10"/>
    <mergeCell ref="G10:H10"/>
    <mergeCell ref="A13:H13"/>
    <mergeCell ref="A14:H14"/>
    <mergeCell ref="A16:A19"/>
    <mergeCell ref="D16:E16"/>
    <mergeCell ref="G16:H16"/>
    <mergeCell ref="B17:B19"/>
    <mergeCell ref="C17:C19"/>
    <mergeCell ref="D17:E17"/>
    <mergeCell ref="F17:F19"/>
    <mergeCell ref="G17:H19"/>
    <mergeCell ref="A31:H34"/>
    <mergeCell ref="D18:D19"/>
    <mergeCell ref="E18:E19"/>
    <mergeCell ref="G20:H20"/>
    <mergeCell ref="G21:H21"/>
    <mergeCell ref="G22:H22"/>
    <mergeCell ref="G23:H23"/>
    <mergeCell ref="G24:H24"/>
    <mergeCell ref="G25:H25"/>
    <mergeCell ref="G26:H26"/>
    <mergeCell ref="G27:H27"/>
    <mergeCell ref="G28:H28"/>
  </mergeCells>
  <pageMargins left="0.7" right="0.7" top="0.75" bottom="0.75" header="0.3" footer="0.3"/>
  <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84221E-3F00-44EA-BBCC-8D4FE290D673}">
  <dimension ref="A2:H38"/>
  <sheetViews>
    <sheetView workbookViewId="0">
      <selection activeCell="E16" sqref="A1:XFD1048576"/>
    </sheetView>
  </sheetViews>
  <sheetFormatPr baseColWidth="10" defaultRowHeight="15" x14ac:dyDescent="0.25"/>
  <cols>
    <col min="1" max="1" width="45.28515625" bestFit="1" customWidth="1"/>
    <col min="2" max="2" width="20" customWidth="1"/>
    <col min="3" max="3" width="18" customWidth="1"/>
    <col min="4" max="4" width="20.7109375" customWidth="1"/>
    <col min="5" max="5" width="18.85546875" customWidth="1"/>
    <col min="6" max="6" width="14.42578125" customWidth="1"/>
    <col min="7" max="7" width="14.85546875" customWidth="1"/>
    <col min="8" max="8" width="7.140625" customWidth="1"/>
  </cols>
  <sheetData>
    <row r="2" spans="1:8" x14ac:dyDescent="0.25">
      <c r="A2" s="237" t="s">
        <v>464</v>
      </c>
      <c r="B2" s="958" t="s">
        <v>2</v>
      </c>
      <c r="C2" s="958"/>
      <c r="D2" s="958"/>
      <c r="E2" s="958"/>
      <c r="F2" s="958"/>
      <c r="G2" s="958"/>
      <c r="H2" s="958"/>
    </row>
    <row r="3" spans="1:8" x14ac:dyDescent="0.25">
      <c r="A3" s="237"/>
      <c r="B3" s="957" t="s">
        <v>4</v>
      </c>
      <c r="C3" s="957"/>
      <c r="D3" s="957"/>
      <c r="E3" s="957"/>
      <c r="F3" s="957"/>
      <c r="G3" s="957"/>
      <c r="H3" s="957"/>
    </row>
    <row r="4" spans="1:8" x14ac:dyDescent="0.25">
      <c r="A4" s="237" t="s">
        <v>362</v>
      </c>
      <c r="B4" s="957" t="s">
        <v>6</v>
      </c>
      <c r="C4" s="957"/>
      <c r="D4" s="957"/>
      <c r="E4" s="957"/>
      <c r="F4" s="957"/>
      <c r="G4" s="957"/>
      <c r="H4" s="957"/>
    </row>
    <row r="5" spans="1:8" x14ac:dyDescent="0.25">
      <c r="A5" s="237" t="s">
        <v>363</v>
      </c>
      <c r="B5" s="957">
        <v>4431</v>
      </c>
      <c r="C5" s="957"/>
      <c r="D5" s="957"/>
      <c r="E5" s="957"/>
      <c r="F5" s="957"/>
      <c r="G5" s="957"/>
      <c r="H5" s="957"/>
    </row>
    <row r="6" spans="1:8" x14ac:dyDescent="0.25">
      <c r="A6" s="237" t="s">
        <v>364</v>
      </c>
      <c r="B6" s="957" t="s">
        <v>12</v>
      </c>
      <c r="C6" s="957"/>
      <c r="D6" s="957"/>
      <c r="E6" s="46" t="s">
        <v>365</v>
      </c>
      <c r="F6" s="309">
        <v>46022</v>
      </c>
      <c r="G6" s="199" t="s">
        <v>465</v>
      </c>
      <c r="H6" s="310">
        <v>12</v>
      </c>
    </row>
    <row r="7" spans="1:8" x14ac:dyDescent="0.25">
      <c r="A7" s="311" t="s">
        <v>367</v>
      </c>
      <c r="B7" s="957" t="s">
        <v>8</v>
      </c>
      <c r="C7" s="957"/>
      <c r="D7" s="957"/>
      <c r="E7" s="199"/>
      <c r="F7" s="199"/>
      <c r="G7" s="199"/>
      <c r="H7" s="199"/>
    </row>
    <row r="8" spans="1:8" x14ac:dyDescent="0.25">
      <c r="A8" s="238" t="s">
        <v>466</v>
      </c>
      <c r="B8" s="958" t="s">
        <v>34</v>
      </c>
      <c r="C8" s="958"/>
      <c r="D8" s="958"/>
      <c r="E8" s="958"/>
      <c r="F8" s="958"/>
      <c r="G8" s="958"/>
      <c r="H8" s="958"/>
    </row>
    <row r="9" spans="1:8" x14ac:dyDescent="0.25">
      <c r="A9" s="238"/>
      <c r="B9" s="957">
        <v>555555</v>
      </c>
      <c r="C9" s="957"/>
      <c r="D9" s="957"/>
      <c r="E9" s="957"/>
      <c r="F9" s="957"/>
      <c r="G9" s="957"/>
      <c r="H9" s="957"/>
    </row>
    <row r="10" spans="1:8" x14ac:dyDescent="0.25">
      <c r="A10" s="238" t="s">
        <v>467</v>
      </c>
      <c r="B10" s="957" t="s">
        <v>38</v>
      </c>
      <c r="C10" s="957"/>
      <c r="D10" s="957"/>
      <c r="E10" s="770" t="s">
        <v>468</v>
      </c>
      <c r="F10" s="770"/>
      <c r="G10" s="958" t="s">
        <v>36</v>
      </c>
      <c r="H10" s="958"/>
    </row>
    <row r="11" spans="1:8" x14ac:dyDescent="0.25">
      <c r="A11" s="238" t="s">
        <v>469</v>
      </c>
      <c r="B11" s="954">
        <v>44713</v>
      </c>
      <c r="C11" s="954"/>
      <c r="D11" s="954"/>
      <c r="E11" s="975" t="s">
        <v>470</v>
      </c>
      <c r="F11" s="975"/>
      <c r="G11" s="954">
        <v>45991</v>
      </c>
      <c r="H11" s="954"/>
    </row>
    <row r="12" spans="1:8" ht="7.9" customHeight="1" x14ac:dyDescent="0.25"/>
    <row r="13" spans="1:8" x14ac:dyDescent="0.25">
      <c r="A13" s="1160" t="s">
        <v>945</v>
      </c>
      <c r="B13" s="1160"/>
      <c r="C13" s="1160"/>
      <c r="D13" s="1160"/>
      <c r="E13" s="1160"/>
      <c r="F13" s="1160"/>
      <c r="G13" s="1160"/>
      <c r="H13" s="315"/>
    </row>
    <row r="14" spans="1:8" x14ac:dyDescent="0.25">
      <c r="A14" s="1160" t="s">
        <v>946</v>
      </c>
      <c r="B14" s="1160"/>
      <c r="C14" s="1160"/>
      <c r="D14" s="1160"/>
      <c r="E14" s="1160"/>
      <c r="F14" s="1160"/>
      <c r="G14" s="1160"/>
      <c r="H14" s="315"/>
    </row>
    <row r="15" spans="1:8" ht="7.9" customHeight="1" x14ac:dyDescent="0.25">
      <c r="A15" s="314"/>
      <c r="B15" s="314"/>
      <c r="C15" s="314"/>
      <c r="D15" s="370"/>
      <c r="E15" s="370"/>
      <c r="F15" s="370"/>
      <c r="G15" s="370"/>
      <c r="H15" s="315"/>
    </row>
    <row r="16" spans="1:8" x14ac:dyDescent="0.25">
      <c r="A16" s="1211" t="s">
        <v>891</v>
      </c>
      <c r="B16" s="318" t="s">
        <v>665</v>
      </c>
      <c r="C16" s="318" t="s">
        <v>933</v>
      </c>
      <c r="D16" s="1165" t="s">
        <v>695</v>
      </c>
      <c r="E16" s="1167"/>
      <c r="F16" s="317" t="s">
        <v>704</v>
      </c>
      <c r="G16" s="1168" t="s">
        <v>934</v>
      </c>
      <c r="H16" s="1168"/>
    </row>
    <row r="17" spans="1:8" x14ac:dyDescent="0.25">
      <c r="A17" s="1212"/>
      <c r="B17" s="1190" t="s">
        <v>947</v>
      </c>
      <c r="C17" s="1190" t="s">
        <v>936</v>
      </c>
      <c r="D17" s="1214" t="s">
        <v>937</v>
      </c>
      <c r="E17" s="1215"/>
      <c r="F17" s="1195" t="s">
        <v>938</v>
      </c>
      <c r="G17" s="1155" t="s">
        <v>948</v>
      </c>
      <c r="H17" s="1155"/>
    </row>
    <row r="18" spans="1:8" ht="27.6" customHeight="1" x14ac:dyDescent="0.25">
      <c r="A18" s="1212"/>
      <c r="B18" s="1191"/>
      <c r="C18" s="1191"/>
      <c r="D18" s="1190" t="s">
        <v>949</v>
      </c>
      <c r="E18" s="1190" t="s">
        <v>950</v>
      </c>
      <c r="F18" s="1196"/>
      <c r="G18" s="1155"/>
      <c r="H18" s="1155"/>
    </row>
    <row r="19" spans="1:8" ht="22.9" customHeight="1" x14ac:dyDescent="0.25">
      <c r="A19" s="1213"/>
      <c r="B19" s="1192"/>
      <c r="C19" s="1192"/>
      <c r="D19" s="1192"/>
      <c r="E19" s="1192"/>
      <c r="F19" s="1197"/>
      <c r="G19" s="1155"/>
      <c r="H19" s="1155"/>
    </row>
    <row r="20" spans="1:8" x14ac:dyDescent="0.25">
      <c r="A20" s="321" t="s">
        <v>911</v>
      </c>
      <c r="B20" s="371">
        <v>0</v>
      </c>
      <c r="C20" s="383"/>
      <c r="D20" s="384"/>
      <c r="E20" s="373"/>
      <c r="F20" s="384"/>
      <c r="G20" s="1205">
        <v>0</v>
      </c>
      <c r="H20" s="1205"/>
    </row>
    <row r="21" spans="1:8" x14ac:dyDescent="0.25">
      <c r="A21" s="321" t="s">
        <v>912</v>
      </c>
      <c r="B21" s="343">
        <v>0</v>
      </c>
      <c r="C21" s="385"/>
      <c r="D21" s="386"/>
      <c r="E21" s="374"/>
      <c r="F21" s="386"/>
      <c r="G21" s="1205">
        <v>0</v>
      </c>
      <c r="H21" s="1205"/>
    </row>
    <row r="22" spans="1:8" x14ac:dyDescent="0.25">
      <c r="A22" s="321" t="s">
        <v>501</v>
      </c>
      <c r="B22" s="344">
        <v>0</v>
      </c>
      <c r="C22" s="387"/>
      <c r="D22" s="388"/>
      <c r="E22" s="375"/>
      <c r="F22" s="388"/>
      <c r="G22" s="1205">
        <v>0</v>
      </c>
      <c r="H22" s="1205"/>
    </row>
    <row r="23" spans="1:8" x14ac:dyDescent="0.25">
      <c r="A23" s="376" t="s">
        <v>942</v>
      </c>
      <c r="B23" s="377">
        <v>0</v>
      </c>
      <c r="C23" s="377">
        <v>0</v>
      </c>
      <c r="D23" s="377">
        <v>0</v>
      </c>
      <c r="E23" s="377">
        <v>0</v>
      </c>
      <c r="F23" s="377">
        <v>0</v>
      </c>
      <c r="G23" s="1208">
        <v>0</v>
      </c>
      <c r="H23" s="1208"/>
    </row>
    <row r="24" spans="1:8" x14ac:dyDescent="0.25">
      <c r="A24" s="321" t="s">
        <v>914</v>
      </c>
      <c r="B24" s="342">
        <v>0</v>
      </c>
      <c r="C24" s="389"/>
      <c r="D24" s="390"/>
      <c r="E24" s="379"/>
      <c r="F24" s="390"/>
      <c r="G24" s="1209">
        <v>0</v>
      </c>
      <c r="H24" s="1209"/>
    </row>
    <row r="25" spans="1:8" x14ac:dyDescent="0.25">
      <c r="A25" s="321" t="s">
        <v>915</v>
      </c>
      <c r="B25" s="325">
        <v>0</v>
      </c>
      <c r="C25" s="385"/>
      <c r="D25" s="386"/>
      <c r="E25" s="374"/>
      <c r="F25" s="386"/>
      <c r="G25" s="1209">
        <v>0</v>
      </c>
      <c r="H25" s="1209"/>
    </row>
    <row r="26" spans="1:8" x14ac:dyDescent="0.25">
      <c r="A26" s="321" t="s">
        <v>916</v>
      </c>
      <c r="B26" s="343">
        <v>0</v>
      </c>
      <c r="C26" s="385"/>
      <c r="D26" s="386"/>
      <c r="E26" s="374"/>
      <c r="F26" s="386"/>
      <c r="G26" s="1209">
        <v>0</v>
      </c>
      <c r="H26" s="1209"/>
    </row>
    <row r="27" spans="1:8" x14ac:dyDescent="0.25">
      <c r="A27" s="321" t="s">
        <v>917</v>
      </c>
      <c r="B27" s="343">
        <v>0</v>
      </c>
      <c r="C27" s="385"/>
      <c r="D27" s="386"/>
      <c r="E27" s="374"/>
      <c r="F27" s="386"/>
      <c r="G27" s="1209">
        <v>0</v>
      </c>
      <c r="H27" s="1209"/>
    </row>
    <row r="28" spans="1:8" x14ac:dyDescent="0.25">
      <c r="A28" s="321" t="s">
        <v>522</v>
      </c>
      <c r="B28" s="343">
        <v>0</v>
      </c>
      <c r="C28" s="385"/>
      <c r="D28" s="386"/>
      <c r="E28" s="374"/>
      <c r="F28" s="386"/>
      <c r="G28" s="1209">
        <v>0</v>
      </c>
      <c r="H28" s="1209"/>
    </row>
    <row r="29" spans="1:8" x14ac:dyDescent="0.25">
      <c r="A29" s="321" t="s">
        <v>526</v>
      </c>
      <c r="B29" s="343">
        <v>0</v>
      </c>
      <c r="C29" s="385"/>
      <c r="D29" s="386"/>
      <c r="E29" s="374"/>
      <c r="F29" s="386"/>
      <c r="G29" s="1209">
        <v>0</v>
      </c>
      <c r="H29" s="1209"/>
    </row>
    <row r="30" spans="1:8" x14ac:dyDescent="0.25">
      <c r="A30" s="321" t="s">
        <v>531</v>
      </c>
      <c r="B30" s="344">
        <v>0</v>
      </c>
      <c r="C30" s="387"/>
      <c r="D30" s="388"/>
      <c r="E30" s="375"/>
      <c r="F30" s="388"/>
      <c r="G30" s="1209">
        <v>0</v>
      </c>
      <c r="H30" s="1209"/>
    </row>
    <row r="31" spans="1:8" x14ac:dyDescent="0.25">
      <c r="A31" s="376" t="s">
        <v>944</v>
      </c>
      <c r="B31" s="377">
        <v>0</v>
      </c>
      <c r="C31" s="377">
        <v>0</v>
      </c>
      <c r="D31" s="377">
        <v>0</v>
      </c>
      <c r="E31" s="377">
        <v>0</v>
      </c>
      <c r="F31" s="377">
        <v>0</v>
      </c>
      <c r="G31" s="1208">
        <v>0</v>
      </c>
      <c r="H31" s="1208"/>
    </row>
    <row r="32" spans="1:8" x14ac:dyDescent="0.25">
      <c r="A32" s="380" t="s">
        <v>907</v>
      </c>
      <c r="B32" s="381">
        <v>0</v>
      </c>
      <c r="C32" s="381">
        <v>0</v>
      </c>
      <c r="D32" s="381">
        <v>0</v>
      </c>
      <c r="E32" s="381">
        <v>0</v>
      </c>
      <c r="F32" s="381">
        <v>0</v>
      </c>
      <c r="G32" s="1210">
        <v>0</v>
      </c>
      <c r="H32" s="1210"/>
    </row>
    <row r="33" spans="1:8" ht="9.6" customHeight="1" x14ac:dyDescent="0.25"/>
    <row r="34" spans="1:8" x14ac:dyDescent="0.25">
      <c r="A34" s="338" t="s">
        <v>908</v>
      </c>
    </row>
    <row r="35" spans="1:8" x14ac:dyDescent="0.25">
      <c r="A35" s="1204"/>
      <c r="B35" s="1204"/>
      <c r="C35" s="1204"/>
      <c r="D35" s="1204"/>
      <c r="E35" s="1204"/>
      <c r="F35" s="1204"/>
      <c r="G35" s="1204"/>
      <c r="H35" s="1204"/>
    </row>
    <row r="36" spans="1:8" x14ac:dyDescent="0.25">
      <c r="A36" s="1204"/>
      <c r="B36" s="1204"/>
      <c r="C36" s="1204"/>
      <c r="D36" s="1204"/>
      <c r="E36" s="1204"/>
      <c r="F36" s="1204"/>
      <c r="G36" s="1204"/>
      <c r="H36" s="1204"/>
    </row>
    <row r="37" spans="1:8" x14ac:dyDescent="0.25">
      <c r="A37" s="1204"/>
      <c r="B37" s="1204"/>
      <c r="C37" s="1204"/>
      <c r="D37" s="1204"/>
      <c r="E37" s="1204"/>
      <c r="F37" s="1204"/>
      <c r="G37" s="1204"/>
      <c r="H37" s="1204"/>
    </row>
    <row r="38" spans="1:8" x14ac:dyDescent="0.25">
      <c r="A38" s="1204"/>
      <c r="B38" s="1204"/>
      <c r="C38" s="1204"/>
      <c r="D38" s="1204"/>
      <c r="E38" s="1204"/>
      <c r="F38" s="1204"/>
      <c r="G38" s="1204"/>
      <c r="H38" s="1204"/>
    </row>
  </sheetData>
  <mergeCells count="40">
    <mergeCell ref="B11:D11"/>
    <mergeCell ref="E11:F11"/>
    <mergeCell ref="G11:H11"/>
    <mergeCell ref="B2:H2"/>
    <mergeCell ref="B3:H3"/>
    <mergeCell ref="B4:H4"/>
    <mergeCell ref="B5:H5"/>
    <mergeCell ref="B6:D6"/>
    <mergeCell ref="B7:D7"/>
    <mergeCell ref="B8:H8"/>
    <mergeCell ref="B9:H9"/>
    <mergeCell ref="B10:D10"/>
    <mergeCell ref="E10:F10"/>
    <mergeCell ref="G10:H10"/>
    <mergeCell ref="G23:H23"/>
    <mergeCell ref="A13:G13"/>
    <mergeCell ref="A14:G14"/>
    <mergeCell ref="A16:A19"/>
    <mergeCell ref="D16:E16"/>
    <mergeCell ref="G16:H16"/>
    <mergeCell ref="B17:B19"/>
    <mergeCell ref="C17:C19"/>
    <mergeCell ref="D17:E17"/>
    <mergeCell ref="F17:F19"/>
    <mergeCell ref="G17:H19"/>
    <mergeCell ref="D18:D19"/>
    <mergeCell ref="E18:E19"/>
    <mergeCell ref="G20:H20"/>
    <mergeCell ref="G21:H21"/>
    <mergeCell ref="G22:H22"/>
    <mergeCell ref="G30:H30"/>
    <mergeCell ref="G31:H31"/>
    <mergeCell ref="G32:H32"/>
    <mergeCell ref="A35:H38"/>
    <mergeCell ref="G24:H24"/>
    <mergeCell ref="G25:H25"/>
    <mergeCell ref="G26:H26"/>
    <mergeCell ref="G27:H27"/>
    <mergeCell ref="G28:H28"/>
    <mergeCell ref="G29:H29"/>
  </mergeCells>
  <pageMargins left="0.7" right="0.7" top="0.75" bottom="0.75" header="0.3" footer="0.3"/>
  <drawing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1C2CB-79FA-455E-BC47-BE237EEC4131}">
  <dimension ref="A2:I45"/>
  <sheetViews>
    <sheetView workbookViewId="0">
      <selection activeCell="D14" sqref="A1:XFD1048576"/>
    </sheetView>
  </sheetViews>
  <sheetFormatPr baseColWidth="10" defaultRowHeight="15" x14ac:dyDescent="0.25"/>
  <cols>
    <col min="1" max="1" width="46.28515625" customWidth="1"/>
    <col min="2" max="2" width="24.5703125" customWidth="1"/>
    <col min="3" max="3" width="18" customWidth="1"/>
    <col min="4" max="4" width="14.7109375" customWidth="1"/>
    <col min="5" max="5" width="17.28515625" customWidth="1"/>
    <col min="6" max="6" width="14.7109375" customWidth="1"/>
    <col min="7" max="7" width="16.7109375" customWidth="1"/>
    <col min="8" max="8" width="6.42578125" customWidth="1"/>
  </cols>
  <sheetData>
    <row r="2" spans="1:8" x14ac:dyDescent="0.25">
      <c r="A2" s="237" t="s">
        <v>464</v>
      </c>
      <c r="B2" s="958" t="s">
        <v>2</v>
      </c>
      <c r="C2" s="958"/>
      <c r="D2" s="958"/>
      <c r="E2" s="958"/>
      <c r="F2" s="958"/>
      <c r="G2" s="958"/>
      <c r="H2" s="958"/>
    </row>
    <row r="3" spans="1:8" x14ac:dyDescent="0.25">
      <c r="A3" s="237"/>
      <c r="B3" s="957" t="s">
        <v>4</v>
      </c>
      <c r="C3" s="957"/>
      <c r="D3" s="957"/>
      <c r="E3" s="957"/>
      <c r="F3" s="957"/>
      <c r="G3" s="957"/>
      <c r="H3" s="957"/>
    </row>
    <row r="4" spans="1:8" x14ac:dyDescent="0.25">
      <c r="A4" s="237" t="s">
        <v>362</v>
      </c>
      <c r="B4" s="957" t="s">
        <v>6</v>
      </c>
      <c r="C4" s="957"/>
      <c r="D4" s="957"/>
      <c r="E4" s="957"/>
      <c r="F4" s="957"/>
      <c r="G4" s="957"/>
      <c r="H4" s="957"/>
    </row>
    <row r="5" spans="1:8" x14ac:dyDescent="0.25">
      <c r="A5" s="237" t="s">
        <v>363</v>
      </c>
      <c r="B5" s="957">
        <v>4431</v>
      </c>
      <c r="C5" s="957"/>
      <c r="D5" s="957"/>
      <c r="E5" s="957"/>
      <c r="F5" s="957"/>
      <c r="G5" s="957"/>
      <c r="H5" s="957"/>
    </row>
    <row r="6" spans="1:8" x14ac:dyDescent="0.25">
      <c r="A6" s="237" t="s">
        <v>364</v>
      </c>
      <c r="B6" s="957" t="s">
        <v>12</v>
      </c>
      <c r="C6" s="957"/>
      <c r="D6" s="957"/>
      <c r="E6" s="46" t="s">
        <v>365</v>
      </c>
      <c r="F6" s="309">
        <v>46022</v>
      </c>
      <c r="G6" s="199" t="s">
        <v>465</v>
      </c>
      <c r="H6" s="310">
        <v>12</v>
      </c>
    </row>
    <row r="7" spans="1:8" x14ac:dyDescent="0.25">
      <c r="A7" s="311" t="s">
        <v>367</v>
      </c>
      <c r="B7" s="957" t="s">
        <v>8</v>
      </c>
      <c r="C7" s="957"/>
      <c r="D7" s="957"/>
      <c r="E7" s="199"/>
      <c r="F7" s="199"/>
      <c r="G7" s="199"/>
      <c r="H7" s="199"/>
    </row>
    <row r="8" spans="1:8" x14ac:dyDescent="0.25">
      <c r="A8" s="238" t="s">
        <v>466</v>
      </c>
      <c r="B8" s="958" t="s">
        <v>34</v>
      </c>
      <c r="C8" s="958"/>
      <c r="D8" s="958"/>
      <c r="E8" s="958"/>
      <c r="F8" s="958"/>
      <c r="G8" s="958"/>
      <c r="H8" s="958"/>
    </row>
    <row r="9" spans="1:8" x14ac:dyDescent="0.25">
      <c r="A9" s="238"/>
      <c r="B9" s="957">
        <v>555555</v>
      </c>
      <c r="C9" s="957"/>
      <c r="D9" s="957"/>
      <c r="E9" s="957"/>
      <c r="F9" s="957"/>
      <c r="G9" s="957"/>
      <c r="H9" s="957"/>
    </row>
    <row r="10" spans="1:8" x14ac:dyDescent="0.25">
      <c r="A10" s="238" t="s">
        <v>467</v>
      </c>
      <c r="B10" s="957" t="s">
        <v>38</v>
      </c>
      <c r="C10" s="957"/>
      <c r="D10" s="957"/>
      <c r="E10" s="770" t="s">
        <v>468</v>
      </c>
      <c r="F10" s="770"/>
      <c r="G10" s="958" t="s">
        <v>36</v>
      </c>
      <c r="H10" s="958"/>
    </row>
    <row r="11" spans="1:8" x14ac:dyDescent="0.25">
      <c r="A11" s="238" t="s">
        <v>469</v>
      </c>
      <c r="B11" s="954">
        <v>44713</v>
      </c>
      <c r="C11" s="954"/>
      <c r="D11" s="954"/>
      <c r="E11" s="975" t="s">
        <v>470</v>
      </c>
      <c r="F11" s="975"/>
      <c r="G11" s="954">
        <v>45991</v>
      </c>
      <c r="H11" s="954"/>
    </row>
    <row r="12" spans="1:8" ht="6.6" customHeight="1" x14ac:dyDescent="0.25"/>
    <row r="13" spans="1:8" x14ac:dyDescent="0.25">
      <c r="A13" s="1160" t="s">
        <v>951</v>
      </c>
      <c r="B13" s="1160"/>
      <c r="C13" s="1160"/>
      <c r="D13" s="1160"/>
      <c r="E13" s="1160"/>
      <c r="F13" s="1160"/>
      <c r="G13" s="1160"/>
      <c r="H13" s="1160"/>
    </row>
    <row r="14" spans="1:8" x14ac:dyDescent="0.25">
      <c r="A14" s="1160" t="s">
        <v>952</v>
      </c>
      <c r="B14" s="1160"/>
      <c r="C14" s="1160"/>
      <c r="D14" s="1160"/>
      <c r="E14" s="1160"/>
      <c r="F14" s="1160"/>
      <c r="G14" s="1160"/>
      <c r="H14" s="1160"/>
    </row>
    <row r="15" spans="1:8" ht="6.6" customHeight="1" x14ac:dyDescent="0.25">
      <c r="A15" s="314"/>
      <c r="B15" s="314"/>
      <c r="C15" s="314"/>
      <c r="D15" s="370"/>
      <c r="E15" s="370"/>
      <c r="F15" s="315"/>
      <c r="G15" s="315"/>
      <c r="H15" s="315"/>
    </row>
    <row r="16" spans="1:8" x14ac:dyDescent="0.25">
      <c r="A16" s="1229" t="s">
        <v>891</v>
      </c>
      <c r="B16" s="316" t="s">
        <v>665</v>
      </c>
      <c r="C16" s="1168" t="s">
        <v>933</v>
      </c>
      <c r="D16" s="1168"/>
      <c r="E16" s="1168" t="s">
        <v>695</v>
      </c>
      <c r="F16" s="1168"/>
      <c r="G16" s="1168" t="s">
        <v>894</v>
      </c>
      <c r="H16" s="1168"/>
    </row>
    <row r="17" spans="1:8" ht="14.45" customHeight="1" x14ac:dyDescent="0.25">
      <c r="A17" s="1230"/>
      <c r="B17" s="1155" t="s">
        <v>953</v>
      </c>
      <c r="C17" s="1155" t="s">
        <v>936</v>
      </c>
      <c r="D17" s="1155"/>
      <c r="E17" s="1155" t="s">
        <v>954</v>
      </c>
      <c r="F17" s="1155"/>
      <c r="G17" s="1155" t="s">
        <v>955</v>
      </c>
      <c r="H17" s="1155"/>
    </row>
    <row r="18" spans="1:8" ht="14.45" customHeight="1" x14ac:dyDescent="0.25">
      <c r="A18" s="1230"/>
      <c r="B18" s="1155"/>
      <c r="C18" s="1155"/>
      <c r="D18" s="1155"/>
      <c r="E18" s="1155"/>
      <c r="F18" s="1155"/>
      <c r="G18" s="1155"/>
      <c r="H18" s="1155"/>
    </row>
    <row r="19" spans="1:8" ht="25.15" customHeight="1" x14ac:dyDescent="0.25">
      <c r="A19" s="1230"/>
      <c r="B19" s="1155"/>
      <c r="C19" s="1155"/>
      <c r="D19" s="1155"/>
      <c r="E19" s="1155"/>
      <c r="F19" s="1155"/>
      <c r="G19" s="1155"/>
      <c r="H19" s="1155"/>
    </row>
    <row r="20" spans="1:8" x14ac:dyDescent="0.25">
      <c r="A20" s="391" t="s">
        <v>911</v>
      </c>
      <c r="B20" s="371">
        <v>0</v>
      </c>
      <c r="C20" s="1227"/>
      <c r="D20" s="1227"/>
      <c r="E20" s="1228"/>
      <c r="F20" s="1228"/>
      <c r="G20" s="1205">
        <v>0</v>
      </c>
      <c r="H20" s="1205"/>
    </row>
    <row r="21" spans="1:8" x14ac:dyDescent="0.25">
      <c r="A21" s="321" t="s">
        <v>912</v>
      </c>
      <c r="B21" s="343">
        <v>0</v>
      </c>
      <c r="C21" s="1218"/>
      <c r="D21" s="1218"/>
      <c r="E21" s="1219"/>
      <c r="F21" s="1219"/>
      <c r="G21" s="1205">
        <v>0</v>
      </c>
      <c r="H21" s="1205"/>
    </row>
    <row r="22" spans="1:8" x14ac:dyDescent="0.25">
      <c r="A22" s="321" t="s">
        <v>913</v>
      </c>
      <c r="B22" s="343">
        <v>0</v>
      </c>
      <c r="C22" s="1218"/>
      <c r="D22" s="1218"/>
      <c r="E22" s="1219"/>
      <c r="F22" s="1219"/>
      <c r="G22" s="1205">
        <v>0</v>
      </c>
      <c r="H22" s="1205"/>
    </row>
    <row r="23" spans="1:8" x14ac:dyDescent="0.25">
      <c r="A23" s="321" t="s">
        <v>501</v>
      </c>
      <c r="B23" s="344">
        <v>0</v>
      </c>
      <c r="C23" s="1223"/>
      <c r="D23" s="1223"/>
      <c r="E23" s="1224"/>
      <c r="F23" s="1224"/>
      <c r="G23" s="1205">
        <v>0</v>
      </c>
      <c r="H23" s="1205"/>
    </row>
    <row r="24" spans="1:8" x14ac:dyDescent="0.25">
      <c r="A24" s="392" t="s">
        <v>942</v>
      </c>
      <c r="B24" s="377">
        <v>0</v>
      </c>
      <c r="C24" s="1220">
        <v>0</v>
      </c>
      <c r="D24" s="1220"/>
      <c r="E24" s="1221">
        <v>0</v>
      </c>
      <c r="F24" s="1221"/>
      <c r="G24" s="1205">
        <v>0</v>
      </c>
      <c r="H24" s="1205"/>
    </row>
    <row r="25" spans="1:8" x14ac:dyDescent="0.25">
      <c r="A25" s="321" t="s">
        <v>956</v>
      </c>
      <c r="B25" s="342">
        <v>0</v>
      </c>
      <c r="C25" s="1225"/>
      <c r="D25" s="1225"/>
      <c r="E25" s="1226"/>
      <c r="F25" s="1226"/>
      <c r="G25" s="1205">
        <v>0</v>
      </c>
      <c r="H25" s="1205"/>
    </row>
    <row r="26" spans="1:8" x14ac:dyDescent="0.25">
      <c r="A26" s="321" t="s">
        <v>957</v>
      </c>
      <c r="B26" s="343">
        <v>0</v>
      </c>
      <c r="C26" s="1218"/>
      <c r="D26" s="1218"/>
      <c r="E26" s="1219"/>
      <c r="F26" s="1219"/>
      <c r="G26" s="1205">
        <v>0</v>
      </c>
      <c r="H26" s="1205"/>
    </row>
    <row r="27" spans="1:8" x14ac:dyDescent="0.25">
      <c r="A27" s="321" t="s">
        <v>958</v>
      </c>
      <c r="B27" s="343">
        <v>0</v>
      </c>
      <c r="C27" s="1218"/>
      <c r="D27" s="1218"/>
      <c r="E27" s="1219"/>
      <c r="F27" s="1219"/>
      <c r="G27" s="1205">
        <v>0</v>
      </c>
      <c r="H27" s="1205"/>
    </row>
    <row r="28" spans="1:8" x14ac:dyDescent="0.25">
      <c r="A28" s="321" t="s">
        <v>959</v>
      </c>
      <c r="B28" s="343">
        <v>0</v>
      </c>
      <c r="C28" s="1218"/>
      <c r="D28" s="1218"/>
      <c r="E28" s="1219"/>
      <c r="F28" s="1219"/>
      <c r="G28" s="1205">
        <v>0</v>
      </c>
      <c r="H28" s="1205"/>
    </row>
    <row r="29" spans="1:8" x14ac:dyDescent="0.25">
      <c r="A29" s="321" t="s">
        <v>522</v>
      </c>
      <c r="B29" s="343">
        <v>0</v>
      </c>
      <c r="C29" s="1218"/>
      <c r="D29" s="1218"/>
      <c r="E29" s="1219"/>
      <c r="F29" s="1219"/>
      <c r="G29" s="1205">
        <v>0</v>
      </c>
      <c r="H29" s="1205"/>
    </row>
    <row r="30" spans="1:8" x14ac:dyDescent="0.25">
      <c r="A30" s="321" t="s">
        <v>960</v>
      </c>
      <c r="B30" s="343">
        <v>0</v>
      </c>
      <c r="C30" s="1218"/>
      <c r="D30" s="1218"/>
      <c r="E30" s="1219"/>
      <c r="F30" s="1219"/>
      <c r="G30" s="1205">
        <v>0</v>
      </c>
      <c r="H30" s="1205"/>
    </row>
    <row r="31" spans="1:8" x14ac:dyDescent="0.25">
      <c r="A31" s="321" t="s">
        <v>928</v>
      </c>
      <c r="B31" s="343">
        <v>0</v>
      </c>
      <c r="C31" s="1218"/>
      <c r="D31" s="1218"/>
      <c r="E31" s="1219"/>
      <c r="F31" s="1219"/>
      <c r="G31" s="1205">
        <v>0</v>
      </c>
      <c r="H31" s="1205"/>
    </row>
    <row r="32" spans="1:8" x14ac:dyDescent="0.25">
      <c r="A32" s="321" t="s">
        <v>918</v>
      </c>
      <c r="B32" s="344">
        <v>0</v>
      </c>
      <c r="C32" s="1223"/>
      <c r="D32" s="1223"/>
      <c r="E32" s="1224"/>
      <c r="F32" s="1224"/>
      <c r="G32" s="1205">
        <v>0</v>
      </c>
      <c r="H32" s="1205"/>
    </row>
    <row r="33" spans="1:9" x14ac:dyDescent="0.25">
      <c r="A33" s="392" t="s">
        <v>944</v>
      </c>
      <c r="B33" s="377">
        <v>0</v>
      </c>
      <c r="C33" s="1220">
        <v>0</v>
      </c>
      <c r="D33" s="1220"/>
      <c r="E33" s="1221">
        <v>0</v>
      </c>
      <c r="F33" s="1221"/>
      <c r="G33" s="1222">
        <v>0</v>
      </c>
      <c r="H33" s="1222"/>
    </row>
    <row r="34" spans="1:9" x14ac:dyDescent="0.25">
      <c r="A34" s="319" t="s">
        <v>906</v>
      </c>
      <c r="B34" s="393"/>
      <c r="C34" s="1220"/>
      <c r="D34" s="1220"/>
      <c r="E34" s="1221"/>
      <c r="F34" s="1221"/>
      <c r="G34" s="1205">
        <v>0</v>
      </c>
      <c r="H34" s="1205"/>
    </row>
    <row r="35" spans="1:9" x14ac:dyDescent="0.25">
      <c r="A35" s="331" t="s">
        <v>961</v>
      </c>
      <c r="B35" s="322">
        <v>0</v>
      </c>
      <c r="C35" s="1218"/>
      <c r="D35" s="1218"/>
      <c r="E35" s="1219"/>
      <c r="F35" s="1219"/>
      <c r="G35" s="1205">
        <v>0</v>
      </c>
      <c r="H35" s="1205"/>
    </row>
    <row r="36" spans="1:9" x14ac:dyDescent="0.25">
      <c r="A36" s="394" t="s">
        <v>962</v>
      </c>
      <c r="B36" s="328">
        <v>0</v>
      </c>
      <c r="C36" s="1218"/>
      <c r="D36" s="1218"/>
      <c r="E36" s="1219"/>
      <c r="F36" s="1219"/>
      <c r="G36" s="1205">
        <v>0</v>
      </c>
      <c r="H36" s="1205"/>
    </row>
    <row r="37" spans="1:9" x14ac:dyDescent="0.25">
      <c r="A37" s="376" t="s">
        <v>963</v>
      </c>
      <c r="B37" s="393">
        <v>0</v>
      </c>
      <c r="C37" s="1220">
        <v>0</v>
      </c>
      <c r="D37" s="1220"/>
      <c r="E37" s="1221">
        <v>0</v>
      </c>
      <c r="F37" s="1221"/>
      <c r="G37" s="1222">
        <v>0</v>
      </c>
      <c r="H37" s="1222"/>
    </row>
    <row r="38" spans="1:9" x14ac:dyDescent="0.25">
      <c r="A38" s="380" t="s">
        <v>964</v>
      </c>
      <c r="B38" s="381">
        <v>0</v>
      </c>
      <c r="C38" s="1216">
        <v>0</v>
      </c>
      <c r="D38" s="1216"/>
      <c r="E38" s="1210">
        <v>0</v>
      </c>
      <c r="F38" s="1210"/>
      <c r="G38" s="1217">
        <v>0</v>
      </c>
      <c r="H38" s="1217"/>
    </row>
    <row r="39" spans="1:9" ht="6" customHeight="1" x14ac:dyDescent="0.25">
      <c r="A39" s="241"/>
      <c r="B39" s="241"/>
      <c r="C39" s="241"/>
      <c r="D39" s="241"/>
      <c r="E39" s="241"/>
      <c r="F39" s="241"/>
      <c r="G39" s="241"/>
      <c r="H39" s="241"/>
    </row>
    <row r="40" spans="1:9" x14ac:dyDescent="0.25">
      <c r="A40" s="338" t="s">
        <v>908</v>
      </c>
      <c r="B40" s="338"/>
      <c r="C40" s="338"/>
      <c r="D40" s="338"/>
      <c r="E40" s="338"/>
      <c r="F40" s="338"/>
      <c r="G40" s="338"/>
      <c r="H40" s="338"/>
      <c r="I40" s="395"/>
    </row>
    <row r="41" spans="1:9" x14ac:dyDescent="0.25">
      <c r="A41" s="1150"/>
      <c r="B41" s="1150"/>
      <c r="C41" s="1150"/>
      <c r="D41" s="1150"/>
      <c r="E41" s="1150"/>
      <c r="F41" s="1150"/>
      <c r="G41" s="1150"/>
      <c r="H41" s="1150"/>
      <c r="I41" s="396"/>
    </row>
    <row r="42" spans="1:9" x14ac:dyDescent="0.25">
      <c r="A42" s="1150"/>
      <c r="B42" s="1150"/>
      <c r="C42" s="1150"/>
      <c r="D42" s="1150"/>
      <c r="E42" s="1150"/>
      <c r="F42" s="1150"/>
      <c r="G42" s="1150"/>
      <c r="H42" s="1150"/>
      <c r="I42" s="396"/>
    </row>
    <row r="43" spans="1:9" x14ac:dyDescent="0.25">
      <c r="A43" s="1150"/>
      <c r="B43" s="1150"/>
      <c r="C43" s="1150"/>
      <c r="D43" s="1150"/>
      <c r="E43" s="1150"/>
      <c r="F43" s="1150"/>
      <c r="G43" s="1150"/>
      <c r="H43" s="1150"/>
      <c r="I43" s="396"/>
    </row>
    <row r="44" spans="1:9" x14ac:dyDescent="0.25">
      <c r="A44" s="1150"/>
      <c r="B44" s="1150"/>
      <c r="C44" s="1150"/>
      <c r="D44" s="1150"/>
      <c r="E44" s="1150"/>
      <c r="F44" s="1150"/>
      <c r="G44" s="1150"/>
      <c r="H44" s="1150"/>
      <c r="I44" s="396"/>
    </row>
    <row r="45" spans="1:9" x14ac:dyDescent="0.25">
      <c r="A45" s="1150"/>
      <c r="B45" s="1150"/>
      <c r="C45" s="1150"/>
      <c r="D45" s="1150"/>
      <c r="E45" s="1150"/>
      <c r="F45" s="1150"/>
      <c r="G45" s="1150"/>
      <c r="H45" s="1150"/>
      <c r="I45" s="396"/>
    </row>
  </sheetData>
  <mergeCells count="82">
    <mergeCell ref="B11:D11"/>
    <mergeCell ref="E11:F11"/>
    <mergeCell ref="G11:H11"/>
    <mergeCell ref="B2:H2"/>
    <mergeCell ref="B3:H3"/>
    <mergeCell ref="B4:H4"/>
    <mergeCell ref="B5:H5"/>
    <mergeCell ref="B6:D6"/>
    <mergeCell ref="B7:D7"/>
    <mergeCell ref="B8:H8"/>
    <mergeCell ref="B9:H9"/>
    <mergeCell ref="B10:D10"/>
    <mergeCell ref="E10:F10"/>
    <mergeCell ref="G10:H10"/>
    <mergeCell ref="A13:H13"/>
    <mergeCell ref="A14:H14"/>
    <mergeCell ref="A16:A19"/>
    <mergeCell ref="C16:D16"/>
    <mergeCell ref="E16:F16"/>
    <mergeCell ref="G16:H16"/>
    <mergeCell ref="B17:B19"/>
    <mergeCell ref="C17:D19"/>
    <mergeCell ref="E17:F19"/>
    <mergeCell ref="G17:H19"/>
    <mergeCell ref="C20:D20"/>
    <mergeCell ref="E20:F20"/>
    <mergeCell ref="G20:H20"/>
    <mergeCell ref="C21:D21"/>
    <mergeCell ref="E21:F21"/>
    <mergeCell ref="G21:H21"/>
    <mergeCell ref="C22:D22"/>
    <mergeCell ref="E22:F22"/>
    <mergeCell ref="G22:H22"/>
    <mergeCell ref="C23:D23"/>
    <mergeCell ref="E23:F23"/>
    <mergeCell ref="G23:H23"/>
    <mergeCell ref="C24:D24"/>
    <mergeCell ref="E24:F24"/>
    <mergeCell ref="G24:H24"/>
    <mergeCell ref="C25:D25"/>
    <mergeCell ref="E25:F25"/>
    <mergeCell ref="G25:H25"/>
    <mergeCell ref="C26:D26"/>
    <mergeCell ref="E26:F26"/>
    <mergeCell ref="G26:H26"/>
    <mergeCell ref="C27:D27"/>
    <mergeCell ref="E27:F27"/>
    <mergeCell ref="G27:H27"/>
    <mergeCell ref="C28:D28"/>
    <mergeCell ref="E28:F28"/>
    <mergeCell ref="G28:H28"/>
    <mergeCell ref="C29:D29"/>
    <mergeCell ref="E29:F29"/>
    <mergeCell ref="G29:H29"/>
    <mergeCell ref="C30:D30"/>
    <mergeCell ref="E30:F30"/>
    <mergeCell ref="G30:H30"/>
    <mergeCell ref="C31:D31"/>
    <mergeCell ref="E31:F31"/>
    <mergeCell ref="G31:H31"/>
    <mergeCell ref="C32:D32"/>
    <mergeCell ref="E32:F32"/>
    <mergeCell ref="G32:H32"/>
    <mergeCell ref="C33:D33"/>
    <mergeCell ref="E33:F33"/>
    <mergeCell ref="G33:H33"/>
    <mergeCell ref="C34:D34"/>
    <mergeCell ref="E34:F34"/>
    <mergeCell ref="G34:H34"/>
    <mergeCell ref="C35:D35"/>
    <mergeCell ref="E35:F35"/>
    <mergeCell ref="G35:H35"/>
    <mergeCell ref="C38:D38"/>
    <mergeCell ref="E38:F38"/>
    <mergeCell ref="G38:H38"/>
    <mergeCell ref="A41:H45"/>
    <mergeCell ref="C36:D36"/>
    <mergeCell ref="E36:F36"/>
    <mergeCell ref="G36:H36"/>
    <mergeCell ref="C37:D37"/>
    <mergeCell ref="E37:F37"/>
    <mergeCell ref="G37:H37"/>
  </mergeCells>
  <pageMargins left="0.7" right="0.7" top="0.75" bottom="0.75" header="0.3" footer="0.3"/>
  <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27454C-04B2-45E7-9A85-74FC05C71E36}">
  <dimension ref="A2:H40"/>
  <sheetViews>
    <sheetView workbookViewId="0">
      <selection activeCell="F16" sqref="A1:XFD1048576"/>
    </sheetView>
  </sheetViews>
  <sheetFormatPr baseColWidth="10" defaultRowHeight="15" x14ac:dyDescent="0.25"/>
  <cols>
    <col min="1" max="1" width="32.5703125" customWidth="1"/>
    <col min="2" max="2" width="13.7109375" customWidth="1"/>
    <col min="3" max="3" width="18" customWidth="1"/>
    <col min="4" max="4" width="17.7109375" customWidth="1"/>
    <col min="5" max="5" width="17.28515625" customWidth="1"/>
    <col min="6" max="6" width="14.7109375" customWidth="1"/>
    <col min="7" max="7" width="17" customWidth="1"/>
    <col min="8" max="8" width="6.42578125" customWidth="1"/>
  </cols>
  <sheetData>
    <row r="2" spans="1:8" x14ac:dyDescent="0.25">
      <c r="A2" s="237" t="s">
        <v>464</v>
      </c>
      <c r="B2" s="958" t="s">
        <v>2</v>
      </c>
      <c r="C2" s="958"/>
      <c r="D2" s="958"/>
      <c r="E2" s="958"/>
      <c r="F2" s="958"/>
      <c r="G2" s="958"/>
      <c r="H2" s="958"/>
    </row>
    <row r="3" spans="1:8" x14ac:dyDescent="0.25">
      <c r="A3" s="237"/>
      <c r="B3" s="957" t="s">
        <v>4</v>
      </c>
      <c r="C3" s="957"/>
      <c r="D3" s="957"/>
      <c r="E3" s="957"/>
      <c r="F3" s="957"/>
      <c r="G3" s="957"/>
      <c r="H3" s="957"/>
    </row>
    <row r="4" spans="1:8" x14ac:dyDescent="0.25">
      <c r="A4" s="237" t="s">
        <v>362</v>
      </c>
      <c r="B4" s="957" t="s">
        <v>6</v>
      </c>
      <c r="C4" s="957"/>
      <c r="D4" s="957"/>
      <c r="E4" s="957"/>
      <c r="F4" s="957"/>
      <c r="G4" s="957"/>
      <c r="H4" s="957"/>
    </row>
    <row r="5" spans="1:8" x14ac:dyDescent="0.25">
      <c r="A5" s="237" t="s">
        <v>363</v>
      </c>
      <c r="B5" s="957">
        <v>4431</v>
      </c>
      <c r="C5" s="957"/>
      <c r="D5" s="957"/>
      <c r="E5" s="957"/>
      <c r="F5" s="957"/>
      <c r="G5" s="957"/>
      <c r="H5" s="957"/>
    </row>
    <row r="6" spans="1:8" x14ac:dyDescent="0.25">
      <c r="A6" s="237" t="s">
        <v>364</v>
      </c>
      <c r="B6" s="957" t="s">
        <v>12</v>
      </c>
      <c r="C6" s="957"/>
      <c r="D6" s="957"/>
      <c r="E6" s="46" t="s">
        <v>365</v>
      </c>
      <c r="F6" s="309">
        <v>46022</v>
      </c>
      <c r="G6" s="199" t="s">
        <v>366</v>
      </c>
      <c r="H6" s="310">
        <v>12</v>
      </c>
    </row>
    <row r="7" spans="1:8" x14ac:dyDescent="0.25">
      <c r="A7" s="311" t="s">
        <v>367</v>
      </c>
      <c r="B7" s="957" t="s">
        <v>8</v>
      </c>
      <c r="C7" s="957"/>
      <c r="D7" s="957"/>
      <c r="E7" s="199"/>
      <c r="F7" s="199"/>
      <c r="G7" s="199"/>
      <c r="H7" s="199"/>
    </row>
    <row r="8" spans="1:8" x14ac:dyDescent="0.25">
      <c r="A8" s="238" t="s">
        <v>466</v>
      </c>
      <c r="B8" s="958" t="s">
        <v>34</v>
      </c>
      <c r="C8" s="958"/>
      <c r="D8" s="958"/>
      <c r="E8" s="958"/>
      <c r="F8" s="958"/>
      <c r="G8" s="958"/>
      <c r="H8" s="958"/>
    </row>
    <row r="9" spans="1:8" x14ac:dyDescent="0.25">
      <c r="A9" s="238"/>
      <c r="B9" s="957">
        <v>555555</v>
      </c>
      <c r="C9" s="957"/>
      <c r="D9" s="957"/>
      <c r="E9" s="957"/>
      <c r="F9" s="957"/>
      <c r="G9" s="957"/>
      <c r="H9" s="957"/>
    </row>
    <row r="10" spans="1:8" x14ac:dyDescent="0.25">
      <c r="A10" s="238" t="s">
        <v>467</v>
      </c>
      <c r="B10" s="957" t="s">
        <v>38</v>
      </c>
      <c r="C10" s="957"/>
      <c r="D10" s="957"/>
      <c r="E10" s="770" t="s">
        <v>468</v>
      </c>
      <c r="F10" s="770"/>
      <c r="G10" s="958" t="s">
        <v>36</v>
      </c>
      <c r="H10" s="958"/>
    </row>
    <row r="11" spans="1:8" x14ac:dyDescent="0.25">
      <c r="A11" s="238" t="s">
        <v>469</v>
      </c>
      <c r="B11" s="954">
        <v>44713</v>
      </c>
      <c r="C11" s="954"/>
      <c r="D11" s="954"/>
      <c r="E11" s="975" t="s">
        <v>470</v>
      </c>
      <c r="F11" s="975"/>
      <c r="G11" s="954">
        <v>45991</v>
      </c>
      <c r="H11" s="954"/>
    </row>
    <row r="12" spans="1:8" ht="8.4499999999999993" customHeight="1" x14ac:dyDescent="0.25"/>
    <row r="13" spans="1:8" ht="14.45" customHeight="1" x14ac:dyDescent="0.25">
      <c r="A13" s="1160" t="s">
        <v>965</v>
      </c>
      <c r="B13" s="1160"/>
      <c r="C13" s="1160"/>
      <c r="D13" s="1160"/>
      <c r="E13" s="1160"/>
      <c r="F13" s="1160"/>
      <c r="G13" s="1160"/>
      <c r="H13" s="1160"/>
    </row>
    <row r="14" spans="1:8" ht="14.45" customHeight="1" x14ac:dyDescent="0.25">
      <c r="A14" s="1161" t="s">
        <v>966</v>
      </c>
      <c r="B14" s="1161"/>
      <c r="C14" s="1161"/>
      <c r="D14" s="1161"/>
      <c r="E14" s="1161"/>
      <c r="F14" s="1161"/>
      <c r="G14" s="1161"/>
      <c r="H14" s="1161"/>
    </row>
    <row r="15" spans="1:8" ht="8.4499999999999993" customHeight="1" x14ac:dyDescent="0.25">
      <c r="A15" s="314"/>
      <c r="B15" s="314"/>
      <c r="C15" s="314"/>
      <c r="D15" s="314"/>
      <c r="E15" s="314"/>
      <c r="F15" s="314"/>
      <c r="G15" s="314"/>
      <c r="H15" s="315"/>
    </row>
    <row r="16" spans="1:8" x14ac:dyDescent="0.25">
      <c r="A16" s="1240" t="s">
        <v>967</v>
      </c>
      <c r="B16" s="1241"/>
      <c r="C16" s="1246" t="s">
        <v>968</v>
      </c>
      <c r="D16" s="1247" t="s">
        <v>969</v>
      </c>
      <c r="E16" s="1247" t="s">
        <v>970</v>
      </c>
      <c r="F16" s="1247" t="s">
        <v>971</v>
      </c>
      <c r="G16" s="1247" t="s">
        <v>972</v>
      </c>
      <c r="H16" s="1247"/>
    </row>
    <row r="17" spans="1:8" x14ac:dyDescent="0.25">
      <c r="A17" s="1242"/>
      <c r="B17" s="1243"/>
      <c r="C17" s="1246"/>
      <c r="D17" s="1247"/>
      <c r="E17" s="1247"/>
      <c r="F17" s="1247"/>
      <c r="G17" s="1247"/>
      <c r="H17" s="1247"/>
    </row>
    <row r="18" spans="1:8" x14ac:dyDescent="0.25">
      <c r="A18" s="1242"/>
      <c r="B18" s="1243"/>
      <c r="C18" s="1246"/>
      <c r="D18" s="1247"/>
      <c r="E18" s="1247"/>
      <c r="F18" s="1247"/>
      <c r="G18" s="1247"/>
      <c r="H18" s="1247"/>
    </row>
    <row r="19" spans="1:8" ht="26.45" customHeight="1" x14ac:dyDescent="0.25">
      <c r="A19" s="1244"/>
      <c r="B19" s="1245"/>
      <c r="C19" s="397" t="s">
        <v>665</v>
      </c>
      <c r="D19" s="397" t="s">
        <v>53</v>
      </c>
      <c r="E19" s="397" t="s">
        <v>973</v>
      </c>
      <c r="F19" s="397" t="s">
        <v>704</v>
      </c>
      <c r="G19" s="1248" t="s">
        <v>974</v>
      </c>
      <c r="H19" s="1248"/>
    </row>
    <row r="20" spans="1:8" x14ac:dyDescent="0.25">
      <c r="A20" s="1238" t="s">
        <v>975</v>
      </c>
      <c r="B20" s="1239"/>
      <c r="C20" s="372"/>
      <c r="D20" s="372"/>
      <c r="E20" s="400">
        <f>C20-D20</f>
        <v>0</v>
      </c>
      <c r="F20" s="372"/>
      <c r="G20" s="1237">
        <f>F20-E20</f>
        <v>0</v>
      </c>
      <c r="H20" s="1237"/>
    </row>
    <row r="21" spans="1:8" x14ac:dyDescent="0.25">
      <c r="A21" s="1238" t="s">
        <v>912</v>
      </c>
      <c r="B21" s="1239"/>
      <c r="C21" s="326"/>
      <c r="D21" s="326"/>
      <c r="E21" s="401">
        <f>C21-D21</f>
        <v>0</v>
      </c>
      <c r="F21" s="326"/>
      <c r="G21" s="1237">
        <f t="shared" ref="G21:G33" si="0">F21-E21</f>
        <v>0</v>
      </c>
      <c r="H21" s="1237"/>
    </row>
    <row r="22" spans="1:8" x14ac:dyDescent="0.25">
      <c r="A22" s="1235" t="s">
        <v>501</v>
      </c>
      <c r="B22" s="1236"/>
      <c r="C22" s="329"/>
      <c r="D22" s="329"/>
      <c r="E22" s="402">
        <f>C22-D22</f>
        <v>0</v>
      </c>
      <c r="F22" s="329"/>
      <c r="G22" s="1237">
        <f t="shared" si="0"/>
        <v>0</v>
      </c>
      <c r="H22" s="1237"/>
    </row>
    <row r="23" spans="1:8" x14ac:dyDescent="0.25">
      <c r="A23" s="1231" t="s">
        <v>942</v>
      </c>
      <c r="B23" s="1231"/>
      <c r="C23" s="403">
        <f>SUM(C20:C22)</f>
        <v>0</v>
      </c>
      <c r="D23" s="403">
        <f>SUM(D20:D22)</f>
        <v>0</v>
      </c>
      <c r="E23" s="403">
        <f>SUM(E20:E22)</f>
        <v>0</v>
      </c>
      <c r="F23" s="403">
        <f>SUM(F20:F22)</f>
        <v>0</v>
      </c>
      <c r="G23" s="1232">
        <f>F23-E23</f>
        <v>0</v>
      </c>
      <c r="H23" s="1232"/>
    </row>
    <row r="24" spans="1:8" x14ac:dyDescent="0.25">
      <c r="A24" s="1235" t="s">
        <v>513</v>
      </c>
      <c r="B24" s="1236"/>
      <c r="C24" s="323"/>
      <c r="D24" s="323"/>
      <c r="E24" s="404">
        <f t="shared" ref="E24:E28" si="1">C24-D24</f>
        <v>0</v>
      </c>
      <c r="F24" s="323"/>
      <c r="G24" s="1237">
        <f t="shared" si="0"/>
        <v>0</v>
      </c>
      <c r="H24" s="1237"/>
    </row>
    <row r="25" spans="1:8" x14ac:dyDescent="0.25">
      <c r="A25" s="1235" t="s">
        <v>518</v>
      </c>
      <c r="B25" s="1236"/>
      <c r="C25" s="326"/>
      <c r="D25" s="326"/>
      <c r="E25" s="401">
        <f t="shared" si="1"/>
        <v>0</v>
      </c>
      <c r="F25" s="326"/>
      <c r="G25" s="1237">
        <f t="shared" si="0"/>
        <v>0</v>
      </c>
      <c r="H25" s="1237"/>
    </row>
    <row r="26" spans="1:8" x14ac:dyDescent="0.25">
      <c r="A26" s="1235" t="s">
        <v>522</v>
      </c>
      <c r="B26" s="1236"/>
      <c r="C26" s="326"/>
      <c r="D26" s="326"/>
      <c r="E26" s="401">
        <f t="shared" si="1"/>
        <v>0</v>
      </c>
      <c r="F26" s="326"/>
      <c r="G26" s="1237">
        <f t="shared" si="0"/>
        <v>0</v>
      </c>
      <c r="H26" s="1237"/>
    </row>
    <row r="27" spans="1:8" x14ac:dyDescent="0.25">
      <c r="A27" s="1235" t="s">
        <v>526</v>
      </c>
      <c r="B27" s="1236"/>
      <c r="C27" s="326"/>
      <c r="D27" s="326"/>
      <c r="E27" s="401">
        <f t="shared" si="1"/>
        <v>0</v>
      </c>
      <c r="F27" s="326"/>
      <c r="G27" s="1237">
        <f t="shared" si="0"/>
        <v>0</v>
      </c>
      <c r="H27" s="1237"/>
    </row>
    <row r="28" spans="1:8" x14ac:dyDescent="0.25">
      <c r="A28" s="1235" t="s">
        <v>531</v>
      </c>
      <c r="B28" s="1236"/>
      <c r="C28" s="329"/>
      <c r="D28" s="329"/>
      <c r="E28" s="402">
        <f t="shared" si="1"/>
        <v>0</v>
      </c>
      <c r="F28" s="329"/>
      <c r="G28" s="1237">
        <f t="shared" si="0"/>
        <v>0</v>
      </c>
      <c r="H28" s="1237"/>
    </row>
    <row r="29" spans="1:8" x14ac:dyDescent="0.25">
      <c r="A29" s="1231" t="s">
        <v>944</v>
      </c>
      <c r="B29" s="1231"/>
      <c r="C29" s="403">
        <f>SUM(C24:C28)</f>
        <v>0</v>
      </c>
      <c r="D29" s="403">
        <f>SUM(D24:D28)</f>
        <v>0</v>
      </c>
      <c r="E29" s="403">
        <f>SUM(E24:E28)</f>
        <v>0</v>
      </c>
      <c r="F29" s="403">
        <f>SUM(F24:F28)</f>
        <v>0</v>
      </c>
      <c r="G29" s="1232">
        <f t="shared" si="0"/>
        <v>0</v>
      </c>
      <c r="H29" s="1232"/>
    </row>
    <row r="30" spans="1:8" x14ac:dyDescent="0.25">
      <c r="A30" s="1235" t="s">
        <v>543</v>
      </c>
      <c r="B30" s="1236"/>
      <c r="C30" s="323"/>
      <c r="D30" s="323"/>
      <c r="E30" s="404">
        <f>C30-D30</f>
        <v>0</v>
      </c>
      <c r="F30" s="323"/>
      <c r="G30" s="1237">
        <f t="shared" si="0"/>
        <v>0</v>
      </c>
      <c r="H30" s="1237"/>
    </row>
    <row r="31" spans="1:8" x14ac:dyDescent="0.25">
      <c r="A31" s="1235" t="s">
        <v>548</v>
      </c>
      <c r="B31" s="1236"/>
      <c r="C31" s="329"/>
      <c r="D31" s="329"/>
      <c r="E31" s="402">
        <f>C31-D31</f>
        <v>0</v>
      </c>
      <c r="F31" s="329"/>
      <c r="G31" s="1237">
        <f t="shared" si="0"/>
        <v>0</v>
      </c>
      <c r="H31" s="1237"/>
    </row>
    <row r="32" spans="1:8" x14ac:dyDescent="0.25">
      <c r="A32" s="1231" t="s">
        <v>976</v>
      </c>
      <c r="B32" s="1231"/>
      <c r="C32" s="365">
        <f>SUM(C30:C31)</f>
        <v>0</v>
      </c>
      <c r="D32" s="365">
        <f>SUM(D30:D31)</f>
        <v>0</v>
      </c>
      <c r="E32" s="365">
        <f>SUM(E30:E31)</f>
        <v>0</v>
      </c>
      <c r="F32" s="365">
        <f>SUM(F30:F31)</f>
        <v>0</v>
      </c>
      <c r="G32" s="1232">
        <f t="shared" si="0"/>
        <v>0</v>
      </c>
      <c r="H32" s="1232"/>
    </row>
    <row r="33" spans="1:8" x14ac:dyDescent="0.25">
      <c r="A33" s="1233" t="s">
        <v>599</v>
      </c>
      <c r="B33" s="1234"/>
      <c r="C33" s="403">
        <f>C23+C29+C32</f>
        <v>0</v>
      </c>
      <c r="D33" s="403">
        <f>D23+D29+D32</f>
        <v>0</v>
      </c>
      <c r="E33" s="403">
        <f>E23+E29+E32</f>
        <v>0</v>
      </c>
      <c r="F33" s="403">
        <f>F23+F29+F32</f>
        <v>0</v>
      </c>
      <c r="G33" s="1232">
        <f t="shared" si="0"/>
        <v>0</v>
      </c>
      <c r="H33" s="1232"/>
    </row>
    <row r="34" spans="1:8" ht="9.6" customHeight="1" x14ac:dyDescent="0.25">
      <c r="A34" s="338"/>
      <c r="B34" s="368"/>
      <c r="C34" s="340"/>
      <c r="D34" s="340"/>
      <c r="E34" s="340"/>
      <c r="F34" s="340"/>
      <c r="G34" s="340"/>
      <c r="H34" s="241"/>
    </row>
    <row r="35" spans="1:8" x14ac:dyDescent="0.25">
      <c r="A35" s="338" t="s">
        <v>908</v>
      </c>
      <c r="B35" s="338"/>
      <c r="C35" s="338"/>
      <c r="D35" s="338"/>
      <c r="E35" s="338"/>
      <c r="F35" s="338"/>
      <c r="G35" s="338"/>
      <c r="H35" s="241"/>
    </row>
    <row r="36" spans="1:8" x14ac:dyDescent="0.25">
      <c r="A36" s="1150"/>
      <c r="B36" s="1150"/>
      <c r="C36" s="1150"/>
      <c r="D36" s="1150"/>
      <c r="E36" s="1150"/>
      <c r="F36" s="1150"/>
      <c r="G36" s="1150"/>
      <c r="H36" s="1150"/>
    </row>
    <row r="37" spans="1:8" x14ac:dyDescent="0.25">
      <c r="A37" s="1150"/>
      <c r="B37" s="1150"/>
      <c r="C37" s="1150"/>
      <c r="D37" s="1150"/>
      <c r="E37" s="1150"/>
      <c r="F37" s="1150"/>
      <c r="G37" s="1150"/>
      <c r="H37" s="1150"/>
    </row>
    <row r="38" spans="1:8" x14ac:dyDescent="0.25">
      <c r="A38" s="1150"/>
      <c r="B38" s="1150"/>
      <c r="C38" s="1150"/>
      <c r="D38" s="1150"/>
      <c r="E38" s="1150"/>
      <c r="F38" s="1150"/>
      <c r="G38" s="1150"/>
      <c r="H38" s="1150"/>
    </row>
    <row r="39" spans="1:8" x14ac:dyDescent="0.25">
      <c r="A39" s="1150"/>
      <c r="B39" s="1150"/>
      <c r="C39" s="1150"/>
      <c r="D39" s="1150"/>
      <c r="E39" s="1150"/>
      <c r="F39" s="1150"/>
      <c r="G39" s="1150"/>
      <c r="H39" s="1150"/>
    </row>
    <row r="40" spans="1:8" x14ac:dyDescent="0.25">
      <c r="A40" s="1150"/>
      <c r="B40" s="1150"/>
      <c r="C40" s="1150"/>
      <c r="D40" s="1150"/>
      <c r="E40" s="1150"/>
      <c r="F40" s="1150"/>
      <c r="G40" s="1150"/>
      <c r="H40" s="1150"/>
    </row>
  </sheetData>
  <mergeCells count="52">
    <mergeCell ref="B11:D11"/>
    <mergeCell ref="E11:F11"/>
    <mergeCell ref="G11:H11"/>
    <mergeCell ref="B2:H2"/>
    <mergeCell ref="B3:H3"/>
    <mergeCell ref="B4:H4"/>
    <mergeCell ref="B5:H5"/>
    <mergeCell ref="B6:D6"/>
    <mergeCell ref="B7:D7"/>
    <mergeCell ref="B8:H8"/>
    <mergeCell ref="B9:H9"/>
    <mergeCell ref="B10:D10"/>
    <mergeCell ref="E10:F10"/>
    <mergeCell ref="G10:H10"/>
    <mergeCell ref="A13:H13"/>
    <mergeCell ref="A14:H14"/>
    <mergeCell ref="A16:B19"/>
    <mergeCell ref="C16:C18"/>
    <mergeCell ref="D16:D18"/>
    <mergeCell ref="E16:E18"/>
    <mergeCell ref="F16:F18"/>
    <mergeCell ref="G16:H18"/>
    <mergeCell ref="G19:H19"/>
    <mergeCell ref="A20:B20"/>
    <mergeCell ref="G20:H20"/>
    <mergeCell ref="A21:B21"/>
    <mergeCell ref="G21:H21"/>
    <mergeCell ref="A22:B22"/>
    <mergeCell ref="G22:H22"/>
    <mergeCell ref="A23:B23"/>
    <mergeCell ref="G23:H23"/>
    <mergeCell ref="A24:B24"/>
    <mergeCell ref="G24:H24"/>
    <mergeCell ref="A25:B25"/>
    <mergeCell ref="G25:H25"/>
    <mergeCell ref="A26:B26"/>
    <mergeCell ref="G26:H26"/>
    <mergeCell ref="A27:B27"/>
    <mergeCell ref="G27:H27"/>
    <mergeCell ref="A28:B28"/>
    <mergeCell ref="G28:H28"/>
    <mergeCell ref="A29:B29"/>
    <mergeCell ref="G29:H29"/>
    <mergeCell ref="A30:B30"/>
    <mergeCell ref="G30:H30"/>
    <mergeCell ref="A31:B31"/>
    <mergeCell ref="G31:H31"/>
    <mergeCell ref="A32:B32"/>
    <mergeCell ref="G32:H32"/>
    <mergeCell ref="A33:B33"/>
    <mergeCell ref="G33:H33"/>
    <mergeCell ref="A36:H40"/>
  </mergeCells>
  <pageMargins left="0.7" right="0.7" top="0.75" bottom="0.75" header="0.3" footer="0.3"/>
  <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8150E4-0B25-45A9-BAAA-A825E134A3EF}">
  <dimension ref="A2:H42"/>
  <sheetViews>
    <sheetView workbookViewId="0">
      <selection activeCell="F16" sqref="A1:XFD1048576"/>
    </sheetView>
  </sheetViews>
  <sheetFormatPr baseColWidth="10" defaultRowHeight="15" x14ac:dyDescent="0.25"/>
  <cols>
    <col min="1" max="1" width="30.85546875" customWidth="1"/>
    <col min="2" max="2" width="4.7109375" customWidth="1"/>
    <col min="3" max="3" width="3.85546875" customWidth="1"/>
    <col min="4" max="4" width="17.7109375" customWidth="1"/>
    <col min="5" max="5" width="17.28515625" customWidth="1"/>
    <col min="6" max="6" width="14.7109375" customWidth="1"/>
    <col min="7" max="7" width="16.7109375" customWidth="1"/>
    <col min="8" max="8" width="5.42578125" customWidth="1"/>
  </cols>
  <sheetData>
    <row r="2" spans="1:8" x14ac:dyDescent="0.25">
      <c r="A2" s="198" t="s">
        <v>464</v>
      </c>
      <c r="B2" s="958" t="s">
        <v>2</v>
      </c>
      <c r="C2" s="958"/>
      <c r="D2" s="958"/>
      <c r="E2" s="958"/>
      <c r="F2" s="958"/>
      <c r="G2" s="958"/>
      <c r="H2" s="958"/>
    </row>
    <row r="3" spans="1:8" x14ac:dyDescent="0.25">
      <c r="A3" s="198"/>
      <c r="B3" s="957" t="s">
        <v>4</v>
      </c>
      <c r="C3" s="957"/>
      <c r="D3" s="957"/>
      <c r="E3" s="957"/>
      <c r="F3" s="957"/>
      <c r="G3" s="957"/>
      <c r="H3" s="957"/>
    </row>
    <row r="4" spans="1:8" x14ac:dyDescent="0.25">
      <c r="A4" s="198" t="s">
        <v>362</v>
      </c>
      <c r="B4" s="957" t="s">
        <v>6</v>
      </c>
      <c r="C4" s="957"/>
      <c r="D4" s="957"/>
      <c r="E4" s="957"/>
      <c r="F4" s="957"/>
      <c r="G4" s="957"/>
      <c r="H4" s="957"/>
    </row>
    <row r="5" spans="1:8" x14ac:dyDescent="0.25">
      <c r="A5" s="198" t="s">
        <v>363</v>
      </c>
      <c r="B5" s="957">
        <v>4431</v>
      </c>
      <c r="C5" s="957"/>
      <c r="D5" s="957"/>
      <c r="E5" s="957"/>
      <c r="F5" s="957"/>
      <c r="G5" s="957"/>
      <c r="H5" s="957"/>
    </row>
    <row r="6" spans="1:8" x14ac:dyDescent="0.25">
      <c r="A6" s="198" t="s">
        <v>364</v>
      </c>
      <c r="B6" s="957" t="s">
        <v>12</v>
      </c>
      <c r="C6" s="957"/>
      <c r="D6" s="957"/>
      <c r="E6" s="46" t="s">
        <v>365</v>
      </c>
      <c r="F6" s="309">
        <v>46022</v>
      </c>
      <c r="G6" s="199" t="s">
        <v>465</v>
      </c>
      <c r="H6" s="310">
        <v>12</v>
      </c>
    </row>
    <row r="7" spans="1:8" x14ac:dyDescent="0.25">
      <c r="A7" s="200" t="s">
        <v>367</v>
      </c>
      <c r="B7" s="957" t="s">
        <v>8</v>
      </c>
      <c r="C7" s="957"/>
      <c r="D7" s="957"/>
      <c r="E7" s="199"/>
      <c r="F7" s="199"/>
      <c r="G7" s="199"/>
      <c r="H7" s="199"/>
    </row>
    <row r="8" spans="1:8" x14ac:dyDescent="0.25">
      <c r="A8" s="199" t="s">
        <v>466</v>
      </c>
      <c r="B8" s="958" t="s">
        <v>34</v>
      </c>
      <c r="C8" s="958"/>
      <c r="D8" s="958"/>
      <c r="E8" s="958"/>
      <c r="F8" s="958"/>
      <c r="G8" s="958"/>
      <c r="H8" s="958"/>
    </row>
    <row r="9" spans="1:8" x14ac:dyDescent="0.25">
      <c r="A9" s="199"/>
      <c r="B9" s="957">
        <v>555555</v>
      </c>
      <c r="C9" s="957"/>
      <c r="D9" s="957"/>
      <c r="E9" s="957"/>
      <c r="F9" s="957"/>
      <c r="G9" s="957"/>
      <c r="H9" s="957"/>
    </row>
    <row r="10" spans="1:8" x14ac:dyDescent="0.25">
      <c r="A10" s="199" t="s">
        <v>467</v>
      </c>
      <c r="B10" s="957" t="s">
        <v>38</v>
      </c>
      <c r="C10" s="957"/>
      <c r="D10" s="957"/>
      <c r="E10" s="770" t="s">
        <v>468</v>
      </c>
      <c r="F10" s="770"/>
      <c r="G10" s="958" t="s">
        <v>36</v>
      </c>
      <c r="H10" s="958"/>
    </row>
    <row r="11" spans="1:8" x14ac:dyDescent="0.25">
      <c r="A11" s="199" t="s">
        <v>469</v>
      </c>
      <c r="B11" s="954">
        <v>44713</v>
      </c>
      <c r="C11" s="954"/>
      <c r="D11" s="954"/>
      <c r="E11" s="975" t="s">
        <v>470</v>
      </c>
      <c r="F11" s="975"/>
      <c r="G11" s="954">
        <v>45991</v>
      </c>
      <c r="H11" s="954"/>
    </row>
    <row r="12" spans="1:8" ht="15.6" customHeight="1" x14ac:dyDescent="0.25"/>
    <row r="13" spans="1:8" x14ac:dyDescent="0.25">
      <c r="A13" s="788" t="s">
        <v>977</v>
      </c>
      <c r="B13" s="788"/>
      <c r="C13" s="788"/>
      <c r="D13" s="788"/>
      <c r="E13" s="788"/>
      <c r="F13" s="788"/>
      <c r="G13" s="788"/>
      <c r="H13" s="788"/>
    </row>
    <row r="14" spans="1:8" x14ac:dyDescent="0.25">
      <c r="A14" s="788" t="s">
        <v>978</v>
      </c>
      <c r="B14" s="788"/>
      <c r="C14" s="788"/>
      <c r="D14" s="788"/>
      <c r="E14" s="788"/>
      <c r="F14" s="788"/>
      <c r="G14" s="788"/>
      <c r="H14" s="788"/>
    </row>
    <row r="15" spans="1:8" x14ac:dyDescent="0.25">
      <c r="A15" s="315"/>
      <c r="B15" s="315"/>
      <c r="C15" s="315"/>
      <c r="D15" s="315"/>
      <c r="E15" s="315"/>
      <c r="F15" s="315"/>
      <c r="G15" s="315"/>
      <c r="H15" s="315"/>
    </row>
    <row r="16" spans="1:8" x14ac:dyDescent="0.25">
      <c r="A16" s="405" t="s">
        <v>979</v>
      </c>
      <c r="B16" s="1269"/>
      <c r="C16" s="1269"/>
      <c r="D16" s="1269"/>
      <c r="E16" s="1269"/>
      <c r="F16" s="1269"/>
      <c r="G16" s="1269"/>
      <c r="H16" s="1269"/>
    </row>
    <row r="17" spans="1:8" ht="5.45" customHeight="1" x14ac:dyDescent="0.25">
      <c r="A17" s="1270"/>
      <c r="B17" s="1271"/>
      <c r="C17" s="1271"/>
      <c r="D17" s="1271"/>
      <c r="E17" s="1271"/>
      <c r="F17" s="1271"/>
      <c r="G17" s="315"/>
      <c r="H17" s="315"/>
    </row>
    <row r="18" spans="1:8" ht="25.5" x14ac:dyDescent="0.25">
      <c r="A18" s="1272" t="s">
        <v>980</v>
      </c>
      <c r="B18" s="1273"/>
      <c r="C18" s="1274"/>
      <c r="D18" s="407" t="s">
        <v>981</v>
      </c>
      <c r="E18" s="1275" t="s">
        <v>982</v>
      </c>
      <c r="F18" s="1276"/>
      <c r="G18" s="1275" t="s">
        <v>983</v>
      </c>
      <c r="H18" s="1276"/>
    </row>
    <row r="19" spans="1:8" x14ac:dyDescent="0.25">
      <c r="A19" s="1266"/>
      <c r="B19" s="1266"/>
      <c r="C19" s="1266"/>
      <c r="D19" s="409"/>
      <c r="E19" s="1267"/>
      <c r="F19" s="1267"/>
      <c r="G19" s="1268"/>
      <c r="H19" s="1268"/>
    </row>
    <row r="20" spans="1:8" x14ac:dyDescent="0.25">
      <c r="A20" s="1263"/>
      <c r="B20" s="1264"/>
      <c r="C20" s="1265"/>
      <c r="D20" s="409"/>
      <c r="E20" s="1256"/>
      <c r="F20" s="1257"/>
      <c r="G20" s="1258"/>
      <c r="H20" s="1259"/>
    </row>
    <row r="21" spans="1:8" x14ac:dyDescent="0.25">
      <c r="A21" s="1263"/>
      <c r="B21" s="1264"/>
      <c r="C21" s="1265"/>
      <c r="D21" s="409"/>
      <c r="E21" s="1256"/>
      <c r="F21" s="1257"/>
      <c r="G21" s="1258"/>
      <c r="H21" s="1259"/>
    </row>
    <row r="22" spans="1:8" x14ac:dyDescent="0.25">
      <c r="A22" s="1263"/>
      <c r="B22" s="1264"/>
      <c r="C22" s="1265"/>
      <c r="D22" s="409"/>
      <c r="E22" s="1256"/>
      <c r="F22" s="1257"/>
      <c r="G22" s="1258"/>
      <c r="H22" s="1259"/>
    </row>
    <row r="23" spans="1:8" x14ac:dyDescent="0.25">
      <c r="A23" s="1263"/>
      <c r="B23" s="1264"/>
      <c r="C23" s="1265"/>
      <c r="D23" s="409"/>
      <c r="E23" s="1256"/>
      <c r="F23" s="1257"/>
      <c r="G23" s="1258"/>
      <c r="H23" s="1259"/>
    </row>
    <row r="24" spans="1:8" x14ac:dyDescent="0.25">
      <c r="A24" s="1263"/>
      <c r="B24" s="1264"/>
      <c r="C24" s="1265"/>
      <c r="D24" s="409"/>
      <c r="E24" s="1256"/>
      <c r="F24" s="1257"/>
      <c r="G24" s="1258"/>
      <c r="H24" s="1259"/>
    </row>
    <row r="25" spans="1:8" x14ac:dyDescent="0.25">
      <c r="A25" s="1263"/>
      <c r="B25" s="1264"/>
      <c r="C25" s="1265"/>
      <c r="D25" s="409"/>
      <c r="E25" s="1256"/>
      <c r="F25" s="1257"/>
      <c r="G25" s="1258"/>
      <c r="H25" s="1259"/>
    </row>
    <row r="26" spans="1:8" x14ac:dyDescent="0.25">
      <c r="A26" s="1263"/>
      <c r="B26" s="1264"/>
      <c r="C26" s="1265"/>
      <c r="D26" s="409"/>
      <c r="E26" s="1256"/>
      <c r="F26" s="1257"/>
      <c r="G26" s="1258"/>
      <c r="H26" s="1259"/>
    </row>
    <row r="27" spans="1:8" x14ac:dyDescent="0.25">
      <c r="A27" s="1253" t="s">
        <v>599</v>
      </c>
      <c r="B27" s="1254"/>
      <c r="C27" s="1255"/>
      <c r="D27" s="409">
        <f>SUM(D19:D26)</f>
        <v>0</v>
      </c>
      <c r="E27" s="1256">
        <f>SUM(E19:F26)</f>
        <v>0</v>
      </c>
      <c r="F27" s="1257"/>
      <c r="G27" s="1258">
        <f>SUM(G19:H26)</f>
        <v>0</v>
      </c>
      <c r="H27" s="1259"/>
    </row>
    <row r="28" spans="1:8" ht="6.6" customHeight="1" x14ac:dyDescent="0.25">
      <c r="A28" s="412"/>
      <c r="B28" s="315"/>
      <c r="C28" s="315"/>
      <c r="D28" s="413"/>
      <c r="E28" s="414"/>
      <c r="F28" s="414"/>
      <c r="G28" s="315"/>
      <c r="H28" s="315"/>
    </row>
    <row r="29" spans="1:8" x14ac:dyDescent="0.25">
      <c r="A29" s="1260" t="s">
        <v>984</v>
      </c>
      <c r="B29" s="1261"/>
      <c r="C29" s="1261"/>
      <c r="D29" s="1261"/>
      <c r="E29" s="1261"/>
      <c r="F29" s="1261"/>
      <c r="G29" s="1261"/>
      <c r="H29" s="1262"/>
    </row>
    <row r="30" spans="1:8" x14ac:dyDescent="0.25">
      <c r="A30" s="1106"/>
      <c r="B30" s="1107"/>
      <c r="C30" s="1107"/>
      <c r="D30" s="1107"/>
      <c r="E30" s="1107"/>
      <c r="F30" s="1107"/>
      <c r="G30" s="1107"/>
      <c r="H30" s="1108"/>
    </row>
    <row r="31" spans="1:8" x14ac:dyDescent="0.25">
      <c r="A31" s="1106"/>
      <c r="B31" s="1107"/>
      <c r="C31" s="1107"/>
      <c r="D31" s="1107"/>
      <c r="E31" s="1107"/>
      <c r="F31" s="1107"/>
      <c r="G31" s="1107"/>
      <c r="H31" s="1108"/>
    </row>
    <row r="32" spans="1:8" x14ac:dyDescent="0.25">
      <c r="A32" s="1106"/>
      <c r="B32" s="1107"/>
      <c r="C32" s="1107"/>
      <c r="D32" s="1107"/>
      <c r="E32" s="1107"/>
      <c r="F32" s="1107"/>
      <c r="G32" s="1107"/>
      <c r="H32" s="1108"/>
    </row>
    <row r="33" spans="1:8" x14ac:dyDescent="0.25">
      <c r="A33" s="1106"/>
      <c r="B33" s="1107"/>
      <c r="C33" s="1107"/>
      <c r="D33" s="1107"/>
      <c r="E33" s="1107"/>
      <c r="F33" s="1107"/>
      <c r="G33" s="1107"/>
      <c r="H33" s="1108"/>
    </row>
    <row r="34" spans="1:8" x14ac:dyDescent="0.25">
      <c r="A34" s="1109"/>
      <c r="B34" s="1110"/>
      <c r="C34" s="1110"/>
      <c r="D34" s="1110"/>
      <c r="E34" s="1110"/>
      <c r="F34" s="1110"/>
      <c r="G34" s="1110"/>
      <c r="H34" s="1111"/>
    </row>
    <row r="35" spans="1:8" x14ac:dyDescent="0.25">
      <c r="A35" s="1260" t="s">
        <v>985</v>
      </c>
      <c r="B35" s="1261"/>
      <c r="C35" s="1261"/>
      <c r="D35" s="1261"/>
      <c r="E35" s="1261"/>
      <c r="F35" s="1261"/>
      <c r="G35" s="1261"/>
      <c r="H35" s="1262"/>
    </row>
    <row r="36" spans="1:8" x14ac:dyDescent="0.25">
      <c r="A36" s="1106"/>
      <c r="B36" s="1107"/>
      <c r="C36" s="1107"/>
      <c r="D36" s="1107"/>
      <c r="E36" s="1107"/>
      <c r="F36" s="1107"/>
      <c r="G36" s="1107"/>
      <c r="H36" s="1108"/>
    </row>
    <row r="37" spans="1:8" x14ac:dyDescent="0.25">
      <c r="A37" s="1106"/>
      <c r="B37" s="1107"/>
      <c r="C37" s="1107"/>
      <c r="D37" s="1107"/>
      <c r="E37" s="1107"/>
      <c r="F37" s="1107"/>
      <c r="G37" s="1107"/>
      <c r="H37" s="1108"/>
    </row>
    <row r="38" spans="1:8" x14ac:dyDescent="0.25">
      <c r="A38" s="1106"/>
      <c r="B38" s="1107"/>
      <c r="C38" s="1107"/>
      <c r="D38" s="1107"/>
      <c r="E38" s="1107"/>
      <c r="F38" s="1107"/>
      <c r="G38" s="1107"/>
      <c r="H38" s="1108"/>
    </row>
    <row r="39" spans="1:8" x14ac:dyDescent="0.25">
      <c r="A39" s="1106"/>
      <c r="B39" s="1107"/>
      <c r="C39" s="1107"/>
      <c r="D39" s="1107"/>
      <c r="E39" s="1107"/>
      <c r="F39" s="1107"/>
      <c r="G39" s="1107"/>
      <c r="H39" s="1108"/>
    </row>
    <row r="40" spans="1:8" x14ac:dyDescent="0.25">
      <c r="A40" s="1106"/>
      <c r="B40" s="1107"/>
      <c r="C40" s="1107"/>
      <c r="D40" s="1107"/>
      <c r="E40" s="1107"/>
      <c r="F40" s="1107"/>
      <c r="G40" s="1107"/>
      <c r="H40" s="1108"/>
    </row>
    <row r="41" spans="1:8" x14ac:dyDescent="0.25">
      <c r="A41" s="1109"/>
      <c r="B41" s="1110"/>
      <c r="C41" s="1110"/>
      <c r="D41" s="1110"/>
      <c r="E41" s="1110"/>
      <c r="F41" s="1110"/>
      <c r="G41" s="1110"/>
      <c r="H41" s="1111"/>
    </row>
    <row r="42" spans="1:8" x14ac:dyDescent="0.25">
      <c r="A42" s="1249" t="s">
        <v>986</v>
      </c>
      <c r="B42" s="1250"/>
      <c r="C42" s="1250"/>
      <c r="D42" s="1250"/>
      <c r="E42" s="1251"/>
      <c r="F42" s="1251"/>
      <c r="G42" s="1251"/>
      <c r="H42" s="1252"/>
    </row>
  </sheetData>
  <mergeCells count="54">
    <mergeCell ref="B11:D11"/>
    <mergeCell ref="E11:F11"/>
    <mergeCell ref="G11:H11"/>
    <mergeCell ref="B2:H2"/>
    <mergeCell ref="B3:H3"/>
    <mergeCell ref="B4:H4"/>
    <mergeCell ref="B5:H5"/>
    <mergeCell ref="B6:D6"/>
    <mergeCell ref="B7:D7"/>
    <mergeCell ref="B8:H8"/>
    <mergeCell ref="B9:H9"/>
    <mergeCell ref="B10:D10"/>
    <mergeCell ref="E10:F10"/>
    <mergeCell ref="G10:H10"/>
    <mergeCell ref="A13:H13"/>
    <mergeCell ref="A14:H14"/>
    <mergeCell ref="B16:H16"/>
    <mergeCell ref="A17:F17"/>
    <mergeCell ref="A18:C18"/>
    <mergeCell ref="E18:F18"/>
    <mergeCell ref="G18:H18"/>
    <mergeCell ref="A19:C19"/>
    <mergeCell ref="E19:F19"/>
    <mergeCell ref="G19:H19"/>
    <mergeCell ref="A20:C20"/>
    <mergeCell ref="E20:F20"/>
    <mergeCell ref="G20:H20"/>
    <mergeCell ref="A21:C21"/>
    <mergeCell ref="E21:F21"/>
    <mergeCell ref="G21:H21"/>
    <mergeCell ref="A22:C22"/>
    <mergeCell ref="E22:F22"/>
    <mergeCell ref="G22:H22"/>
    <mergeCell ref="A23:C23"/>
    <mergeCell ref="E23:F23"/>
    <mergeCell ref="G23:H23"/>
    <mergeCell ref="A24:C24"/>
    <mergeCell ref="E24:F24"/>
    <mergeCell ref="G24:H24"/>
    <mergeCell ref="A25:C25"/>
    <mergeCell ref="E25:F25"/>
    <mergeCell ref="G25:H25"/>
    <mergeCell ref="A26:C26"/>
    <mergeCell ref="E26:F26"/>
    <mergeCell ref="G26:H26"/>
    <mergeCell ref="A36:H41"/>
    <mergeCell ref="A42:D42"/>
    <mergeCell ref="E42:H42"/>
    <mergeCell ref="A27:C27"/>
    <mergeCell ref="E27:F27"/>
    <mergeCell ref="G27:H27"/>
    <mergeCell ref="A29:H29"/>
    <mergeCell ref="A30:H34"/>
    <mergeCell ref="A35:H35"/>
  </mergeCells>
  <pageMargins left="0.7" right="0.7" top="0.75" bottom="0.75" header="0.3" footer="0.3"/>
  <drawing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136016-710B-40A2-8C6D-8F2FE177FDAB}">
  <dimension ref="A2:I35"/>
  <sheetViews>
    <sheetView workbookViewId="0">
      <selection activeCell="A14" sqref="A14:I14"/>
    </sheetView>
  </sheetViews>
  <sheetFormatPr baseColWidth="10" defaultRowHeight="15" x14ac:dyDescent="0.25"/>
  <cols>
    <col min="1" max="1" width="43.140625" customWidth="1"/>
    <col min="2" max="2" width="10.28515625" customWidth="1"/>
    <col min="3" max="3" width="9.140625" customWidth="1"/>
    <col min="4" max="4" width="21.140625" customWidth="1"/>
    <col min="5" max="5" width="10" customWidth="1"/>
    <col min="6" max="6" width="14" customWidth="1"/>
    <col min="7" max="7" width="19.42578125" customWidth="1"/>
    <col min="8" max="8" width="10.140625" customWidth="1"/>
    <col min="9" max="9" width="6.5703125" customWidth="1"/>
  </cols>
  <sheetData>
    <row r="2" spans="1:9" x14ac:dyDescent="0.25">
      <c r="A2" s="237" t="s">
        <v>464</v>
      </c>
      <c r="B2" s="958" t="s">
        <v>2</v>
      </c>
      <c r="C2" s="958"/>
      <c r="D2" s="958"/>
      <c r="E2" s="958"/>
      <c r="F2" s="958"/>
      <c r="G2" s="958"/>
      <c r="H2" s="958"/>
      <c r="I2" s="958"/>
    </row>
    <row r="3" spans="1:9" x14ac:dyDescent="0.25">
      <c r="A3" s="237"/>
      <c r="B3" s="957" t="s">
        <v>4</v>
      </c>
      <c r="C3" s="957"/>
      <c r="D3" s="957"/>
      <c r="E3" s="957"/>
      <c r="F3" s="957"/>
      <c r="G3" s="957"/>
      <c r="H3" s="957"/>
      <c r="I3" s="957"/>
    </row>
    <row r="4" spans="1:9" x14ac:dyDescent="0.25">
      <c r="A4" s="237" t="s">
        <v>362</v>
      </c>
      <c r="B4" s="957" t="s">
        <v>6</v>
      </c>
      <c r="C4" s="957"/>
      <c r="D4" s="957"/>
      <c r="E4" s="957"/>
      <c r="F4" s="957"/>
      <c r="G4" s="957"/>
      <c r="H4" s="957"/>
      <c r="I4" s="957"/>
    </row>
    <row r="5" spans="1:9" x14ac:dyDescent="0.25">
      <c r="A5" s="237" t="s">
        <v>363</v>
      </c>
      <c r="B5" s="957">
        <v>4431</v>
      </c>
      <c r="C5" s="957"/>
      <c r="D5" s="957"/>
      <c r="E5" s="957"/>
      <c r="F5" s="957"/>
      <c r="G5" s="957"/>
      <c r="H5" s="957"/>
      <c r="I5" s="957"/>
    </row>
    <row r="6" spans="1:9" x14ac:dyDescent="0.25">
      <c r="A6" s="237" t="s">
        <v>364</v>
      </c>
      <c r="B6" s="957" t="s">
        <v>12</v>
      </c>
      <c r="C6" s="957"/>
      <c r="D6" s="959" t="s">
        <v>365</v>
      </c>
      <c r="E6" s="959"/>
      <c r="F6" s="309">
        <v>46022</v>
      </c>
      <c r="G6" s="46" t="s">
        <v>465</v>
      </c>
      <c r="H6" s="1169">
        <v>12</v>
      </c>
      <c r="I6" s="1169"/>
    </row>
    <row r="7" spans="1:9" x14ac:dyDescent="0.25">
      <c r="A7" s="311" t="s">
        <v>367</v>
      </c>
      <c r="B7" s="958" t="s">
        <v>8</v>
      </c>
      <c r="C7" s="958"/>
      <c r="D7" s="958"/>
      <c r="E7" s="199"/>
      <c r="F7" s="199"/>
      <c r="G7" s="199"/>
      <c r="H7" s="199"/>
      <c r="I7" s="196"/>
    </row>
    <row r="8" spans="1:9" x14ac:dyDescent="0.25">
      <c r="A8" s="238" t="s">
        <v>466</v>
      </c>
      <c r="B8" s="958" t="s">
        <v>34</v>
      </c>
      <c r="C8" s="958"/>
      <c r="D8" s="958"/>
      <c r="E8" s="958"/>
      <c r="F8" s="958"/>
      <c r="G8" s="958"/>
      <c r="H8" s="958"/>
      <c r="I8" s="958"/>
    </row>
    <row r="9" spans="1:9" x14ac:dyDescent="0.25">
      <c r="A9" s="238"/>
      <c r="B9" s="957">
        <v>555555</v>
      </c>
      <c r="C9" s="957"/>
      <c r="D9" s="957"/>
      <c r="E9" s="957"/>
      <c r="F9" s="957"/>
      <c r="G9" s="957"/>
      <c r="H9" s="957"/>
      <c r="I9" s="957"/>
    </row>
    <row r="10" spans="1:9" x14ac:dyDescent="0.25">
      <c r="A10" s="238" t="s">
        <v>467</v>
      </c>
      <c r="B10" s="957" t="s">
        <v>38</v>
      </c>
      <c r="C10" s="957"/>
      <c r="D10" s="957"/>
      <c r="E10" s="770" t="s">
        <v>468</v>
      </c>
      <c r="F10" s="770"/>
      <c r="G10" s="958" t="s">
        <v>36</v>
      </c>
      <c r="H10" s="958"/>
      <c r="I10" s="958"/>
    </row>
    <row r="11" spans="1:9" x14ac:dyDescent="0.25">
      <c r="A11" s="238" t="s">
        <v>469</v>
      </c>
      <c r="B11" s="954">
        <v>44713</v>
      </c>
      <c r="C11" s="954"/>
      <c r="D11" s="954"/>
      <c r="E11" s="975" t="s">
        <v>470</v>
      </c>
      <c r="F11" s="975"/>
      <c r="G11" s="1142">
        <v>45991</v>
      </c>
      <c r="H11" s="1142"/>
      <c r="I11" s="1142"/>
    </row>
    <row r="12" spans="1:9" ht="8.4499999999999993" customHeight="1" x14ac:dyDescent="0.25"/>
    <row r="13" spans="1:9" x14ac:dyDescent="0.25">
      <c r="A13" s="788" t="s">
        <v>987</v>
      </c>
      <c r="B13" s="788"/>
      <c r="C13" s="788"/>
      <c r="D13" s="788"/>
      <c r="E13" s="788"/>
      <c r="F13" s="788"/>
      <c r="G13" s="788"/>
      <c r="H13" s="788"/>
      <c r="I13" s="788"/>
    </row>
    <row r="14" spans="1:9" x14ac:dyDescent="0.25">
      <c r="A14" s="788" t="s">
        <v>539</v>
      </c>
      <c r="B14" s="788"/>
      <c r="C14" s="788"/>
      <c r="D14" s="788"/>
      <c r="E14" s="788"/>
      <c r="F14" s="788"/>
      <c r="G14" s="788"/>
      <c r="H14" s="788"/>
      <c r="I14" s="788"/>
    </row>
    <row r="15" spans="1:9" ht="8.4499999999999993" customHeight="1" x14ac:dyDescent="0.25">
      <c r="A15" s="315"/>
      <c r="B15" s="315"/>
      <c r="C15" s="315"/>
      <c r="D15" s="315"/>
      <c r="E15" s="315"/>
      <c r="F15" s="315"/>
      <c r="G15" s="315"/>
      <c r="H15" s="315"/>
      <c r="I15" s="315"/>
    </row>
    <row r="16" spans="1:9" ht="28.15" customHeight="1" x14ac:dyDescent="0.25">
      <c r="A16" s="1285" t="s">
        <v>988</v>
      </c>
      <c r="B16" s="1287" t="s">
        <v>989</v>
      </c>
      <c r="C16" s="1288"/>
      <c r="D16" s="415" t="s">
        <v>989</v>
      </c>
      <c r="E16" s="1282" t="s">
        <v>990</v>
      </c>
      <c r="F16" s="1282" t="s">
        <v>991</v>
      </c>
      <c r="G16" s="1282" t="s">
        <v>992</v>
      </c>
      <c r="H16" s="1282" t="s">
        <v>993</v>
      </c>
      <c r="I16" s="1282"/>
    </row>
    <row r="17" spans="1:9" ht="28.15" customHeight="1" x14ac:dyDescent="0.25">
      <c r="A17" s="1286"/>
      <c r="B17" s="1283">
        <v>46022</v>
      </c>
      <c r="C17" s="1284"/>
      <c r="D17" s="417">
        <v>46022</v>
      </c>
      <c r="E17" s="1282"/>
      <c r="F17" s="1282"/>
      <c r="G17" s="1282"/>
      <c r="H17" s="1282"/>
      <c r="I17" s="1282"/>
    </row>
    <row r="18" spans="1:9" x14ac:dyDescent="0.25">
      <c r="A18" s="408" t="s">
        <v>543</v>
      </c>
      <c r="B18" s="1279">
        <v>0</v>
      </c>
      <c r="C18" s="1279"/>
      <c r="D18" s="418">
        <v>0</v>
      </c>
      <c r="E18" s="419">
        <f>IFERROR(((B18-D18)/D18),)</f>
        <v>0</v>
      </c>
      <c r="F18" s="410"/>
      <c r="G18" s="410"/>
      <c r="H18" s="1268"/>
      <c r="I18" s="1268"/>
    </row>
    <row r="19" spans="1:9" x14ac:dyDescent="0.25">
      <c r="A19" s="408" t="s">
        <v>994</v>
      </c>
      <c r="B19" s="1279">
        <v>0</v>
      </c>
      <c r="C19" s="1279"/>
      <c r="D19" s="418">
        <v>0</v>
      </c>
      <c r="E19" s="419">
        <f t="shared" ref="E19:E29" si="0">IFERROR(((B19-D19)/D19),)</f>
        <v>0</v>
      </c>
      <c r="F19" s="410"/>
      <c r="G19" s="410"/>
      <c r="H19" s="1268"/>
      <c r="I19" s="1268"/>
    </row>
    <row r="20" spans="1:9" x14ac:dyDescent="0.25">
      <c r="A20" s="408" t="s">
        <v>995</v>
      </c>
      <c r="B20" s="1279">
        <v>0</v>
      </c>
      <c r="C20" s="1279"/>
      <c r="D20" s="418">
        <v>0</v>
      </c>
      <c r="E20" s="419">
        <f t="shared" si="0"/>
        <v>0</v>
      </c>
      <c r="F20" s="410"/>
      <c r="G20" s="410"/>
      <c r="H20" s="1268"/>
      <c r="I20" s="1268"/>
    </row>
    <row r="21" spans="1:9" x14ac:dyDescent="0.25">
      <c r="A21" s="408" t="s">
        <v>996</v>
      </c>
      <c r="B21" s="1279">
        <v>0</v>
      </c>
      <c r="C21" s="1279"/>
      <c r="D21" s="418">
        <v>0</v>
      </c>
      <c r="E21" s="419">
        <f t="shared" si="0"/>
        <v>0</v>
      </c>
      <c r="F21" s="410"/>
      <c r="G21" s="410"/>
      <c r="H21" s="1268"/>
      <c r="I21" s="1268"/>
    </row>
    <row r="22" spans="1:9" x14ac:dyDescent="0.25">
      <c r="A22" s="408" t="s">
        <v>997</v>
      </c>
      <c r="B22" s="1279">
        <v>0</v>
      </c>
      <c r="C22" s="1279"/>
      <c r="D22" s="418">
        <v>0</v>
      </c>
      <c r="E22" s="419">
        <f t="shared" si="0"/>
        <v>0</v>
      </c>
      <c r="F22" s="410"/>
      <c r="G22" s="410"/>
      <c r="H22" s="1268"/>
      <c r="I22" s="1268"/>
    </row>
    <row r="23" spans="1:9" x14ac:dyDescent="0.25">
      <c r="A23" s="408" t="s">
        <v>998</v>
      </c>
      <c r="B23" s="1279">
        <v>0</v>
      </c>
      <c r="C23" s="1279"/>
      <c r="D23" s="418">
        <v>0</v>
      </c>
      <c r="E23" s="419">
        <f t="shared" si="0"/>
        <v>0</v>
      </c>
      <c r="F23" s="410"/>
      <c r="G23" s="410"/>
      <c r="H23" s="1268"/>
      <c r="I23" s="1268"/>
    </row>
    <row r="24" spans="1:9" x14ac:dyDescent="0.25">
      <c r="A24" s="408" t="s">
        <v>999</v>
      </c>
      <c r="B24" s="1280">
        <v>0</v>
      </c>
      <c r="C24" s="1281"/>
      <c r="D24" s="418">
        <v>0</v>
      </c>
      <c r="E24" s="419">
        <f t="shared" si="0"/>
        <v>0</v>
      </c>
      <c r="F24" s="410"/>
      <c r="G24" s="410"/>
      <c r="H24" s="1258"/>
      <c r="I24" s="1259"/>
    </row>
    <row r="25" spans="1:9" x14ac:dyDescent="0.25">
      <c r="A25" s="408" t="s">
        <v>1000</v>
      </c>
      <c r="B25" s="1279">
        <v>0</v>
      </c>
      <c r="C25" s="1279"/>
      <c r="D25" s="418">
        <v>0</v>
      </c>
      <c r="E25" s="419">
        <f t="shared" si="0"/>
        <v>0</v>
      </c>
      <c r="F25" s="410"/>
      <c r="G25" s="410"/>
      <c r="H25" s="1268"/>
      <c r="I25" s="1268"/>
    </row>
    <row r="26" spans="1:9" x14ac:dyDescent="0.25">
      <c r="A26" s="420" t="s">
        <v>1001</v>
      </c>
      <c r="B26" s="1277">
        <v>0</v>
      </c>
      <c r="C26" s="1277"/>
      <c r="D26" s="421">
        <v>0</v>
      </c>
      <c r="E26" s="422">
        <f t="shared" si="0"/>
        <v>0</v>
      </c>
      <c r="F26" s="423">
        <f>SUM(F18:F25)</f>
        <v>0</v>
      </c>
      <c r="G26" s="423">
        <f>SUM(G18:G25)</f>
        <v>0</v>
      </c>
      <c r="H26" s="1278">
        <f>SUM(H18:I25)</f>
        <v>0</v>
      </c>
      <c r="I26" s="1278"/>
    </row>
    <row r="27" spans="1:9" x14ac:dyDescent="0.25">
      <c r="A27" s="408" t="s">
        <v>1002</v>
      </c>
      <c r="B27" s="1279">
        <v>0</v>
      </c>
      <c r="C27" s="1279"/>
      <c r="D27" s="418">
        <v>0</v>
      </c>
      <c r="E27" s="419">
        <f t="shared" si="0"/>
        <v>0</v>
      </c>
      <c r="F27" s="410"/>
      <c r="G27" s="410"/>
      <c r="H27" s="1268"/>
      <c r="I27" s="1268"/>
    </row>
    <row r="28" spans="1:9" x14ac:dyDescent="0.25">
      <c r="A28" s="408" t="s">
        <v>1003</v>
      </c>
      <c r="B28" s="1279">
        <v>0</v>
      </c>
      <c r="C28" s="1279"/>
      <c r="D28" s="418">
        <v>0</v>
      </c>
      <c r="E28" s="419">
        <f t="shared" si="0"/>
        <v>0</v>
      </c>
      <c r="F28" s="410"/>
      <c r="G28" s="410"/>
      <c r="H28" s="1268"/>
      <c r="I28" s="1268"/>
    </row>
    <row r="29" spans="1:9" x14ac:dyDescent="0.25">
      <c r="A29" s="420" t="s">
        <v>1004</v>
      </c>
      <c r="B29" s="1277">
        <v>0</v>
      </c>
      <c r="C29" s="1277"/>
      <c r="D29" s="421">
        <v>0</v>
      </c>
      <c r="E29" s="422">
        <f t="shared" si="0"/>
        <v>0</v>
      </c>
      <c r="F29" s="423">
        <f>F26-F27-F28</f>
        <v>0</v>
      </c>
      <c r="G29" s="423">
        <f>G26-G27-G28</f>
        <v>0</v>
      </c>
      <c r="H29" s="1278">
        <f>H26-H27-H28</f>
        <v>0</v>
      </c>
      <c r="I29" s="1278"/>
    </row>
    <row r="30" spans="1:9" ht="8.4499999999999993" customHeight="1" x14ac:dyDescent="0.25">
      <c r="A30" s="241"/>
      <c r="B30" s="241"/>
      <c r="C30" s="241"/>
      <c r="D30" s="241"/>
      <c r="E30" s="241"/>
      <c r="F30" s="241"/>
      <c r="G30" s="241"/>
      <c r="H30" s="241"/>
      <c r="I30" s="241"/>
    </row>
    <row r="31" spans="1:9" x14ac:dyDescent="0.25">
      <c r="A31" s="241" t="s">
        <v>1005</v>
      </c>
      <c r="B31" s="241"/>
      <c r="C31" s="241"/>
      <c r="D31" s="241"/>
      <c r="E31" s="241"/>
      <c r="F31" s="241"/>
      <c r="G31" s="241"/>
      <c r="H31" s="241"/>
      <c r="I31" s="241"/>
    </row>
    <row r="32" spans="1:9" x14ac:dyDescent="0.25">
      <c r="A32" s="1103"/>
      <c r="B32" s="1104"/>
      <c r="C32" s="1104"/>
      <c r="D32" s="1104"/>
      <c r="E32" s="1104"/>
      <c r="F32" s="1104"/>
      <c r="G32" s="1104"/>
      <c r="H32" s="1104"/>
      <c r="I32" s="1105"/>
    </row>
    <row r="33" spans="1:9" x14ac:dyDescent="0.25">
      <c r="A33" s="1106"/>
      <c r="B33" s="1107"/>
      <c r="C33" s="1107"/>
      <c r="D33" s="1107"/>
      <c r="E33" s="1107"/>
      <c r="F33" s="1107"/>
      <c r="G33" s="1107"/>
      <c r="H33" s="1107"/>
      <c r="I33" s="1108"/>
    </row>
    <row r="34" spans="1:9" x14ac:dyDescent="0.25">
      <c r="A34" s="1106"/>
      <c r="B34" s="1107"/>
      <c r="C34" s="1107"/>
      <c r="D34" s="1107"/>
      <c r="E34" s="1107"/>
      <c r="F34" s="1107"/>
      <c r="G34" s="1107"/>
      <c r="H34" s="1107"/>
      <c r="I34" s="1108"/>
    </row>
    <row r="35" spans="1:9" x14ac:dyDescent="0.25">
      <c r="A35" s="1109"/>
      <c r="B35" s="1110"/>
      <c r="C35" s="1110"/>
      <c r="D35" s="1110"/>
      <c r="E35" s="1110"/>
      <c r="F35" s="1110"/>
      <c r="G35" s="1110"/>
      <c r="H35" s="1110"/>
      <c r="I35" s="1111"/>
    </row>
  </sheetData>
  <mergeCells count="50">
    <mergeCell ref="B2:I2"/>
    <mergeCell ref="B3:I3"/>
    <mergeCell ref="B4:I4"/>
    <mergeCell ref="B5:I5"/>
    <mergeCell ref="B6:C6"/>
    <mergeCell ref="D6:E6"/>
    <mergeCell ref="H6:I6"/>
    <mergeCell ref="B7:D7"/>
    <mergeCell ref="B8:I8"/>
    <mergeCell ref="B9:I9"/>
    <mergeCell ref="B10:D10"/>
    <mergeCell ref="E10:F10"/>
    <mergeCell ref="G10:I10"/>
    <mergeCell ref="A16:A17"/>
    <mergeCell ref="B16:C16"/>
    <mergeCell ref="E16:E17"/>
    <mergeCell ref="F16:F17"/>
    <mergeCell ref="G16:G17"/>
    <mergeCell ref="B11:D11"/>
    <mergeCell ref="E11:F11"/>
    <mergeCell ref="G11:I11"/>
    <mergeCell ref="A13:I13"/>
    <mergeCell ref="A14:I14"/>
    <mergeCell ref="H16:I17"/>
    <mergeCell ref="B17:C17"/>
    <mergeCell ref="B18:C18"/>
    <mergeCell ref="H18:I18"/>
    <mergeCell ref="B19:C19"/>
    <mergeCell ref="H19:I19"/>
    <mergeCell ref="B20:C20"/>
    <mergeCell ref="H20:I20"/>
    <mergeCell ref="B21:C21"/>
    <mergeCell ref="H21:I21"/>
    <mergeCell ref="B22:C22"/>
    <mergeCell ref="H22:I22"/>
    <mergeCell ref="B23:C23"/>
    <mergeCell ref="H23:I23"/>
    <mergeCell ref="B24:C24"/>
    <mergeCell ref="H24:I24"/>
    <mergeCell ref="B25:C25"/>
    <mergeCell ref="H25:I25"/>
    <mergeCell ref="B29:C29"/>
    <mergeCell ref="H29:I29"/>
    <mergeCell ref="A32:I35"/>
    <mergeCell ref="B26:C26"/>
    <mergeCell ref="H26:I26"/>
    <mergeCell ref="B27:C27"/>
    <mergeCell ref="H27:I27"/>
    <mergeCell ref="B28:C28"/>
    <mergeCell ref="H28:I28"/>
  </mergeCells>
  <pageMargins left="0.7" right="0.7" top="0.75" bottom="0.75" header="0.3" footer="0.3"/>
  <drawing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592C59-676C-4754-A8B0-915C566D3283}">
  <dimension ref="A2:I45"/>
  <sheetViews>
    <sheetView workbookViewId="0">
      <selection activeCell="D15" sqref="A1:XFD1048576"/>
    </sheetView>
  </sheetViews>
  <sheetFormatPr baseColWidth="10" defaultRowHeight="15" x14ac:dyDescent="0.25"/>
  <cols>
    <col min="1" max="1" width="27.5703125" customWidth="1"/>
    <col min="2" max="2" width="8.7109375" customWidth="1"/>
    <col min="3" max="3" width="6.5703125" customWidth="1"/>
    <col min="4" max="4" width="16.5703125" customWidth="1"/>
    <col min="5" max="5" width="14.5703125" customWidth="1"/>
    <col min="6" max="6" width="14" customWidth="1"/>
    <col min="7" max="7" width="18.5703125" customWidth="1"/>
    <col min="8" max="8" width="19.7109375" customWidth="1"/>
    <col min="9" max="9" width="6.5703125" customWidth="1"/>
  </cols>
  <sheetData>
    <row r="2" spans="1:9" x14ac:dyDescent="0.25">
      <c r="A2" s="237" t="s">
        <v>464</v>
      </c>
      <c r="B2" s="958" t="s">
        <v>2</v>
      </c>
      <c r="C2" s="958"/>
      <c r="D2" s="958"/>
      <c r="E2" s="958"/>
      <c r="F2" s="958"/>
      <c r="G2" s="958"/>
      <c r="H2" s="958"/>
      <c r="I2" s="958"/>
    </row>
    <row r="3" spans="1:9" x14ac:dyDescent="0.25">
      <c r="A3" s="237"/>
      <c r="B3" s="957" t="s">
        <v>4</v>
      </c>
      <c r="C3" s="957"/>
      <c r="D3" s="957"/>
      <c r="E3" s="957"/>
      <c r="F3" s="957"/>
      <c r="G3" s="957"/>
      <c r="H3" s="957"/>
      <c r="I3" s="957"/>
    </row>
    <row r="4" spans="1:9" x14ac:dyDescent="0.25">
      <c r="A4" s="237" t="s">
        <v>362</v>
      </c>
      <c r="B4" s="957" t="s">
        <v>6</v>
      </c>
      <c r="C4" s="957"/>
      <c r="D4" s="957"/>
      <c r="E4" s="957"/>
      <c r="F4" s="957"/>
      <c r="G4" s="957"/>
      <c r="H4" s="957"/>
      <c r="I4" s="957"/>
    </row>
    <row r="5" spans="1:9" x14ac:dyDescent="0.25">
      <c r="A5" s="237" t="s">
        <v>363</v>
      </c>
      <c r="B5" s="957">
        <v>4431</v>
      </c>
      <c r="C5" s="957"/>
      <c r="D5" s="957"/>
      <c r="E5" s="957"/>
      <c r="F5" s="957"/>
      <c r="G5" s="957"/>
      <c r="H5" s="957"/>
      <c r="I5" s="957"/>
    </row>
    <row r="6" spans="1:9" x14ac:dyDescent="0.25">
      <c r="A6" s="237" t="s">
        <v>364</v>
      </c>
      <c r="B6" s="957" t="s">
        <v>12</v>
      </c>
      <c r="C6" s="957"/>
      <c r="D6" s="959" t="s">
        <v>365</v>
      </c>
      <c r="E6" s="959"/>
      <c r="F6" s="309">
        <v>46022</v>
      </c>
      <c r="G6" s="46" t="s">
        <v>465</v>
      </c>
      <c r="H6" s="1169">
        <v>12</v>
      </c>
      <c r="I6" s="1169"/>
    </row>
    <row r="7" spans="1:9" x14ac:dyDescent="0.25">
      <c r="A7" s="311" t="s">
        <v>367</v>
      </c>
      <c r="B7" s="958" t="s">
        <v>8</v>
      </c>
      <c r="C7" s="958"/>
      <c r="D7" s="958"/>
      <c r="E7" s="199"/>
      <c r="F7" s="199"/>
      <c r="G7" s="199"/>
      <c r="H7" s="199"/>
      <c r="I7" s="196"/>
    </row>
    <row r="8" spans="1:9" x14ac:dyDescent="0.25">
      <c r="A8" s="238" t="s">
        <v>466</v>
      </c>
      <c r="B8" s="958" t="s">
        <v>34</v>
      </c>
      <c r="C8" s="958"/>
      <c r="D8" s="958"/>
      <c r="E8" s="958"/>
      <c r="F8" s="958"/>
      <c r="G8" s="958"/>
      <c r="H8" s="958"/>
      <c r="I8" s="958"/>
    </row>
    <row r="9" spans="1:9" x14ac:dyDescent="0.25">
      <c r="A9" s="238"/>
      <c r="B9" s="957">
        <v>555555</v>
      </c>
      <c r="C9" s="957"/>
      <c r="D9" s="957"/>
      <c r="E9" s="957"/>
      <c r="F9" s="957"/>
      <c r="G9" s="957"/>
      <c r="H9" s="957"/>
      <c r="I9" s="957"/>
    </row>
    <row r="10" spans="1:9" x14ac:dyDescent="0.25">
      <c r="A10" s="238" t="s">
        <v>467</v>
      </c>
      <c r="B10" s="957" t="s">
        <v>38</v>
      </c>
      <c r="C10" s="957"/>
      <c r="D10" s="957"/>
      <c r="E10" s="770" t="s">
        <v>468</v>
      </c>
      <c r="F10" s="770"/>
      <c r="G10" s="958" t="s">
        <v>36</v>
      </c>
      <c r="H10" s="958"/>
      <c r="I10" s="958"/>
    </row>
    <row r="11" spans="1:9" x14ac:dyDescent="0.25">
      <c r="A11" s="238" t="s">
        <v>469</v>
      </c>
      <c r="B11" s="954">
        <v>44713</v>
      </c>
      <c r="C11" s="954"/>
      <c r="D11" s="954"/>
      <c r="E11" s="975" t="s">
        <v>470</v>
      </c>
      <c r="F11" s="975"/>
      <c r="G11" s="1142">
        <v>45991</v>
      </c>
      <c r="H11" s="1142"/>
      <c r="I11" s="1142"/>
    </row>
    <row r="12" spans="1:9" ht="6" customHeight="1" x14ac:dyDescent="0.25"/>
    <row r="13" spans="1:9" x14ac:dyDescent="0.25">
      <c r="A13" s="788" t="s">
        <v>1006</v>
      </c>
      <c r="B13" s="788"/>
      <c r="C13" s="788"/>
      <c r="D13" s="788"/>
      <c r="E13" s="788"/>
      <c r="F13" s="788"/>
      <c r="G13" s="788"/>
      <c r="H13" s="788"/>
      <c r="I13" s="788"/>
    </row>
    <row r="14" spans="1:9" x14ac:dyDescent="0.25">
      <c r="A14" s="788" t="s">
        <v>1007</v>
      </c>
      <c r="B14" s="788"/>
      <c r="C14" s="788"/>
      <c r="D14" s="788"/>
      <c r="E14" s="788"/>
      <c r="F14" s="788"/>
      <c r="G14" s="788"/>
      <c r="H14" s="788"/>
      <c r="I14" s="788"/>
    </row>
    <row r="15" spans="1:9" x14ac:dyDescent="0.25">
      <c r="A15" s="1287" t="s">
        <v>988</v>
      </c>
      <c r="B15" s="1288"/>
      <c r="C15" s="1295"/>
      <c r="D15" s="1299" t="s">
        <v>989</v>
      </c>
      <c r="E15" s="1300"/>
      <c r="F15" s="1299" t="s">
        <v>989</v>
      </c>
      <c r="G15" s="1301"/>
      <c r="H15" s="1302" t="s">
        <v>1008</v>
      </c>
      <c r="I15" s="1302"/>
    </row>
    <row r="16" spans="1:9" x14ac:dyDescent="0.25">
      <c r="A16" s="1296"/>
      <c r="B16" s="1297"/>
      <c r="C16" s="1298"/>
      <c r="D16" s="1283">
        <v>46022</v>
      </c>
      <c r="E16" s="1303"/>
      <c r="F16" s="1283">
        <v>46022</v>
      </c>
      <c r="G16" s="1284"/>
      <c r="H16" s="424" t="s">
        <v>1009</v>
      </c>
      <c r="I16" s="424" t="s">
        <v>1010</v>
      </c>
    </row>
    <row r="17" spans="1:9" x14ac:dyDescent="0.25">
      <c r="A17" s="1266" t="s">
        <v>1011</v>
      </c>
      <c r="B17" s="1266"/>
      <c r="C17" s="1266"/>
      <c r="D17" s="1292">
        <v>0</v>
      </c>
      <c r="E17" s="1292"/>
      <c r="F17" s="1293">
        <v>0</v>
      </c>
      <c r="G17" s="1294"/>
      <c r="H17" s="425">
        <v>0</v>
      </c>
      <c r="I17" s="427">
        <v>0</v>
      </c>
    </row>
    <row r="18" spans="1:9" x14ac:dyDescent="0.25">
      <c r="A18" s="1307" t="s">
        <v>1012</v>
      </c>
      <c r="B18" s="1308"/>
      <c r="C18" s="1309"/>
      <c r="D18" s="1292">
        <v>0</v>
      </c>
      <c r="E18" s="1292"/>
      <c r="F18" s="1293">
        <v>0</v>
      </c>
      <c r="G18" s="1294"/>
      <c r="H18" s="425">
        <v>0</v>
      </c>
      <c r="I18" s="427">
        <v>0</v>
      </c>
    </row>
    <row r="19" spans="1:9" x14ac:dyDescent="0.25">
      <c r="A19" s="1266" t="s">
        <v>1013</v>
      </c>
      <c r="B19" s="1266"/>
      <c r="C19" s="1266"/>
      <c r="D19" s="1292">
        <v>0</v>
      </c>
      <c r="E19" s="1292"/>
      <c r="F19" s="1293">
        <v>0</v>
      </c>
      <c r="G19" s="1294"/>
      <c r="H19" s="425">
        <v>0</v>
      </c>
      <c r="I19" s="427">
        <v>0</v>
      </c>
    </row>
    <row r="20" spans="1:9" x14ac:dyDescent="0.25">
      <c r="A20" s="1289" t="s">
        <v>1001</v>
      </c>
      <c r="B20" s="1289"/>
      <c r="C20" s="1289"/>
      <c r="D20" s="1304">
        <v>0</v>
      </c>
      <c r="E20" s="1304"/>
      <c r="F20" s="1305">
        <v>0</v>
      </c>
      <c r="G20" s="1306"/>
      <c r="H20" s="429">
        <v>0</v>
      </c>
      <c r="I20" s="430">
        <v>0</v>
      </c>
    </row>
    <row r="21" spans="1:9" x14ac:dyDescent="0.25">
      <c r="A21" s="1266" t="s">
        <v>1014</v>
      </c>
      <c r="B21" s="1266"/>
      <c r="C21" s="1266"/>
      <c r="D21" s="1292">
        <v>0</v>
      </c>
      <c r="E21" s="1292"/>
      <c r="F21" s="1293">
        <v>0</v>
      </c>
      <c r="G21" s="1294"/>
      <c r="H21" s="425">
        <v>0</v>
      </c>
      <c r="I21" s="427">
        <v>0</v>
      </c>
    </row>
    <row r="22" spans="1:9" x14ac:dyDescent="0.25">
      <c r="A22" s="1289" t="s">
        <v>1004</v>
      </c>
      <c r="B22" s="1289"/>
      <c r="C22" s="1289"/>
      <c r="D22" s="1304">
        <v>0</v>
      </c>
      <c r="E22" s="1304"/>
      <c r="F22" s="1305">
        <v>0</v>
      </c>
      <c r="G22" s="1306"/>
      <c r="H22" s="429">
        <v>0</v>
      </c>
      <c r="I22" s="430">
        <v>0</v>
      </c>
    </row>
    <row r="23" spans="1:9" ht="6.6" customHeight="1" x14ac:dyDescent="0.25">
      <c r="A23" s="241"/>
      <c r="B23" s="241"/>
      <c r="C23" s="241"/>
      <c r="D23" s="241"/>
      <c r="E23" s="241"/>
      <c r="F23" s="241"/>
      <c r="G23" s="241"/>
      <c r="H23" s="241"/>
      <c r="I23" s="241"/>
    </row>
    <row r="24" spans="1:9" x14ac:dyDescent="0.25">
      <c r="A24" s="241" t="s">
        <v>908</v>
      </c>
      <c r="B24" s="241"/>
      <c r="C24" s="241"/>
      <c r="D24" s="241"/>
      <c r="E24" s="241"/>
      <c r="F24" s="241"/>
      <c r="G24" s="241"/>
      <c r="H24" s="241"/>
      <c r="I24" s="241"/>
    </row>
    <row r="25" spans="1:9" x14ac:dyDescent="0.25">
      <c r="A25" s="1103"/>
      <c r="B25" s="1104"/>
      <c r="C25" s="1104"/>
      <c r="D25" s="1104"/>
      <c r="E25" s="1104"/>
      <c r="F25" s="1104"/>
      <c r="G25" s="1104"/>
      <c r="H25" s="1104"/>
      <c r="I25" s="1105"/>
    </row>
    <row r="26" spans="1:9" x14ac:dyDescent="0.25">
      <c r="A26" s="1106"/>
      <c r="B26" s="1107"/>
      <c r="C26" s="1107"/>
      <c r="D26" s="1107"/>
      <c r="E26" s="1107"/>
      <c r="F26" s="1107"/>
      <c r="G26" s="1107"/>
      <c r="H26" s="1107"/>
      <c r="I26" s="1108"/>
    </row>
    <row r="27" spans="1:9" x14ac:dyDescent="0.25">
      <c r="A27" s="1106"/>
      <c r="B27" s="1107"/>
      <c r="C27" s="1107"/>
      <c r="D27" s="1107"/>
      <c r="E27" s="1107"/>
      <c r="F27" s="1107"/>
      <c r="G27" s="1107"/>
      <c r="H27" s="1107"/>
      <c r="I27" s="1108"/>
    </row>
    <row r="28" spans="1:9" x14ac:dyDescent="0.25">
      <c r="A28" s="1106"/>
      <c r="B28" s="1107"/>
      <c r="C28" s="1107"/>
      <c r="D28" s="1107"/>
      <c r="E28" s="1107"/>
      <c r="F28" s="1107"/>
      <c r="G28" s="1107"/>
      <c r="H28" s="1107"/>
      <c r="I28" s="1108"/>
    </row>
    <row r="29" spans="1:9" x14ac:dyDescent="0.25">
      <c r="A29" s="1109"/>
      <c r="B29" s="1110"/>
      <c r="C29" s="1110"/>
      <c r="D29" s="1110"/>
      <c r="E29" s="1110"/>
      <c r="F29" s="1110"/>
      <c r="G29" s="1110"/>
      <c r="H29" s="1110"/>
      <c r="I29" s="1111"/>
    </row>
    <row r="30" spans="1:9" ht="8.4499999999999993" customHeight="1" x14ac:dyDescent="0.25">
      <c r="A30" s="241"/>
      <c r="B30" s="241"/>
      <c r="C30" s="241"/>
      <c r="D30" s="241"/>
      <c r="E30" s="241"/>
      <c r="F30" s="241"/>
      <c r="G30" s="241"/>
      <c r="H30" s="241"/>
      <c r="I30" s="241"/>
    </row>
    <row r="31" spans="1:9" x14ac:dyDescent="0.25">
      <c r="A31" s="788" t="s">
        <v>1015</v>
      </c>
      <c r="B31" s="788"/>
      <c r="C31" s="788"/>
      <c r="D31" s="788"/>
      <c r="E31" s="788"/>
      <c r="F31" s="788"/>
      <c r="G31" s="788"/>
      <c r="H31" s="788"/>
      <c r="I31" s="788"/>
    </row>
    <row r="32" spans="1:9" x14ac:dyDescent="0.25">
      <c r="A32" s="1287" t="s">
        <v>988</v>
      </c>
      <c r="B32" s="1288"/>
      <c r="C32" s="1295"/>
      <c r="D32" s="1299" t="s">
        <v>989</v>
      </c>
      <c r="E32" s="1300"/>
      <c r="F32" s="1299" t="s">
        <v>989</v>
      </c>
      <c r="G32" s="1301"/>
      <c r="H32" s="1302" t="s">
        <v>1008</v>
      </c>
      <c r="I32" s="1302"/>
    </row>
    <row r="33" spans="1:9" x14ac:dyDescent="0.25">
      <c r="A33" s="1296"/>
      <c r="B33" s="1297"/>
      <c r="C33" s="1298"/>
      <c r="D33" s="1283">
        <v>46022</v>
      </c>
      <c r="E33" s="1303"/>
      <c r="F33" s="1283">
        <v>46022</v>
      </c>
      <c r="G33" s="1284"/>
      <c r="H33" s="424" t="s">
        <v>1009</v>
      </c>
      <c r="I33" s="424" t="s">
        <v>1010</v>
      </c>
    </row>
    <row r="34" spans="1:9" x14ac:dyDescent="0.25">
      <c r="A34" s="1266" t="s">
        <v>1016</v>
      </c>
      <c r="B34" s="1266"/>
      <c r="C34" s="1266"/>
      <c r="D34" s="1292">
        <v>0</v>
      </c>
      <c r="E34" s="1292"/>
      <c r="F34" s="1293">
        <v>0</v>
      </c>
      <c r="G34" s="1294"/>
      <c r="H34" s="425">
        <v>0</v>
      </c>
      <c r="I34" s="427">
        <v>0</v>
      </c>
    </row>
    <row r="35" spans="1:9" x14ac:dyDescent="0.25">
      <c r="A35" s="1266" t="s">
        <v>1017</v>
      </c>
      <c r="B35" s="1266"/>
      <c r="C35" s="1266"/>
      <c r="D35" s="1292">
        <v>0</v>
      </c>
      <c r="E35" s="1292"/>
      <c r="F35" s="1293">
        <v>0</v>
      </c>
      <c r="G35" s="1294"/>
      <c r="H35" s="425">
        <v>0</v>
      </c>
      <c r="I35" s="427">
        <v>0</v>
      </c>
    </row>
    <row r="36" spans="1:9" x14ac:dyDescent="0.25">
      <c r="A36" s="1291" t="s">
        <v>1018</v>
      </c>
      <c r="B36" s="1291"/>
      <c r="C36" s="1291"/>
      <c r="D36" s="1292">
        <v>0</v>
      </c>
      <c r="E36" s="1292"/>
      <c r="F36" s="1292">
        <v>0</v>
      </c>
      <c r="G36" s="1292"/>
      <c r="H36" s="425">
        <v>0</v>
      </c>
      <c r="I36" s="427">
        <v>0</v>
      </c>
    </row>
    <row r="37" spans="1:9" x14ac:dyDescent="0.25">
      <c r="A37" s="1266" t="s">
        <v>1019</v>
      </c>
      <c r="B37" s="1266"/>
      <c r="C37" s="1266"/>
      <c r="D37" s="1292">
        <v>0</v>
      </c>
      <c r="E37" s="1292"/>
      <c r="F37" s="1292">
        <v>0</v>
      </c>
      <c r="G37" s="1292"/>
      <c r="H37" s="425">
        <v>0</v>
      </c>
      <c r="I37" s="427">
        <v>0</v>
      </c>
    </row>
    <row r="38" spans="1:9" x14ac:dyDescent="0.25">
      <c r="A38" s="1289" t="s">
        <v>849</v>
      </c>
      <c r="B38" s="1289"/>
      <c r="C38" s="1289"/>
      <c r="D38" s="1290">
        <v>0</v>
      </c>
      <c r="E38" s="1290"/>
      <c r="F38" s="1290">
        <v>0</v>
      </c>
      <c r="G38" s="1290"/>
      <c r="H38" s="429">
        <v>0</v>
      </c>
      <c r="I38" s="431">
        <v>0</v>
      </c>
    </row>
    <row r="39" spans="1:9" ht="8.4499999999999993" customHeight="1" x14ac:dyDescent="0.25">
      <c r="A39" s="241"/>
      <c r="B39" s="241"/>
      <c r="C39" s="241"/>
      <c r="D39" s="241"/>
      <c r="E39" s="241"/>
      <c r="F39" s="241"/>
      <c r="G39" s="241"/>
      <c r="H39" s="241"/>
      <c r="I39" s="241"/>
    </row>
    <row r="40" spans="1:9" x14ac:dyDescent="0.25">
      <c r="A40" s="241" t="s">
        <v>908</v>
      </c>
      <c r="B40" s="241"/>
      <c r="C40" s="241"/>
      <c r="D40" s="241"/>
      <c r="E40" s="241"/>
      <c r="F40" s="241"/>
      <c r="G40" s="241"/>
      <c r="H40" s="241"/>
      <c r="I40" s="241"/>
    </row>
    <row r="41" spans="1:9" x14ac:dyDescent="0.25">
      <c r="A41" s="1103"/>
      <c r="B41" s="1104"/>
      <c r="C41" s="1104"/>
      <c r="D41" s="1104"/>
      <c r="E41" s="1104"/>
      <c r="F41" s="1104"/>
      <c r="G41" s="1104"/>
      <c r="H41" s="1104"/>
      <c r="I41" s="1105"/>
    </row>
    <row r="42" spans="1:9" x14ac:dyDescent="0.25">
      <c r="A42" s="1106"/>
      <c r="B42" s="1107"/>
      <c r="C42" s="1107"/>
      <c r="D42" s="1107"/>
      <c r="E42" s="1107"/>
      <c r="F42" s="1107"/>
      <c r="G42" s="1107"/>
      <c r="H42" s="1107"/>
      <c r="I42" s="1108"/>
    </row>
    <row r="43" spans="1:9" x14ac:dyDescent="0.25">
      <c r="A43" s="1106"/>
      <c r="B43" s="1107"/>
      <c r="C43" s="1107"/>
      <c r="D43" s="1107"/>
      <c r="E43" s="1107"/>
      <c r="F43" s="1107"/>
      <c r="G43" s="1107"/>
      <c r="H43" s="1107"/>
      <c r="I43" s="1108"/>
    </row>
    <row r="44" spans="1:9" x14ac:dyDescent="0.25">
      <c r="A44" s="1106"/>
      <c r="B44" s="1107"/>
      <c r="C44" s="1107"/>
      <c r="D44" s="1107"/>
      <c r="E44" s="1107"/>
      <c r="F44" s="1107"/>
      <c r="G44" s="1107"/>
      <c r="H44" s="1107"/>
      <c r="I44" s="1108"/>
    </row>
    <row r="45" spans="1:9" x14ac:dyDescent="0.25">
      <c r="A45" s="1109"/>
      <c r="B45" s="1110"/>
      <c r="C45" s="1110"/>
      <c r="D45" s="1110"/>
      <c r="E45" s="1110"/>
      <c r="F45" s="1110"/>
      <c r="G45" s="1110"/>
      <c r="H45" s="1110"/>
      <c r="I45" s="1111"/>
    </row>
  </sheetData>
  <mergeCells count="66">
    <mergeCell ref="B2:I2"/>
    <mergeCell ref="B3:I3"/>
    <mergeCell ref="B4:I4"/>
    <mergeCell ref="B5:I5"/>
    <mergeCell ref="B6:C6"/>
    <mergeCell ref="D6:E6"/>
    <mergeCell ref="H6:I6"/>
    <mergeCell ref="H15:I15"/>
    <mergeCell ref="D16:E16"/>
    <mergeCell ref="B7:D7"/>
    <mergeCell ref="B8:I8"/>
    <mergeCell ref="B9:I9"/>
    <mergeCell ref="B10:D10"/>
    <mergeCell ref="E10:F10"/>
    <mergeCell ref="G10:I10"/>
    <mergeCell ref="B11:D11"/>
    <mergeCell ref="E11:F11"/>
    <mergeCell ref="G11:I11"/>
    <mergeCell ref="A13:I13"/>
    <mergeCell ref="A14:I14"/>
    <mergeCell ref="F16:G16"/>
    <mergeCell ref="A15:C16"/>
    <mergeCell ref="D15:E15"/>
    <mergeCell ref="F15:G15"/>
    <mergeCell ref="A19:C19"/>
    <mergeCell ref="D19:E19"/>
    <mergeCell ref="F19:G19"/>
    <mergeCell ref="A20:C20"/>
    <mergeCell ref="D20:E20"/>
    <mergeCell ref="F20:G20"/>
    <mergeCell ref="A17:C17"/>
    <mergeCell ref="D17:E17"/>
    <mergeCell ref="F17:G17"/>
    <mergeCell ref="A18:C18"/>
    <mergeCell ref="D18:E18"/>
    <mergeCell ref="F18:G18"/>
    <mergeCell ref="A21:C21"/>
    <mergeCell ref="D21:E21"/>
    <mergeCell ref="F21:G21"/>
    <mergeCell ref="A22:C22"/>
    <mergeCell ref="D22:E22"/>
    <mergeCell ref="F22:G22"/>
    <mergeCell ref="A25:I29"/>
    <mergeCell ref="A31:I31"/>
    <mergeCell ref="A32:C33"/>
    <mergeCell ref="D32:E32"/>
    <mergeCell ref="F32:G32"/>
    <mergeCell ref="H32:I32"/>
    <mergeCell ref="D33:E33"/>
    <mergeCell ref="F33:G33"/>
    <mergeCell ref="A34:C34"/>
    <mergeCell ref="D34:E34"/>
    <mergeCell ref="F34:G34"/>
    <mergeCell ref="A35:C35"/>
    <mergeCell ref="D35:E35"/>
    <mergeCell ref="F35:G35"/>
    <mergeCell ref="A38:C38"/>
    <mergeCell ref="D38:E38"/>
    <mergeCell ref="F38:G38"/>
    <mergeCell ref="A41:I45"/>
    <mergeCell ref="A36:C36"/>
    <mergeCell ref="D36:E36"/>
    <mergeCell ref="F36:G36"/>
    <mergeCell ref="A37:C37"/>
    <mergeCell ref="D37:E37"/>
    <mergeCell ref="F37:G37"/>
  </mergeCells>
  <pageMargins left="0.7" right="0.7" top="0.75" bottom="0.75" header="0.3" footer="0.3"/>
  <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77B2BB-D810-464E-9656-4F914B473609}">
  <dimension ref="A2:I34"/>
  <sheetViews>
    <sheetView workbookViewId="0">
      <selection activeCell="E16" sqref="A1:XFD1048576"/>
    </sheetView>
  </sheetViews>
  <sheetFormatPr baseColWidth="10" defaultRowHeight="15" x14ac:dyDescent="0.25"/>
  <cols>
    <col min="1" max="1" width="32.7109375" customWidth="1"/>
    <col min="2" max="3" width="12.28515625" customWidth="1"/>
    <col min="4" max="4" width="10.28515625" customWidth="1"/>
    <col min="5" max="5" width="12.85546875" customWidth="1"/>
    <col min="6" max="6" width="13.7109375" customWidth="1"/>
    <col min="7" max="7" width="7" customWidth="1"/>
    <col min="8" max="8" width="20.5703125" customWidth="1"/>
    <col min="9" max="9" width="6.5703125" customWidth="1"/>
  </cols>
  <sheetData>
    <row r="2" spans="1:9" x14ac:dyDescent="0.25">
      <c r="A2" s="237" t="s">
        <v>464</v>
      </c>
      <c r="B2" s="958" t="s">
        <v>2</v>
      </c>
      <c r="C2" s="958"/>
      <c r="D2" s="958"/>
      <c r="E2" s="958"/>
      <c r="F2" s="958"/>
      <c r="G2" s="958"/>
      <c r="H2" s="958"/>
      <c r="I2" s="958"/>
    </row>
    <row r="3" spans="1:9" x14ac:dyDescent="0.25">
      <c r="A3" s="237"/>
      <c r="B3" s="957" t="s">
        <v>4</v>
      </c>
      <c r="C3" s="957"/>
      <c r="D3" s="957"/>
      <c r="E3" s="957"/>
      <c r="F3" s="957"/>
      <c r="G3" s="957"/>
      <c r="H3" s="957"/>
      <c r="I3" s="957"/>
    </row>
    <row r="4" spans="1:9" x14ac:dyDescent="0.25">
      <c r="A4" s="237" t="s">
        <v>362</v>
      </c>
      <c r="B4" s="957" t="s">
        <v>6</v>
      </c>
      <c r="C4" s="957"/>
      <c r="D4" s="957"/>
      <c r="E4" s="957"/>
      <c r="F4" s="957"/>
      <c r="G4" s="957"/>
      <c r="H4" s="957"/>
      <c r="I4" s="957"/>
    </row>
    <row r="5" spans="1:9" x14ac:dyDescent="0.25">
      <c r="A5" s="237" t="s">
        <v>363</v>
      </c>
      <c r="B5" s="957">
        <v>4431</v>
      </c>
      <c r="C5" s="957"/>
      <c r="D5" s="957"/>
      <c r="E5" s="957"/>
      <c r="F5" s="957"/>
      <c r="G5" s="957"/>
      <c r="H5" s="957"/>
      <c r="I5" s="957"/>
    </row>
    <row r="6" spans="1:9" x14ac:dyDescent="0.25">
      <c r="A6" s="237" t="s">
        <v>364</v>
      </c>
      <c r="B6" s="957" t="s">
        <v>12</v>
      </c>
      <c r="C6" s="957"/>
      <c r="D6" s="959" t="s">
        <v>365</v>
      </c>
      <c r="E6" s="959"/>
      <c r="F6" s="309">
        <v>46022</v>
      </c>
      <c r="G6" s="959" t="s">
        <v>465</v>
      </c>
      <c r="H6" s="959"/>
      <c r="I6" s="310">
        <v>12</v>
      </c>
    </row>
    <row r="7" spans="1:9" x14ac:dyDescent="0.25">
      <c r="A7" s="311" t="s">
        <v>367</v>
      </c>
      <c r="B7" s="958" t="s">
        <v>8</v>
      </c>
      <c r="C7" s="958"/>
      <c r="D7" s="958"/>
      <c r="E7" s="199"/>
      <c r="F7" s="199"/>
      <c r="G7" s="199"/>
      <c r="H7" s="199"/>
      <c r="I7" s="196"/>
    </row>
    <row r="8" spans="1:9" x14ac:dyDescent="0.25">
      <c r="A8" s="238" t="s">
        <v>466</v>
      </c>
      <c r="B8" s="958" t="s">
        <v>34</v>
      </c>
      <c r="C8" s="958"/>
      <c r="D8" s="958"/>
      <c r="E8" s="958"/>
      <c r="F8" s="958"/>
      <c r="G8" s="958"/>
      <c r="H8" s="958"/>
      <c r="I8" s="958"/>
    </row>
    <row r="9" spans="1:9" x14ac:dyDescent="0.25">
      <c r="A9" s="238"/>
      <c r="B9" s="957">
        <v>555555</v>
      </c>
      <c r="C9" s="957"/>
      <c r="D9" s="957"/>
      <c r="E9" s="957"/>
      <c r="F9" s="957"/>
      <c r="G9" s="957"/>
      <c r="H9" s="957"/>
      <c r="I9" s="957"/>
    </row>
    <row r="10" spans="1:9" x14ac:dyDescent="0.25">
      <c r="A10" s="238" t="s">
        <v>467</v>
      </c>
      <c r="B10" s="957" t="s">
        <v>38</v>
      </c>
      <c r="C10" s="957"/>
      <c r="D10" s="957"/>
      <c r="E10" s="770" t="s">
        <v>468</v>
      </c>
      <c r="F10" s="770"/>
      <c r="G10" s="958" t="s">
        <v>36</v>
      </c>
      <c r="H10" s="958"/>
      <c r="I10" s="958"/>
    </row>
    <row r="11" spans="1:9" x14ac:dyDescent="0.25">
      <c r="A11" s="238" t="s">
        <v>469</v>
      </c>
      <c r="B11" s="954">
        <v>44713</v>
      </c>
      <c r="C11" s="954"/>
      <c r="D11" s="954"/>
      <c r="E11" s="975" t="s">
        <v>470</v>
      </c>
      <c r="F11" s="975"/>
      <c r="G11" s="1142">
        <v>45991</v>
      </c>
      <c r="H11" s="1142"/>
      <c r="I11" s="1142"/>
    </row>
    <row r="12" spans="1:9" ht="6.6" customHeight="1" x14ac:dyDescent="0.25"/>
    <row r="13" spans="1:9" x14ac:dyDescent="0.25">
      <c r="A13" s="788" t="s">
        <v>1020</v>
      </c>
      <c r="B13" s="788"/>
      <c r="C13" s="788"/>
      <c r="D13" s="788"/>
      <c r="E13" s="788"/>
      <c r="F13" s="788"/>
      <c r="G13" s="788"/>
      <c r="H13" s="788"/>
      <c r="I13" s="788"/>
    </row>
    <row r="14" spans="1:9" x14ac:dyDescent="0.25">
      <c r="A14" s="788" t="s">
        <v>1021</v>
      </c>
      <c r="B14" s="788"/>
      <c r="C14" s="788"/>
      <c r="D14" s="788"/>
      <c r="E14" s="788"/>
      <c r="F14" s="788"/>
      <c r="G14" s="788"/>
      <c r="H14" s="788"/>
      <c r="I14" s="788"/>
    </row>
    <row r="15" spans="1:9" x14ac:dyDescent="0.25">
      <c r="A15" s="1302" t="s">
        <v>988</v>
      </c>
      <c r="B15" s="1288" t="s">
        <v>989</v>
      </c>
      <c r="C15" s="1295"/>
      <c r="D15" s="1287" t="s">
        <v>989</v>
      </c>
      <c r="E15" s="1295"/>
      <c r="F15" s="1316" t="s">
        <v>1022</v>
      </c>
      <c r="G15" s="1295"/>
      <c r="H15" s="1317" t="s">
        <v>1008</v>
      </c>
      <c r="I15" s="1317"/>
    </row>
    <row r="16" spans="1:9" x14ac:dyDescent="0.25">
      <c r="A16" s="1302"/>
      <c r="B16" s="1284">
        <v>46022</v>
      </c>
      <c r="C16" s="1303"/>
      <c r="D16" s="1283">
        <v>46022</v>
      </c>
      <c r="E16" s="1303"/>
      <c r="F16" s="1296"/>
      <c r="G16" s="1298"/>
      <c r="H16" s="432" t="s">
        <v>1009</v>
      </c>
      <c r="I16" s="432" t="s">
        <v>1010</v>
      </c>
    </row>
    <row r="17" spans="1:9" x14ac:dyDescent="0.25">
      <c r="A17" s="411" t="s">
        <v>1023</v>
      </c>
      <c r="B17" s="1315">
        <v>0</v>
      </c>
      <c r="C17" s="1315"/>
      <c r="D17" s="1292">
        <v>0</v>
      </c>
      <c r="E17" s="1292"/>
      <c r="F17" s="1293">
        <v>0</v>
      </c>
      <c r="G17" s="1294"/>
      <c r="H17" s="433">
        <v>0</v>
      </c>
      <c r="I17" s="434">
        <v>0</v>
      </c>
    </row>
    <row r="18" spans="1:9" x14ac:dyDescent="0.25">
      <c r="A18" s="411" t="s">
        <v>1024</v>
      </c>
      <c r="B18" s="1315">
        <v>0</v>
      </c>
      <c r="C18" s="1315"/>
      <c r="D18" s="1292">
        <v>0</v>
      </c>
      <c r="E18" s="1292"/>
      <c r="F18" s="1293">
        <v>0</v>
      </c>
      <c r="G18" s="1294"/>
      <c r="H18" s="433">
        <v>0</v>
      </c>
      <c r="I18" s="434">
        <v>0</v>
      </c>
    </row>
    <row r="19" spans="1:9" x14ac:dyDescent="0.25">
      <c r="A19" s="411" t="s">
        <v>1025</v>
      </c>
      <c r="B19" s="1315">
        <v>0</v>
      </c>
      <c r="C19" s="1315"/>
      <c r="D19" s="1293">
        <v>0</v>
      </c>
      <c r="E19" s="1294"/>
      <c r="F19" s="1293">
        <v>0</v>
      </c>
      <c r="G19" s="1294"/>
      <c r="H19" s="433">
        <v>0</v>
      </c>
      <c r="I19" s="434">
        <v>0</v>
      </c>
    </row>
    <row r="20" spans="1:9" x14ac:dyDescent="0.25">
      <c r="A20" s="411" t="s">
        <v>853</v>
      </c>
      <c r="B20" s="1315">
        <v>0</v>
      </c>
      <c r="C20" s="1315"/>
      <c r="D20" s="1293">
        <v>0</v>
      </c>
      <c r="E20" s="1294"/>
      <c r="F20" s="1293">
        <v>0</v>
      </c>
      <c r="G20" s="1294"/>
      <c r="H20" s="433">
        <v>0</v>
      </c>
      <c r="I20" s="434">
        <v>0</v>
      </c>
    </row>
    <row r="21" spans="1:9" x14ac:dyDescent="0.25">
      <c r="A21" s="411" t="s">
        <v>1026</v>
      </c>
      <c r="B21" s="1315">
        <v>0</v>
      </c>
      <c r="C21" s="1315"/>
      <c r="D21" s="1293">
        <v>0</v>
      </c>
      <c r="E21" s="1294"/>
      <c r="F21" s="1293">
        <v>0</v>
      </c>
      <c r="G21" s="1294"/>
      <c r="H21" s="433">
        <v>0</v>
      </c>
      <c r="I21" s="434">
        <v>0</v>
      </c>
    </row>
    <row r="22" spans="1:9" x14ac:dyDescent="0.25">
      <c r="A22" s="411" t="s">
        <v>1027</v>
      </c>
      <c r="B22" s="1315">
        <v>0</v>
      </c>
      <c r="C22" s="1315"/>
      <c r="D22" s="1293">
        <v>0</v>
      </c>
      <c r="E22" s="1294"/>
      <c r="F22" s="1293">
        <v>0</v>
      </c>
      <c r="G22" s="1294"/>
      <c r="H22" s="433">
        <v>0</v>
      </c>
      <c r="I22" s="434">
        <v>0</v>
      </c>
    </row>
    <row r="23" spans="1:9" x14ac:dyDescent="0.25">
      <c r="A23" s="420" t="s">
        <v>1028</v>
      </c>
      <c r="B23" s="1313">
        <v>0</v>
      </c>
      <c r="C23" s="1314"/>
      <c r="D23" s="1304">
        <v>0</v>
      </c>
      <c r="E23" s="1304"/>
      <c r="F23" s="1305">
        <v>0</v>
      </c>
      <c r="G23" s="1306"/>
      <c r="H23" s="435">
        <v>0</v>
      </c>
      <c r="I23" s="436">
        <v>0</v>
      </c>
    </row>
    <row r="24" spans="1:9" x14ac:dyDescent="0.25">
      <c r="A24" s="408" t="s">
        <v>1029</v>
      </c>
      <c r="B24" s="1311">
        <v>0</v>
      </c>
      <c r="C24" s="1312"/>
      <c r="D24" s="1292">
        <v>0</v>
      </c>
      <c r="E24" s="1292"/>
      <c r="F24" s="1293">
        <v>0</v>
      </c>
      <c r="G24" s="1294"/>
      <c r="H24" s="433">
        <v>0</v>
      </c>
      <c r="I24" s="434">
        <v>0</v>
      </c>
    </row>
    <row r="25" spans="1:9" x14ac:dyDescent="0.25">
      <c r="A25" s="420" t="s">
        <v>1030</v>
      </c>
      <c r="B25" s="1313">
        <v>0</v>
      </c>
      <c r="C25" s="1314"/>
      <c r="D25" s="1304">
        <v>0</v>
      </c>
      <c r="E25" s="1304"/>
      <c r="F25" s="1305">
        <v>0</v>
      </c>
      <c r="G25" s="1306"/>
      <c r="H25" s="435">
        <v>0</v>
      </c>
      <c r="I25" s="436">
        <v>0</v>
      </c>
    </row>
    <row r="26" spans="1:9" ht="6.6" customHeight="1" x14ac:dyDescent="0.25">
      <c r="A26" s="241"/>
      <c r="B26" s="241"/>
      <c r="C26" s="241"/>
      <c r="D26" s="241"/>
      <c r="E26" s="241"/>
      <c r="F26" s="241"/>
      <c r="G26" s="241"/>
      <c r="H26" s="241"/>
      <c r="I26" s="241"/>
    </row>
    <row r="27" spans="1:9" x14ac:dyDescent="0.25">
      <c r="A27" s="1310" t="s">
        <v>1031</v>
      </c>
      <c r="B27" s="1310"/>
      <c r="C27" s="1310"/>
      <c r="D27" s="1310"/>
      <c r="E27" s="1310"/>
      <c r="F27" s="1310"/>
      <c r="G27" s="1310"/>
      <c r="H27" s="1310"/>
      <c r="I27" s="1310"/>
    </row>
    <row r="28" spans="1:9" x14ac:dyDescent="0.25">
      <c r="A28" s="241" t="s">
        <v>908</v>
      </c>
      <c r="B28" s="241"/>
      <c r="C28" s="241"/>
      <c r="D28" s="241"/>
      <c r="E28" s="241"/>
      <c r="F28" s="241"/>
      <c r="G28" s="241"/>
      <c r="H28" s="241"/>
      <c r="I28" s="241"/>
    </row>
    <row r="29" spans="1:9" x14ac:dyDescent="0.25">
      <c r="A29" s="1085"/>
      <c r="B29" s="1086"/>
      <c r="C29" s="1086"/>
      <c r="D29" s="1086"/>
      <c r="E29" s="1086"/>
      <c r="F29" s="1086"/>
      <c r="G29" s="1086"/>
      <c r="H29" s="1086"/>
      <c r="I29" s="1087"/>
    </row>
    <row r="30" spans="1:9" x14ac:dyDescent="0.25">
      <c r="A30" s="1088"/>
      <c r="B30" s="1089"/>
      <c r="C30" s="1089"/>
      <c r="D30" s="1089"/>
      <c r="E30" s="1089"/>
      <c r="F30" s="1089"/>
      <c r="G30" s="1089"/>
      <c r="H30" s="1089"/>
      <c r="I30" s="1090"/>
    </row>
    <row r="31" spans="1:9" x14ac:dyDescent="0.25">
      <c r="A31" s="1088"/>
      <c r="B31" s="1089"/>
      <c r="C31" s="1089"/>
      <c r="D31" s="1089"/>
      <c r="E31" s="1089"/>
      <c r="F31" s="1089"/>
      <c r="G31" s="1089"/>
      <c r="H31" s="1089"/>
      <c r="I31" s="1090"/>
    </row>
    <row r="32" spans="1:9" x14ac:dyDescent="0.25">
      <c r="A32" s="1088"/>
      <c r="B32" s="1089"/>
      <c r="C32" s="1089"/>
      <c r="D32" s="1089"/>
      <c r="E32" s="1089"/>
      <c r="F32" s="1089"/>
      <c r="G32" s="1089"/>
      <c r="H32" s="1089"/>
      <c r="I32" s="1090"/>
    </row>
    <row r="33" spans="1:9" x14ac:dyDescent="0.25">
      <c r="A33" s="1088"/>
      <c r="B33" s="1089"/>
      <c r="C33" s="1089"/>
      <c r="D33" s="1089"/>
      <c r="E33" s="1089"/>
      <c r="F33" s="1089"/>
      <c r="G33" s="1089"/>
      <c r="H33" s="1089"/>
      <c r="I33" s="1090"/>
    </row>
    <row r="34" spans="1:9" x14ac:dyDescent="0.25">
      <c r="A34" s="1091"/>
      <c r="B34" s="1092"/>
      <c r="C34" s="1092"/>
      <c r="D34" s="1092"/>
      <c r="E34" s="1092"/>
      <c r="F34" s="1092"/>
      <c r="G34" s="1092"/>
      <c r="H34" s="1092"/>
      <c r="I34" s="1093"/>
    </row>
  </sheetData>
  <mergeCells count="54">
    <mergeCell ref="B2:I2"/>
    <mergeCell ref="B3:I3"/>
    <mergeCell ref="B4:I4"/>
    <mergeCell ref="B5:I5"/>
    <mergeCell ref="B6:C6"/>
    <mergeCell ref="D6:E6"/>
    <mergeCell ref="G6:H6"/>
    <mergeCell ref="B7:D7"/>
    <mergeCell ref="B8:I8"/>
    <mergeCell ref="B9:I9"/>
    <mergeCell ref="B10:D10"/>
    <mergeCell ref="E10:F10"/>
    <mergeCell ref="G10:I10"/>
    <mergeCell ref="A15:A16"/>
    <mergeCell ref="B15:C15"/>
    <mergeCell ref="D15:E15"/>
    <mergeCell ref="F15:G16"/>
    <mergeCell ref="H15:I15"/>
    <mergeCell ref="B16:C16"/>
    <mergeCell ref="D16:E16"/>
    <mergeCell ref="B11:D11"/>
    <mergeCell ref="E11:F11"/>
    <mergeCell ref="G11:I11"/>
    <mergeCell ref="A13:I13"/>
    <mergeCell ref="A14:I14"/>
    <mergeCell ref="D17:E17"/>
    <mergeCell ref="F17:G17"/>
    <mergeCell ref="B19:C19"/>
    <mergeCell ref="D19:E19"/>
    <mergeCell ref="F19:G19"/>
    <mergeCell ref="B18:C18"/>
    <mergeCell ref="D18:E18"/>
    <mergeCell ref="F18:G18"/>
    <mergeCell ref="B17:C17"/>
    <mergeCell ref="B20:C20"/>
    <mergeCell ref="D20:E20"/>
    <mergeCell ref="F20:G20"/>
    <mergeCell ref="B21:C21"/>
    <mergeCell ref="D21:E21"/>
    <mergeCell ref="F21:G21"/>
    <mergeCell ref="B22:C22"/>
    <mergeCell ref="D22:E22"/>
    <mergeCell ref="F22:G22"/>
    <mergeCell ref="B23:C23"/>
    <mergeCell ref="D23:E23"/>
    <mergeCell ref="F23:G23"/>
    <mergeCell ref="A27:I27"/>
    <mergeCell ref="A29:I34"/>
    <mergeCell ref="B24:C24"/>
    <mergeCell ref="D24:E24"/>
    <mergeCell ref="F24:G24"/>
    <mergeCell ref="B25:C25"/>
    <mergeCell ref="D25:E25"/>
    <mergeCell ref="F25:G25"/>
  </mergeCells>
  <pageMargins left="0.7" right="0.7" top="0.75" bottom="0.75" header="0.3" footer="0.3"/>
  <drawing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0E89E6-EC86-421F-9A2C-D03B624B6587}">
  <dimension ref="A2:I37"/>
  <sheetViews>
    <sheetView workbookViewId="0">
      <selection activeCell="F17" sqref="A1:XFD1048576"/>
    </sheetView>
  </sheetViews>
  <sheetFormatPr baseColWidth="10" defaultRowHeight="15" x14ac:dyDescent="0.25"/>
  <cols>
    <col min="1" max="1" width="36.7109375" customWidth="1"/>
    <col min="2" max="2" width="9.5703125" customWidth="1"/>
    <col min="3" max="3" width="7.42578125" customWidth="1"/>
    <col min="4" max="4" width="20.5703125" customWidth="1"/>
    <col min="5" max="5" width="13.7109375" customWidth="1"/>
    <col min="6" max="6" width="14" customWidth="1"/>
    <col min="7" max="7" width="18.28515625" customWidth="1"/>
    <col min="8" max="8" width="15.28515625" customWidth="1"/>
    <col min="9" max="9" width="15.7109375" customWidth="1"/>
  </cols>
  <sheetData>
    <row r="2" spans="1:9" x14ac:dyDescent="0.25">
      <c r="A2" s="237" t="s">
        <v>464</v>
      </c>
      <c r="B2" s="958" t="s">
        <v>2</v>
      </c>
      <c r="C2" s="958"/>
      <c r="D2" s="958"/>
      <c r="E2" s="958"/>
      <c r="F2" s="958"/>
      <c r="G2" s="958"/>
      <c r="H2" s="958"/>
      <c r="I2" s="958"/>
    </row>
    <row r="3" spans="1:9" x14ac:dyDescent="0.25">
      <c r="A3" s="237"/>
      <c r="B3" s="957" t="s">
        <v>4</v>
      </c>
      <c r="C3" s="957"/>
      <c r="D3" s="957"/>
      <c r="E3" s="957"/>
      <c r="F3" s="957"/>
      <c r="G3" s="957"/>
      <c r="H3" s="957"/>
      <c r="I3" s="957"/>
    </row>
    <row r="4" spans="1:9" x14ac:dyDescent="0.25">
      <c r="A4" s="237" t="s">
        <v>362</v>
      </c>
      <c r="B4" s="957" t="s">
        <v>6</v>
      </c>
      <c r="C4" s="957"/>
      <c r="D4" s="957"/>
      <c r="E4" s="957"/>
      <c r="F4" s="957"/>
      <c r="G4" s="957"/>
      <c r="H4" s="957"/>
      <c r="I4" s="957"/>
    </row>
    <row r="5" spans="1:9" x14ac:dyDescent="0.25">
      <c r="A5" s="237" t="s">
        <v>363</v>
      </c>
      <c r="B5" s="957">
        <v>4431</v>
      </c>
      <c r="C5" s="957"/>
      <c r="D5" s="957"/>
      <c r="E5" s="957"/>
      <c r="F5" s="957"/>
      <c r="G5" s="957"/>
      <c r="H5" s="957"/>
      <c r="I5" s="957"/>
    </row>
    <row r="6" spans="1:9" x14ac:dyDescent="0.25">
      <c r="A6" s="237" t="s">
        <v>364</v>
      </c>
      <c r="B6" s="957" t="s">
        <v>12</v>
      </c>
      <c r="C6" s="957"/>
      <c r="D6" s="959" t="s">
        <v>365</v>
      </c>
      <c r="E6" s="959"/>
      <c r="F6" s="309">
        <v>46022</v>
      </c>
      <c r="G6" s="46" t="s">
        <v>465</v>
      </c>
      <c r="H6" s="1169">
        <v>12</v>
      </c>
      <c r="I6" s="1169"/>
    </row>
    <row r="7" spans="1:9" x14ac:dyDescent="0.25">
      <c r="A7" s="311" t="s">
        <v>367</v>
      </c>
      <c r="B7" s="958" t="s">
        <v>8</v>
      </c>
      <c r="C7" s="958"/>
      <c r="D7" s="958"/>
      <c r="E7" s="199"/>
      <c r="F7" s="199"/>
      <c r="G7" s="199"/>
      <c r="H7" s="199"/>
      <c r="I7" s="196"/>
    </row>
    <row r="8" spans="1:9" x14ac:dyDescent="0.25">
      <c r="A8" s="238" t="s">
        <v>466</v>
      </c>
      <c r="B8" s="958" t="s">
        <v>34</v>
      </c>
      <c r="C8" s="958"/>
      <c r="D8" s="958"/>
      <c r="E8" s="958"/>
      <c r="F8" s="958"/>
      <c r="G8" s="958"/>
      <c r="H8" s="958"/>
      <c r="I8" s="958"/>
    </row>
    <row r="9" spans="1:9" x14ac:dyDescent="0.25">
      <c r="A9" s="238"/>
      <c r="B9" s="957">
        <v>555555</v>
      </c>
      <c r="C9" s="957"/>
      <c r="D9" s="957"/>
      <c r="E9" s="957"/>
      <c r="F9" s="957"/>
      <c r="G9" s="957"/>
      <c r="H9" s="957"/>
      <c r="I9" s="957"/>
    </row>
    <row r="10" spans="1:9" x14ac:dyDescent="0.25">
      <c r="A10" s="238" t="s">
        <v>467</v>
      </c>
      <c r="B10" s="957" t="s">
        <v>38</v>
      </c>
      <c r="C10" s="957"/>
      <c r="D10" s="957"/>
      <c r="E10" s="770" t="s">
        <v>468</v>
      </c>
      <c r="F10" s="770"/>
      <c r="G10" s="958" t="s">
        <v>36</v>
      </c>
      <c r="H10" s="958"/>
      <c r="I10" s="958"/>
    </row>
    <row r="11" spans="1:9" x14ac:dyDescent="0.25">
      <c r="A11" s="238" t="s">
        <v>469</v>
      </c>
      <c r="B11" s="954">
        <v>44713</v>
      </c>
      <c r="C11" s="954"/>
      <c r="D11" s="954"/>
      <c r="E11" s="975" t="s">
        <v>470</v>
      </c>
      <c r="F11" s="975"/>
      <c r="G11" s="1142">
        <v>45991</v>
      </c>
      <c r="H11" s="1142"/>
      <c r="I11" s="1142"/>
    </row>
    <row r="12" spans="1:9" ht="7.9" customHeight="1" x14ac:dyDescent="0.25"/>
    <row r="13" spans="1:9" x14ac:dyDescent="0.25">
      <c r="A13" s="788" t="s">
        <v>1032</v>
      </c>
      <c r="B13" s="788"/>
      <c r="C13" s="788"/>
      <c r="D13" s="788"/>
      <c r="E13" s="788"/>
      <c r="F13" s="788"/>
      <c r="G13" s="788"/>
      <c r="H13" s="788"/>
      <c r="I13" s="788"/>
    </row>
    <row r="14" spans="1:9" x14ac:dyDescent="0.25">
      <c r="A14" s="788" t="s">
        <v>1033</v>
      </c>
      <c r="B14" s="788"/>
      <c r="C14" s="788"/>
      <c r="D14" s="788"/>
      <c r="E14" s="788"/>
      <c r="F14" s="788"/>
      <c r="G14" s="788"/>
      <c r="H14" s="788"/>
      <c r="I14" s="788"/>
    </row>
    <row r="15" spans="1:9" ht="5.45" customHeight="1" x14ac:dyDescent="0.25">
      <c r="A15" s="315"/>
      <c r="B15" s="315"/>
      <c r="C15" s="315"/>
      <c r="D15" s="315"/>
      <c r="E15" s="315"/>
      <c r="F15" s="315"/>
      <c r="G15" s="315"/>
      <c r="H15" s="315"/>
      <c r="I15" s="315"/>
    </row>
    <row r="16" spans="1:9" ht="31.15" customHeight="1" x14ac:dyDescent="0.25">
      <c r="A16" s="1285" t="s">
        <v>988</v>
      </c>
      <c r="B16" s="1287" t="s">
        <v>989</v>
      </c>
      <c r="C16" s="1288"/>
      <c r="D16" s="415" t="s">
        <v>989</v>
      </c>
      <c r="E16" s="1097" t="s">
        <v>1008</v>
      </c>
      <c r="F16" s="1099"/>
      <c r="G16" s="1282" t="s">
        <v>991</v>
      </c>
      <c r="H16" s="1282" t="s">
        <v>992</v>
      </c>
      <c r="I16" s="1318" t="s">
        <v>993</v>
      </c>
    </row>
    <row r="17" spans="1:9" ht="22.15" customHeight="1" x14ac:dyDescent="0.25">
      <c r="A17" s="1286"/>
      <c r="B17" s="1283">
        <v>46022</v>
      </c>
      <c r="C17" s="1284"/>
      <c r="D17" s="417">
        <v>46022</v>
      </c>
      <c r="E17" s="416" t="s">
        <v>1009</v>
      </c>
      <c r="F17" s="416" t="s">
        <v>1034</v>
      </c>
      <c r="G17" s="1282"/>
      <c r="H17" s="1282"/>
      <c r="I17" s="1319"/>
    </row>
    <row r="18" spans="1:9" x14ac:dyDescent="0.25">
      <c r="A18" s="438" t="s">
        <v>1035</v>
      </c>
      <c r="B18" s="1292">
        <v>0</v>
      </c>
      <c r="C18" s="1292"/>
      <c r="D18" s="425">
        <v>0</v>
      </c>
      <c r="E18" s="439">
        <v>0</v>
      </c>
      <c r="F18" s="434">
        <v>0</v>
      </c>
      <c r="G18" s="440"/>
      <c r="H18" s="440"/>
      <c r="I18" s="440"/>
    </row>
    <row r="19" spans="1:9" x14ac:dyDescent="0.25">
      <c r="A19" s="441" t="s">
        <v>1036</v>
      </c>
      <c r="B19" s="1292">
        <v>0</v>
      </c>
      <c r="C19" s="1292"/>
      <c r="D19" s="425">
        <v>0</v>
      </c>
      <c r="E19" s="439">
        <v>0</v>
      </c>
      <c r="F19" s="434">
        <v>0</v>
      </c>
      <c r="G19" s="440"/>
      <c r="H19" s="440"/>
      <c r="I19" s="440"/>
    </row>
    <row r="20" spans="1:9" ht="29.45" customHeight="1" x14ac:dyDescent="0.25">
      <c r="A20" s="441" t="s">
        <v>1037</v>
      </c>
      <c r="B20" s="1292">
        <v>0</v>
      </c>
      <c r="C20" s="1292"/>
      <c r="D20" s="425">
        <v>0</v>
      </c>
      <c r="E20" s="439">
        <v>0</v>
      </c>
      <c r="F20" s="434">
        <v>0</v>
      </c>
      <c r="G20" s="440"/>
      <c r="H20" s="440"/>
      <c r="I20" s="440"/>
    </row>
    <row r="21" spans="1:9" ht="30.6" customHeight="1" x14ac:dyDescent="0.25">
      <c r="A21" s="441" t="s">
        <v>1038</v>
      </c>
      <c r="B21" s="1292">
        <v>0</v>
      </c>
      <c r="C21" s="1292"/>
      <c r="D21" s="425">
        <v>0</v>
      </c>
      <c r="E21" s="439">
        <v>0</v>
      </c>
      <c r="F21" s="434">
        <v>0</v>
      </c>
      <c r="G21" s="440"/>
      <c r="H21" s="440"/>
      <c r="I21" s="440"/>
    </row>
    <row r="22" spans="1:9" ht="25.5" x14ac:dyDescent="0.25">
      <c r="A22" s="441" t="s">
        <v>1039</v>
      </c>
      <c r="B22" s="1292">
        <v>0</v>
      </c>
      <c r="C22" s="1292"/>
      <c r="D22" s="425">
        <v>0</v>
      </c>
      <c r="E22" s="439">
        <v>0</v>
      </c>
      <c r="F22" s="434">
        <v>0</v>
      </c>
      <c r="G22" s="440"/>
      <c r="H22" s="440"/>
      <c r="I22" s="440"/>
    </row>
    <row r="23" spans="1:9" ht="25.5" x14ac:dyDescent="0.25">
      <c r="A23" s="442" t="s">
        <v>1040</v>
      </c>
      <c r="B23" s="1304">
        <v>0</v>
      </c>
      <c r="C23" s="1304"/>
      <c r="D23" s="428">
        <v>0</v>
      </c>
      <c r="E23" s="443">
        <v>0</v>
      </c>
      <c r="F23" s="444">
        <f t="shared" ref="F23" si="0">IFERROR(((B23-D23)/D23),)</f>
        <v>0</v>
      </c>
      <c r="G23" s="445">
        <f>SUM(G18:G22)</f>
        <v>0</v>
      </c>
      <c r="H23" s="445">
        <f>SUM(H18:H22)</f>
        <v>0</v>
      </c>
      <c r="I23" s="445">
        <f>SUM(I18:I22)</f>
        <v>0</v>
      </c>
    </row>
    <row r="24" spans="1:9" ht="25.5" x14ac:dyDescent="0.25">
      <c r="A24" s="441" t="s">
        <v>1041</v>
      </c>
      <c r="B24" s="1292">
        <v>0</v>
      </c>
      <c r="C24" s="1292"/>
      <c r="D24" s="425">
        <v>0</v>
      </c>
      <c r="E24" s="439">
        <v>0</v>
      </c>
      <c r="F24" s="434">
        <v>0</v>
      </c>
      <c r="G24" s="440"/>
      <c r="H24" s="440"/>
      <c r="I24" s="440"/>
    </row>
    <row r="25" spans="1:9" x14ac:dyDescent="0.25">
      <c r="A25" s="406" t="s">
        <v>1030</v>
      </c>
      <c r="B25" s="1304">
        <v>0</v>
      </c>
      <c r="C25" s="1304"/>
      <c r="D25" s="428">
        <v>0</v>
      </c>
      <c r="E25" s="443">
        <v>0</v>
      </c>
      <c r="F25" s="436">
        <v>0</v>
      </c>
      <c r="G25" s="446">
        <v>0</v>
      </c>
      <c r="H25" s="446">
        <v>0</v>
      </c>
      <c r="I25" s="446">
        <v>0</v>
      </c>
    </row>
    <row r="26" spans="1:9" x14ac:dyDescent="0.25">
      <c r="A26" s="438" t="s">
        <v>1042</v>
      </c>
      <c r="B26" s="1293">
        <v>0</v>
      </c>
      <c r="C26" s="1294"/>
      <c r="D26" s="425">
        <v>0</v>
      </c>
      <c r="E26" s="439">
        <v>0</v>
      </c>
      <c r="F26" s="434">
        <v>0</v>
      </c>
      <c r="G26" s="440"/>
      <c r="H26" s="440"/>
      <c r="I26" s="440"/>
    </row>
    <row r="27" spans="1:9" x14ac:dyDescent="0.25">
      <c r="A27" s="441" t="s">
        <v>1043</v>
      </c>
      <c r="B27" s="1293">
        <v>0</v>
      </c>
      <c r="C27" s="1294"/>
      <c r="D27" s="425">
        <v>0</v>
      </c>
      <c r="E27" s="439">
        <v>0</v>
      </c>
      <c r="F27" s="434">
        <v>0</v>
      </c>
      <c r="G27" s="440"/>
      <c r="H27" s="440"/>
      <c r="I27" s="440"/>
    </row>
    <row r="28" spans="1:9" x14ac:dyDescent="0.25">
      <c r="A28" s="438" t="s">
        <v>1044</v>
      </c>
      <c r="B28" s="1293">
        <v>0</v>
      </c>
      <c r="C28" s="1294"/>
      <c r="D28" s="425">
        <v>0</v>
      </c>
      <c r="E28" s="439">
        <v>0</v>
      </c>
      <c r="F28" s="434">
        <v>0</v>
      </c>
      <c r="G28" s="440"/>
      <c r="H28" s="440"/>
      <c r="I28" s="440"/>
    </row>
    <row r="29" spans="1:9" x14ac:dyDescent="0.25">
      <c r="A29" s="447" t="s">
        <v>1045</v>
      </c>
      <c r="B29" s="1304">
        <v>0</v>
      </c>
      <c r="C29" s="1304"/>
      <c r="D29" s="428">
        <v>0</v>
      </c>
      <c r="E29" s="443">
        <v>0</v>
      </c>
      <c r="F29" s="436">
        <v>0</v>
      </c>
      <c r="G29" s="446">
        <v>0</v>
      </c>
      <c r="H29" s="446">
        <v>0</v>
      </c>
      <c r="I29" s="446">
        <v>0</v>
      </c>
    </row>
    <row r="30" spans="1:9" ht="7.9" customHeight="1" x14ac:dyDescent="0.25">
      <c r="A30" s="241"/>
      <c r="B30" s="241"/>
      <c r="C30" s="241"/>
      <c r="D30" s="241"/>
      <c r="E30" s="241"/>
      <c r="F30" s="241"/>
      <c r="G30" s="241"/>
      <c r="H30" s="241"/>
      <c r="I30" s="241"/>
    </row>
    <row r="31" spans="1:9" x14ac:dyDescent="0.25">
      <c r="A31" s="241" t="s">
        <v>908</v>
      </c>
      <c r="B31" s="241"/>
      <c r="C31" s="241"/>
      <c r="D31" s="241"/>
      <c r="E31" s="241"/>
      <c r="F31" s="241"/>
      <c r="G31" s="241"/>
      <c r="H31" s="241"/>
      <c r="I31" s="241"/>
    </row>
    <row r="32" spans="1:9" x14ac:dyDescent="0.25">
      <c r="A32" s="1103"/>
      <c r="B32" s="1104"/>
      <c r="C32" s="1104"/>
      <c r="D32" s="1104"/>
      <c r="E32" s="1104"/>
      <c r="F32" s="1104"/>
      <c r="G32" s="1104"/>
      <c r="H32" s="1104"/>
      <c r="I32" s="1105"/>
    </row>
    <row r="33" spans="1:9" x14ac:dyDescent="0.25">
      <c r="A33" s="1106"/>
      <c r="B33" s="1107"/>
      <c r="C33" s="1107"/>
      <c r="D33" s="1107"/>
      <c r="E33" s="1107"/>
      <c r="F33" s="1107"/>
      <c r="G33" s="1107"/>
      <c r="H33" s="1107"/>
      <c r="I33" s="1108"/>
    </row>
    <row r="34" spans="1:9" x14ac:dyDescent="0.25">
      <c r="A34" s="1106"/>
      <c r="B34" s="1107"/>
      <c r="C34" s="1107"/>
      <c r="D34" s="1107"/>
      <c r="E34" s="1107"/>
      <c r="F34" s="1107"/>
      <c r="G34" s="1107"/>
      <c r="H34" s="1107"/>
      <c r="I34" s="1108"/>
    </row>
    <row r="35" spans="1:9" x14ac:dyDescent="0.25">
      <c r="A35" s="1106"/>
      <c r="B35" s="1107"/>
      <c r="C35" s="1107"/>
      <c r="D35" s="1107"/>
      <c r="E35" s="1107"/>
      <c r="F35" s="1107"/>
      <c r="G35" s="1107"/>
      <c r="H35" s="1107"/>
      <c r="I35" s="1108"/>
    </row>
    <row r="36" spans="1:9" x14ac:dyDescent="0.25">
      <c r="A36" s="1106"/>
      <c r="B36" s="1107"/>
      <c r="C36" s="1107"/>
      <c r="D36" s="1107"/>
      <c r="E36" s="1107"/>
      <c r="F36" s="1107"/>
      <c r="G36" s="1107"/>
      <c r="H36" s="1107"/>
      <c r="I36" s="1108"/>
    </row>
    <row r="37" spans="1:9" x14ac:dyDescent="0.25">
      <c r="A37" s="1109"/>
      <c r="B37" s="1110"/>
      <c r="C37" s="1110"/>
      <c r="D37" s="1110"/>
      <c r="E37" s="1110"/>
      <c r="F37" s="1110"/>
      <c r="G37" s="1110"/>
      <c r="H37" s="1110"/>
      <c r="I37" s="1111"/>
    </row>
  </sheetData>
  <mergeCells count="38">
    <mergeCell ref="B2:I2"/>
    <mergeCell ref="B3:I3"/>
    <mergeCell ref="B4:I4"/>
    <mergeCell ref="B5:I5"/>
    <mergeCell ref="B6:C6"/>
    <mergeCell ref="D6:E6"/>
    <mergeCell ref="H6:I6"/>
    <mergeCell ref="B7:D7"/>
    <mergeCell ref="B8:I8"/>
    <mergeCell ref="B9:I9"/>
    <mergeCell ref="B10:D10"/>
    <mergeCell ref="E10:F10"/>
    <mergeCell ref="G10:I10"/>
    <mergeCell ref="B21:C21"/>
    <mergeCell ref="B11:D11"/>
    <mergeCell ref="E11:F11"/>
    <mergeCell ref="G11:I11"/>
    <mergeCell ref="A13:I13"/>
    <mergeCell ref="A14:I14"/>
    <mergeCell ref="A16:A17"/>
    <mergeCell ref="B16:C16"/>
    <mergeCell ref="E16:F16"/>
    <mergeCell ref="G16:G17"/>
    <mergeCell ref="H16:H17"/>
    <mergeCell ref="I16:I17"/>
    <mergeCell ref="B17:C17"/>
    <mergeCell ref="B18:C18"/>
    <mergeCell ref="B19:C19"/>
    <mergeCell ref="B20:C20"/>
    <mergeCell ref="B28:C28"/>
    <mergeCell ref="B29:C29"/>
    <mergeCell ref="A32:I37"/>
    <mergeCell ref="B22:C22"/>
    <mergeCell ref="B23:C23"/>
    <mergeCell ref="B24:C24"/>
    <mergeCell ref="B25:C25"/>
    <mergeCell ref="B26:C26"/>
    <mergeCell ref="B27:C27"/>
  </mergeCells>
  <pageMargins left="0.7" right="0.7" top="0.75" bottom="0.75" header="0.3" footer="0.3"/>
  <drawing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311B1B-8525-4CEA-972E-C0E5CB6A1686}">
  <dimension ref="A2:I34"/>
  <sheetViews>
    <sheetView workbookViewId="0">
      <selection activeCell="C13" sqref="A1:XFD1048576"/>
    </sheetView>
  </sheetViews>
  <sheetFormatPr baseColWidth="10" defaultRowHeight="15" x14ac:dyDescent="0.25"/>
  <cols>
    <col min="1" max="1" width="32.7109375" customWidth="1"/>
    <col min="2" max="3" width="9.5703125" customWidth="1"/>
    <col min="4" max="4" width="20" customWidth="1"/>
    <col min="5" max="5" width="14.28515625" customWidth="1"/>
    <col min="6" max="6" width="14" customWidth="1"/>
    <col min="7" max="7" width="18" customWidth="1"/>
    <col min="8" max="8" width="15.28515625" customWidth="1"/>
    <col min="9" max="9" width="16.7109375" customWidth="1"/>
  </cols>
  <sheetData>
    <row r="2" spans="1:9" x14ac:dyDescent="0.25">
      <c r="A2" s="237" t="s">
        <v>464</v>
      </c>
      <c r="B2" s="958" t="s">
        <v>2</v>
      </c>
      <c r="C2" s="958"/>
      <c r="D2" s="958"/>
      <c r="E2" s="958"/>
      <c r="F2" s="958"/>
      <c r="G2" s="958"/>
      <c r="H2" s="958"/>
      <c r="I2" s="958"/>
    </row>
    <row r="3" spans="1:9" x14ac:dyDescent="0.25">
      <c r="A3" s="237"/>
      <c r="B3" s="957" t="s">
        <v>4</v>
      </c>
      <c r="C3" s="957"/>
      <c r="D3" s="957"/>
      <c r="E3" s="957"/>
      <c r="F3" s="957"/>
      <c r="G3" s="957"/>
      <c r="H3" s="957"/>
      <c r="I3" s="957"/>
    </row>
    <row r="4" spans="1:9" x14ac:dyDescent="0.25">
      <c r="A4" s="237" t="s">
        <v>362</v>
      </c>
      <c r="B4" s="957" t="s">
        <v>6</v>
      </c>
      <c r="C4" s="957"/>
      <c r="D4" s="957"/>
      <c r="E4" s="957"/>
      <c r="F4" s="957"/>
      <c r="G4" s="957"/>
      <c r="H4" s="957"/>
      <c r="I4" s="957"/>
    </row>
    <row r="5" spans="1:9" x14ac:dyDescent="0.25">
      <c r="A5" s="237" t="s">
        <v>363</v>
      </c>
      <c r="B5" s="957">
        <v>4431</v>
      </c>
      <c r="C5" s="957"/>
      <c r="D5" s="957"/>
      <c r="E5" s="957"/>
      <c r="F5" s="957"/>
      <c r="G5" s="957"/>
      <c r="H5" s="957"/>
      <c r="I5" s="957"/>
    </row>
    <row r="6" spans="1:9" x14ac:dyDescent="0.25">
      <c r="A6" s="237" t="s">
        <v>364</v>
      </c>
      <c r="B6" s="957" t="s">
        <v>12</v>
      </c>
      <c r="C6" s="957"/>
      <c r="D6" s="959" t="s">
        <v>365</v>
      </c>
      <c r="E6" s="959"/>
      <c r="F6" s="309">
        <v>46022</v>
      </c>
      <c r="G6" s="46" t="s">
        <v>465</v>
      </c>
      <c r="H6" s="1169">
        <v>12</v>
      </c>
      <c r="I6" s="1169"/>
    </row>
    <row r="7" spans="1:9" x14ac:dyDescent="0.25">
      <c r="A7" s="311" t="s">
        <v>367</v>
      </c>
      <c r="B7" s="958" t="s">
        <v>8</v>
      </c>
      <c r="C7" s="958"/>
      <c r="D7" s="958"/>
      <c r="E7" s="199"/>
      <c r="F7" s="199"/>
      <c r="G7" s="199"/>
      <c r="H7" s="199"/>
      <c r="I7" s="196"/>
    </row>
    <row r="8" spans="1:9" x14ac:dyDescent="0.25">
      <c r="A8" s="238" t="s">
        <v>466</v>
      </c>
      <c r="B8" s="958" t="s">
        <v>34</v>
      </c>
      <c r="C8" s="958"/>
      <c r="D8" s="958"/>
      <c r="E8" s="958"/>
      <c r="F8" s="958"/>
      <c r="G8" s="958"/>
      <c r="H8" s="958"/>
      <c r="I8" s="958"/>
    </row>
    <row r="9" spans="1:9" x14ac:dyDescent="0.25">
      <c r="A9" s="238"/>
      <c r="B9" s="957">
        <v>555555</v>
      </c>
      <c r="C9" s="957"/>
      <c r="D9" s="957"/>
      <c r="E9" s="957"/>
      <c r="F9" s="957"/>
      <c r="G9" s="957"/>
      <c r="H9" s="957"/>
      <c r="I9" s="957"/>
    </row>
    <row r="10" spans="1:9" x14ac:dyDescent="0.25">
      <c r="A10" s="238" t="s">
        <v>467</v>
      </c>
      <c r="B10" s="957" t="s">
        <v>38</v>
      </c>
      <c r="C10" s="957"/>
      <c r="D10" s="957"/>
      <c r="E10" s="770" t="s">
        <v>468</v>
      </c>
      <c r="F10" s="770"/>
      <c r="G10" s="958" t="s">
        <v>36</v>
      </c>
      <c r="H10" s="958"/>
      <c r="I10" s="958"/>
    </row>
    <row r="11" spans="1:9" x14ac:dyDescent="0.25">
      <c r="A11" s="238" t="s">
        <v>469</v>
      </c>
      <c r="B11" s="954">
        <v>44713</v>
      </c>
      <c r="C11" s="954"/>
      <c r="D11" s="954"/>
      <c r="E11" s="975" t="s">
        <v>470</v>
      </c>
      <c r="F11" s="975"/>
      <c r="G11" s="1142">
        <v>45991</v>
      </c>
      <c r="H11" s="1142"/>
      <c r="I11" s="1142"/>
    </row>
    <row r="12" spans="1:9" ht="7.15" customHeight="1" x14ac:dyDescent="0.25"/>
    <row r="13" spans="1:9" x14ac:dyDescent="0.25">
      <c r="A13" s="788" t="s">
        <v>1046</v>
      </c>
      <c r="B13" s="788"/>
      <c r="C13" s="788"/>
      <c r="D13" s="788"/>
      <c r="E13" s="788"/>
      <c r="F13" s="788"/>
      <c r="G13" s="788"/>
      <c r="H13" s="788"/>
      <c r="I13" s="788"/>
    </row>
    <row r="14" spans="1:9" x14ac:dyDescent="0.25">
      <c r="A14" s="788" t="s">
        <v>1047</v>
      </c>
      <c r="B14" s="788"/>
      <c r="C14" s="788"/>
      <c r="D14" s="788"/>
      <c r="E14" s="788"/>
      <c r="F14" s="788"/>
      <c r="G14" s="788"/>
      <c r="H14" s="788"/>
      <c r="I14" s="788"/>
    </row>
    <row r="15" spans="1:9" ht="7.15" customHeight="1" x14ac:dyDescent="0.25">
      <c r="A15" s="315"/>
      <c r="B15" s="315"/>
      <c r="C15" s="315"/>
      <c r="D15" s="315"/>
      <c r="E15" s="315"/>
      <c r="F15" s="315"/>
      <c r="G15" s="315"/>
      <c r="H15" s="315"/>
      <c r="I15" s="315"/>
    </row>
    <row r="16" spans="1:9" ht="22.15" customHeight="1" x14ac:dyDescent="0.25">
      <c r="A16" s="1285" t="s">
        <v>988</v>
      </c>
      <c r="B16" s="1287" t="s">
        <v>989</v>
      </c>
      <c r="C16" s="1288"/>
      <c r="D16" s="415" t="s">
        <v>989</v>
      </c>
      <c r="E16" s="1097" t="s">
        <v>1008</v>
      </c>
      <c r="F16" s="1099"/>
      <c r="G16" s="1282" t="s">
        <v>991</v>
      </c>
      <c r="H16" s="1282" t="s">
        <v>992</v>
      </c>
      <c r="I16" s="1318" t="s">
        <v>993</v>
      </c>
    </row>
    <row r="17" spans="1:9" ht="22.15" customHeight="1" x14ac:dyDescent="0.25">
      <c r="A17" s="1286"/>
      <c r="B17" s="1283">
        <v>46022</v>
      </c>
      <c r="C17" s="1284"/>
      <c r="D17" s="417">
        <v>46022</v>
      </c>
      <c r="E17" s="416" t="s">
        <v>1009</v>
      </c>
      <c r="F17" s="416" t="s">
        <v>1034</v>
      </c>
      <c r="G17" s="1282"/>
      <c r="H17" s="1282"/>
      <c r="I17" s="1319"/>
    </row>
    <row r="18" spans="1:9" x14ac:dyDescent="0.25">
      <c r="A18" s="438" t="s">
        <v>834</v>
      </c>
      <c r="B18" s="1292">
        <v>0</v>
      </c>
      <c r="C18" s="1292"/>
      <c r="D18" s="425">
        <v>0</v>
      </c>
      <c r="E18" s="439">
        <v>0</v>
      </c>
      <c r="F18" s="427">
        <v>0</v>
      </c>
      <c r="G18" s="448"/>
      <c r="H18" s="448"/>
      <c r="I18" s="448"/>
    </row>
    <row r="19" spans="1:9" x14ac:dyDescent="0.25">
      <c r="A19" s="441" t="s">
        <v>1048</v>
      </c>
      <c r="B19" s="1292">
        <v>0</v>
      </c>
      <c r="C19" s="1292"/>
      <c r="D19" s="425">
        <v>0</v>
      </c>
      <c r="E19" s="439">
        <v>0</v>
      </c>
      <c r="F19" s="427">
        <v>0</v>
      </c>
      <c r="G19" s="448"/>
      <c r="H19" s="448"/>
      <c r="I19" s="448"/>
    </row>
    <row r="20" spans="1:9" x14ac:dyDescent="0.25">
      <c r="A20" s="441" t="s">
        <v>1049</v>
      </c>
      <c r="B20" s="1292">
        <v>0</v>
      </c>
      <c r="C20" s="1292"/>
      <c r="D20" s="425">
        <v>0</v>
      </c>
      <c r="E20" s="439">
        <v>0</v>
      </c>
      <c r="F20" s="427">
        <v>0</v>
      </c>
      <c r="G20" s="448"/>
      <c r="H20" s="448"/>
      <c r="I20" s="448"/>
    </row>
    <row r="21" spans="1:9" ht="26.25" x14ac:dyDescent="0.25">
      <c r="A21" s="449" t="s">
        <v>1050</v>
      </c>
      <c r="B21" s="1292">
        <v>0</v>
      </c>
      <c r="C21" s="1292"/>
      <c r="D21" s="425">
        <v>0</v>
      </c>
      <c r="E21" s="439">
        <v>0</v>
      </c>
      <c r="F21" s="427">
        <v>0</v>
      </c>
      <c r="G21" s="448"/>
      <c r="H21" s="448"/>
      <c r="I21" s="448"/>
    </row>
    <row r="22" spans="1:9" ht="26.25" x14ac:dyDescent="0.25">
      <c r="A22" s="449" t="s">
        <v>1051</v>
      </c>
      <c r="B22" s="1292">
        <v>0</v>
      </c>
      <c r="C22" s="1292"/>
      <c r="D22" s="425">
        <v>0</v>
      </c>
      <c r="E22" s="439">
        <v>0</v>
      </c>
      <c r="F22" s="427">
        <v>0</v>
      </c>
      <c r="G22" s="448"/>
      <c r="H22" s="448"/>
      <c r="I22" s="448"/>
    </row>
    <row r="23" spans="1:9" x14ac:dyDescent="0.25">
      <c r="A23" s="441" t="s">
        <v>1052</v>
      </c>
      <c r="B23" s="1292">
        <v>0</v>
      </c>
      <c r="C23" s="1292"/>
      <c r="D23" s="425">
        <v>0</v>
      </c>
      <c r="E23" s="439">
        <v>0</v>
      </c>
      <c r="F23" s="427">
        <v>0</v>
      </c>
      <c r="G23" s="448"/>
      <c r="H23" s="448"/>
      <c r="I23" s="448"/>
    </row>
    <row r="24" spans="1:9" x14ac:dyDescent="0.25">
      <c r="A24" s="420" t="s">
        <v>1001</v>
      </c>
      <c r="B24" s="1290">
        <v>0</v>
      </c>
      <c r="C24" s="1290"/>
      <c r="D24" s="429">
        <v>0</v>
      </c>
      <c r="E24" s="429">
        <v>0</v>
      </c>
      <c r="F24" s="431">
        <v>0</v>
      </c>
      <c r="G24" s="450">
        <f>SUM(G18:G23)</f>
        <v>0</v>
      </c>
      <c r="H24" s="450">
        <f>SUM(H18:I23)</f>
        <v>0</v>
      </c>
      <c r="I24" s="450"/>
    </row>
    <row r="25" spans="1:9" x14ac:dyDescent="0.25">
      <c r="A25" s="408" t="s">
        <v>1053</v>
      </c>
      <c r="B25" s="1292">
        <v>0</v>
      </c>
      <c r="C25" s="1292"/>
      <c r="D25" s="425">
        <v>0</v>
      </c>
      <c r="E25" s="439">
        <v>0</v>
      </c>
      <c r="F25" s="427">
        <v>0</v>
      </c>
      <c r="G25" s="448"/>
      <c r="H25" s="448"/>
      <c r="I25" s="448"/>
    </row>
    <row r="26" spans="1:9" x14ac:dyDescent="0.25">
      <c r="A26" s="420" t="s">
        <v>1030</v>
      </c>
      <c r="B26" s="1290">
        <v>0</v>
      </c>
      <c r="C26" s="1290"/>
      <c r="D26" s="429">
        <v>0</v>
      </c>
      <c r="E26" s="451">
        <v>0</v>
      </c>
      <c r="F26" s="431">
        <v>0</v>
      </c>
      <c r="G26" s="450">
        <f>G24-G25</f>
        <v>0</v>
      </c>
      <c r="H26" s="450">
        <f>H24-H25</f>
        <v>0</v>
      </c>
      <c r="I26" s="450"/>
    </row>
    <row r="27" spans="1:9" ht="7.9" customHeight="1" x14ac:dyDescent="0.25">
      <c r="A27" s="241"/>
      <c r="B27" s="241"/>
      <c r="C27" s="241"/>
      <c r="D27" s="241"/>
      <c r="E27" s="241"/>
      <c r="F27" s="241"/>
      <c r="G27" s="241"/>
      <c r="H27" s="241"/>
      <c r="I27" s="241"/>
    </row>
    <row r="28" spans="1:9" x14ac:dyDescent="0.25">
      <c r="A28" s="241" t="s">
        <v>908</v>
      </c>
      <c r="B28" s="241"/>
      <c r="C28" s="241"/>
      <c r="D28" s="241"/>
      <c r="E28" s="241"/>
      <c r="F28" s="241"/>
      <c r="G28" s="241"/>
      <c r="H28" s="241"/>
      <c r="I28" s="241"/>
    </row>
    <row r="29" spans="1:9" x14ac:dyDescent="0.25">
      <c r="A29" s="1103"/>
      <c r="B29" s="1104"/>
      <c r="C29" s="1104"/>
      <c r="D29" s="1104"/>
      <c r="E29" s="1104"/>
      <c r="F29" s="1104"/>
      <c r="G29" s="1104"/>
      <c r="H29" s="1104"/>
      <c r="I29" s="1105"/>
    </row>
    <row r="30" spans="1:9" x14ac:dyDescent="0.25">
      <c r="A30" s="1106"/>
      <c r="B30" s="1107"/>
      <c r="C30" s="1107"/>
      <c r="D30" s="1107"/>
      <c r="E30" s="1107"/>
      <c r="F30" s="1107"/>
      <c r="G30" s="1107"/>
      <c r="H30" s="1107"/>
      <c r="I30" s="1108"/>
    </row>
    <row r="31" spans="1:9" x14ac:dyDescent="0.25">
      <c r="A31" s="1106"/>
      <c r="B31" s="1107"/>
      <c r="C31" s="1107"/>
      <c r="D31" s="1107"/>
      <c r="E31" s="1107"/>
      <c r="F31" s="1107"/>
      <c r="G31" s="1107"/>
      <c r="H31" s="1107"/>
      <c r="I31" s="1108"/>
    </row>
    <row r="32" spans="1:9" x14ac:dyDescent="0.25">
      <c r="A32" s="1106"/>
      <c r="B32" s="1107"/>
      <c r="C32" s="1107"/>
      <c r="D32" s="1107"/>
      <c r="E32" s="1107"/>
      <c r="F32" s="1107"/>
      <c r="G32" s="1107"/>
      <c r="H32" s="1107"/>
      <c r="I32" s="1108"/>
    </row>
    <row r="33" spans="1:9" x14ac:dyDescent="0.25">
      <c r="A33" s="1106"/>
      <c r="B33" s="1107"/>
      <c r="C33" s="1107"/>
      <c r="D33" s="1107"/>
      <c r="E33" s="1107"/>
      <c r="F33" s="1107"/>
      <c r="G33" s="1107"/>
      <c r="H33" s="1107"/>
      <c r="I33" s="1108"/>
    </row>
    <row r="34" spans="1:9" x14ac:dyDescent="0.25">
      <c r="A34" s="1109"/>
      <c r="B34" s="1110"/>
      <c r="C34" s="1110"/>
      <c r="D34" s="1110"/>
      <c r="E34" s="1110"/>
      <c r="F34" s="1110"/>
      <c r="G34" s="1110"/>
      <c r="H34" s="1110"/>
      <c r="I34" s="1111"/>
    </row>
  </sheetData>
  <mergeCells count="35">
    <mergeCell ref="B2:I2"/>
    <mergeCell ref="B3:I3"/>
    <mergeCell ref="B4:I4"/>
    <mergeCell ref="B5:I5"/>
    <mergeCell ref="B6:C6"/>
    <mergeCell ref="D6:E6"/>
    <mergeCell ref="H6:I6"/>
    <mergeCell ref="B7:D7"/>
    <mergeCell ref="B8:I8"/>
    <mergeCell ref="B9:I9"/>
    <mergeCell ref="B10:D10"/>
    <mergeCell ref="E10:F10"/>
    <mergeCell ref="G10:I10"/>
    <mergeCell ref="B25:C25"/>
    <mergeCell ref="B11:D11"/>
    <mergeCell ref="E11:F11"/>
    <mergeCell ref="G11:I11"/>
    <mergeCell ref="A13:I13"/>
    <mergeCell ref="A14:I14"/>
    <mergeCell ref="B26:C26"/>
    <mergeCell ref="A29:I34"/>
    <mergeCell ref="I16:I17"/>
    <mergeCell ref="B17:C17"/>
    <mergeCell ref="B18:C18"/>
    <mergeCell ref="B19:C19"/>
    <mergeCell ref="B20:C20"/>
    <mergeCell ref="B21:C21"/>
    <mergeCell ref="A16:A17"/>
    <mergeCell ref="B16:C16"/>
    <mergeCell ref="E16:F16"/>
    <mergeCell ref="G16:G17"/>
    <mergeCell ref="H16:H17"/>
    <mergeCell ref="B22:C22"/>
    <mergeCell ref="B23:C23"/>
    <mergeCell ref="B24:C24"/>
  </mergeCells>
  <pageMargins left="0.7" right="0.7" top="0.75" bottom="0.75" header="0.3" footer="0.3"/>
  <drawing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81FC31-B2E8-46D6-9689-F6EF8622A688}">
  <dimension ref="A2:I33"/>
  <sheetViews>
    <sheetView workbookViewId="0">
      <selection activeCell="F12" sqref="A1:XFD1048576"/>
    </sheetView>
  </sheetViews>
  <sheetFormatPr baseColWidth="10" defaultRowHeight="15" x14ac:dyDescent="0.25"/>
  <cols>
    <col min="1" max="1" width="32.7109375" customWidth="1"/>
    <col min="2" max="3" width="9.5703125" customWidth="1"/>
    <col min="4" max="4" width="17.28515625" customWidth="1"/>
    <col min="5" max="5" width="15.42578125" customWidth="1"/>
    <col min="6" max="6" width="14" customWidth="1"/>
    <col min="7" max="7" width="19.42578125" customWidth="1"/>
    <col min="8" max="8" width="20.7109375" customWidth="1"/>
    <col min="9" max="9" width="9" customWidth="1"/>
  </cols>
  <sheetData>
    <row r="2" spans="1:9" x14ac:dyDescent="0.25">
      <c r="A2" s="237" t="s">
        <v>464</v>
      </c>
      <c r="B2" s="958" t="s">
        <v>2</v>
      </c>
      <c r="C2" s="958"/>
      <c r="D2" s="958"/>
      <c r="E2" s="958"/>
      <c r="F2" s="958"/>
      <c r="G2" s="958"/>
      <c r="H2" s="958"/>
      <c r="I2" s="958"/>
    </row>
    <row r="3" spans="1:9" x14ac:dyDescent="0.25">
      <c r="A3" s="237"/>
      <c r="B3" s="957" t="s">
        <v>4</v>
      </c>
      <c r="C3" s="957"/>
      <c r="D3" s="957"/>
      <c r="E3" s="957"/>
      <c r="F3" s="957"/>
      <c r="G3" s="957"/>
      <c r="H3" s="957"/>
      <c r="I3" s="957"/>
    </row>
    <row r="4" spans="1:9" x14ac:dyDescent="0.25">
      <c r="A4" s="237" t="s">
        <v>362</v>
      </c>
      <c r="B4" s="957" t="s">
        <v>6</v>
      </c>
      <c r="C4" s="957"/>
      <c r="D4" s="957"/>
      <c r="E4" s="957"/>
      <c r="F4" s="957"/>
      <c r="G4" s="957"/>
      <c r="H4" s="957"/>
      <c r="I4" s="957"/>
    </row>
    <row r="5" spans="1:9" x14ac:dyDescent="0.25">
      <c r="A5" s="237" t="s">
        <v>363</v>
      </c>
      <c r="B5" s="957">
        <v>4431</v>
      </c>
      <c r="C5" s="957"/>
      <c r="D5" s="957"/>
      <c r="E5" s="957"/>
      <c r="F5" s="957"/>
      <c r="G5" s="957"/>
      <c r="H5" s="957"/>
      <c r="I5" s="957"/>
    </row>
    <row r="6" spans="1:9" x14ac:dyDescent="0.25">
      <c r="A6" s="237" t="s">
        <v>364</v>
      </c>
      <c r="B6" s="957" t="s">
        <v>12</v>
      </c>
      <c r="C6" s="957"/>
      <c r="D6" s="959" t="s">
        <v>365</v>
      </c>
      <c r="E6" s="959"/>
      <c r="F6" s="309">
        <v>46022</v>
      </c>
      <c r="G6" s="46" t="s">
        <v>465</v>
      </c>
      <c r="H6" s="1169">
        <v>12</v>
      </c>
      <c r="I6" s="1169"/>
    </row>
    <row r="7" spans="1:9" x14ac:dyDescent="0.25">
      <c r="A7" s="311" t="s">
        <v>367</v>
      </c>
      <c r="B7" s="958" t="s">
        <v>8</v>
      </c>
      <c r="C7" s="958"/>
      <c r="D7" s="958"/>
      <c r="E7" s="199"/>
      <c r="F7" s="199"/>
      <c r="G7" s="199"/>
      <c r="H7" s="199"/>
      <c r="I7" s="196"/>
    </row>
    <row r="8" spans="1:9" x14ac:dyDescent="0.25">
      <c r="A8" s="238" t="s">
        <v>466</v>
      </c>
      <c r="B8" s="958" t="s">
        <v>34</v>
      </c>
      <c r="C8" s="958"/>
      <c r="D8" s="958"/>
      <c r="E8" s="958"/>
      <c r="F8" s="958"/>
      <c r="G8" s="958"/>
      <c r="H8" s="958"/>
      <c r="I8" s="958"/>
    </row>
    <row r="9" spans="1:9" x14ac:dyDescent="0.25">
      <c r="A9" s="238"/>
      <c r="B9" s="957">
        <v>555555</v>
      </c>
      <c r="C9" s="957"/>
      <c r="D9" s="957"/>
      <c r="E9" s="957"/>
      <c r="F9" s="957"/>
      <c r="G9" s="957"/>
      <c r="H9" s="957"/>
      <c r="I9" s="957"/>
    </row>
    <row r="10" spans="1:9" x14ac:dyDescent="0.25">
      <c r="A10" s="238" t="s">
        <v>467</v>
      </c>
      <c r="B10" s="957" t="s">
        <v>38</v>
      </c>
      <c r="C10" s="957"/>
      <c r="D10" s="957"/>
      <c r="E10" s="770" t="s">
        <v>468</v>
      </c>
      <c r="F10" s="770"/>
      <c r="G10" s="958" t="s">
        <v>36</v>
      </c>
      <c r="H10" s="958"/>
      <c r="I10" s="958"/>
    </row>
    <row r="11" spans="1:9" x14ac:dyDescent="0.25">
      <c r="A11" s="238" t="s">
        <v>469</v>
      </c>
      <c r="B11" s="954">
        <v>44713</v>
      </c>
      <c r="C11" s="954"/>
      <c r="D11" s="954"/>
      <c r="E11" s="975" t="s">
        <v>470</v>
      </c>
      <c r="F11" s="975"/>
      <c r="G11" s="1142">
        <v>45991</v>
      </c>
      <c r="H11" s="1142"/>
      <c r="I11" s="1142"/>
    </row>
    <row r="12" spans="1:9" ht="7.9" customHeight="1" x14ac:dyDescent="0.25"/>
    <row r="13" spans="1:9" x14ac:dyDescent="0.25">
      <c r="A13" s="788" t="s">
        <v>1054</v>
      </c>
      <c r="B13" s="788"/>
      <c r="C13" s="788"/>
      <c r="D13" s="788"/>
      <c r="E13" s="788"/>
      <c r="F13" s="788"/>
      <c r="G13" s="788"/>
      <c r="H13" s="788"/>
      <c r="I13" s="788"/>
    </row>
    <row r="14" spans="1:9" x14ac:dyDescent="0.25">
      <c r="A14" s="788" t="s">
        <v>1055</v>
      </c>
      <c r="B14" s="788"/>
      <c r="C14" s="788"/>
      <c r="D14" s="788"/>
      <c r="E14" s="788"/>
      <c r="F14" s="788"/>
      <c r="G14" s="788"/>
      <c r="H14" s="788"/>
      <c r="I14" s="788"/>
    </row>
    <row r="15" spans="1:9" x14ac:dyDescent="0.25">
      <c r="A15" s="1287" t="s">
        <v>988</v>
      </c>
      <c r="B15" s="1288"/>
      <c r="C15" s="1295"/>
      <c r="D15" s="1299" t="s">
        <v>989</v>
      </c>
      <c r="E15" s="1300"/>
      <c r="F15" s="1299" t="s">
        <v>989</v>
      </c>
      <c r="G15" s="1301"/>
      <c r="H15" s="1302" t="s">
        <v>1056</v>
      </c>
      <c r="I15" s="1302"/>
    </row>
    <row r="16" spans="1:9" x14ac:dyDescent="0.25">
      <c r="A16" s="1296"/>
      <c r="B16" s="1297"/>
      <c r="C16" s="1298"/>
      <c r="D16" s="1283">
        <v>46022</v>
      </c>
      <c r="E16" s="1303"/>
      <c r="F16" s="1283">
        <v>46022</v>
      </c>
      <c r="G16" s="1284"/>
      <c r="H16" s="424" t="s">
        <v>1009</v>
      </c>
      <c r="I16" s="424" t="s">
        <v>1034</v>
      </c>
    </row>
    <row r="17" spans="1:9" x14ac:dyDescent="0.25">
      <c r="A17" s="1320" t="s">
        <v>1057</v>
      </c>
      <c r="B17" s="1320"/>
      <c r="C17" s="1320"/>
      <c r="D17" s="1292">
        <v>0</v>
      </c>
      <c r="E17" s="1292"/>
      <c r="F17" s="1293">
        <v>0</v>
      </c>
      <c r="G17" s="1294"/>
      <c r="H17" s="425">
        <v>0</v>
      </c>
      <c r="I17" s="427">
        <v>0</v>
      </c>
    </row>
    <row r="18" spans="1:9" x14ac:dyDescent="0.25">
      <c r="A18" s="1320" t="s">
        <v>1058</v>
      </c>
      <c r="B18" s="1320"/>
      <c r="C18" s="1320"/>
      <c r="D18" s="1292">
        <v>0</v>
      </c>
      <c r="E18" s="1292"/>
      <c r="F18" s="1293">
        <v>0</v>
      </c>
      <c r="G18" s="1294"/>
      <c r="H18" s="425">
        <v>0</v>
      </c>
      <c r="I18" s="427">
        <v>0</v>
      </c>
    </row>
    <row r="19" spans="1:9" x14ac:dyDescent="0.25">
      <c r="A19" s="1321" t="s">
        <v>1059</v>
      </c>
      <c r="B19" s="1322"/>
      <c r="C19" s="1323"/>
      <c r="D19" s="1293">
        <v>0</v>
      </c>
      <c r="E19" s="1294"/>
      <c r="F19" s="1293">
        <v>0</v>
      </c>
      <c r="G19" s="1294"/>
      <c r="H19" s="425">
        <v>0</v>
      </c>
      <c r="I19" s="427">
        <v>0</v>
      </c>
    </row>
    <row r="20" spans="1:9" x14ac:dyDescent="0.25">
      <c r="A20" s="1321" t="s">
        <v>1060</v>
      </c>
      <c r="B20" s="1322"/>
      <c r="C20" s="1323"/>
      <c r="D20" s="1293">
        <v>0</v>
      </c>
      <c r="E20" s="1294"/>
      <c r="F20" s="1293">
        <v>0</v>
      </c>
      <c r="G20" s="1294"/>
      <c r="H20" s="425">
        <v>0</v>
      </c>
      <c r="I20" s="427">
        <v>0</v>
      </c>
    </row>
    <row r="21" spans="1:9" x14ac:dyDescent="0.25">
      <c r="A21" s="1321" t="s">
        <v>1061</v>
      </c>
      <c r="B21" s="1322"/>
      <c r="C21" s="1323"/>
      <c r="D21" s="1293">
        <v>0</v>
      </c>
      <c r="E21" s="1294"/>
      <c r="F21" s="1293">
        <v>0</v>
      </c>
      <c r="G21" s="1294"/>
      <c r="H21" s="425">
        <v>0</v>
      </c>
      <c r="I21" s="427">
        <v>0</v>
      </c>
    </row>
    <row r="22" spans="1:9" x14ac:dyDescent="0.25">
      <c r="A22" s="1321" t="s">
        <v>999</v>
      </c>
      <c r="B22" s="1322"/>
      <c r="C22" s="1323"/>
      <c r="D22" s="1293">
        <v>0</v>
      </c>
      <c r="E22" s="1294"/>
      <c r="F22" s="1293">
        <v>0</v>
      </c>
      <c r="G22" s="1294"/>
      <c r="H22" s="425">
        <v>0</v>
      </c>
      <c r="I22" s="427">
        <v>0</v>
      </c>
    </row>
    <row r="23" spans="1:9" x14ac:dyDescent="0.25">
      <c r="A23" s="1321" t="s">
        <v>1062</v>
      </c>
      <c r="B23" s="1322"/>
      <c r="C23" s="1323"/>
      <c r="D23" s="1293">
        <v>0</v>
      </c>
      <c r="E23" s="1294"/>
      <c r="F23" s="1293">
        <v>0</v>
      </c>
      <c r="G23" s="1294"/>
      <c r="H23" s="425">
        <v>0</v>
      </c>
      <c r="I23" s="427">
        <v>0</v>
      </c>
    </row>
    <row r="24" spans="1:9" x14ac:dyDescent="0.25">
      <c r="A24" s="1269" t="s">
        <v>1001</v>
      </c>
      <c r="B24" s="1269"/>
      <c r="C24" s="1269"/>
      <c r="D24" s="1304">
        <v>0</v>
      </c>
      <c r="E24" s="1304"/>
      <c r="F24" s="1305">
        <v>0</v>
      </c>
      <c r="G24" s="1306"/>
      <c r="H24" s="429">
        <v>0</v>
      </c>
      <c r="I24" s="431">
        <v>0</v>
      </c>
    </row>
    <row r="25" spans="1:9" x14ac:dyDescent="0.25">
      <c r="A25" s="1320" t="s">
        <v>1063</v>
      </c>
      <c r="B25" s="1320"/>
      <c r="C25" s="1320"/>
      <c r="D25" s="1292">
        <v>0</v>
      </c>
      <c r="E25" s="1292"/>
      <c r="F25" s="1293">
        <v>0</v>
      </c>
      <c r="G25" s="1294"/>
      <c r="H25" s="425">
        <v>0</v>
      </c>
      <c r="I25" s="427">
        <v>0</v>
      </c>
    </row>
    <row r="26" spans="1:9" x14ac:dyDescent="0.25">
      <c r="A26" s="1269" t="s">
        <v>1030</v>
      </c>
      <c r="B26" s="1269"/>
      <c r="C26" s="1269"/>
      <c r="D26" s="1304">
        <v>0</v>
      </c>
      <c r="E26" s="1304"/>
      <c r="F26" s="1305">
        <v>0</v>
      </c>
      <c r="G26" s="1306"/>
      <c r="H26" s="429">
        <v>0</v>
      </c>
      <c r="I26" s="431">
        <v>0</v>
      </c>
    </row>
    <row r="27" spans="1:9" ht="9.6" customHeight="1" x14ac:dyDescent="0.25">
      <c r="A27" s="241"/>
      <c r="B27" s="241"/>
      <c r="C27" s="241"/>
      <c r="D27" s="241"/>
      <c r="E27" s="241"/>
      <c r="F27" s="241"/>
      <c r="G27" s="241"/>
      <c r="H27" s="241"/>
      <c r="I27" s="241"/>
    </row>
    <row r="28" spans="1:9" x14ac:dyDescent="0.25">
      <c r="A28" s="241" t="s">
        <v>908</v>
      </c>
      <c r="B28" s="241"/>
      <c r="C28" s="241"/>
      <c r="D28" s="241"/>
      <c r="E28" s="241"/>
      <c r="F28" s="241"/>
      <c r="G28" s="241"/>
      <c r="H28" s="241"/>
      <c r="I28" s="241"/>
    </row>
    <row r="29" spans="1:9" x14ac:dyDescent="0.25">
      <c r="A29" s="1103"/>
      <c r="B29" s="1104"/>
      <c r="C29" s="1104"/>
      <c r="D29" s="1104"/>
      <c r="E29" s="1104"/>
      <c r="F29" s="1104"/>
      <c r="G29" s="1104"/>
      <c r="H29" s="1104"/>
      <c r="I29" s="1105"/>
    </row>
    <row r="30" spans="1:9" x14ac:dyDescent="0.25">
      <c r="A30" s="1106"/>
      <c r="B30" s="1107"/>
      <c r="C30" s="1107"/>
      <c r="D30" s="1107"/>
      <c r="E30" s="1107"/>
      <c r="F30" s="1107"/>
      <c r="G30" s="1107"/>
      <c r="H30" s="1107"/>
      <c r="I30" s="1108"/>
    </row>
    <row r="31" spans="1:9" x14ac:dyDescent="0.25">
      <c r="A31" s="1106"/>
      <c r="B31" s="1107"/>
      <c r="C31" s="1107"/>
      <c r="D31" s="1107"/>
      <c r="E31" s="1107"/>
      <c r="F31" s="1107"/>
      <c r="G31" s="1107"/>
      <c r="H31" s="1107"/>
      <c r="I31" s="1108"/>
    </row>
    <row r="32" spans="1:9" x14ac:dyDescent="0.25">
      <c r="A32" s="1106"/>
      <c r="B32" s="1107"/>
      <c r="C32" s="1107"/>
      <c r="D32" s="1107"/>
      <c r="E32" s="1107"/>
      <c r="F32" s="1107"/>
      <c r="G32" s="1107"/>
      <c r="H32" s="1107"/>
      <c r="I32" s="1108"/>
    </row>
    <row r="33" spans="1:9" x14ac:dyDescent="0.25">
      <c r="A33" s="1109"/>
      <c r="B33" s="1110"/>
      <c r="C33" s="1110"/>
      <c r="D33" s="1110"/>
      <c r="E33" s="1110"/>
      <c r="F33" s="1110"/>
      <c r="G33" s="1110"/>
      <c r="H33" s="1110"/>
      <c r="I33" s="1111"/>
    </row>
  </sheetData>
  <mergeCells count="55">
    <mergeCell ref="B2:I2"/>
    <mergeCell ref="B3:I3"/>
    <mergeCell ref="B4:I4"/>
    <mergeCell ref="B5:I5"/>
    <mergeCell ref="B6:C6"/>
    <mergeCell ref="D6:E6"/>
    <mergeCell ref="H6:I6"/>
    <mergeCell ref="H15:I15"/>
    <mergeCell ref="D16:E16"/>
    <mergeCell ref="B7:D7"/>
    <mergeCell ref="B8:I8"/>
    <mergeCell ref="B9:I9"/>
    <mergeCell ref="B10:D10"/>
    <mergeCell ref="E10:F10"/>
    <mergeCell ref="G10:I10"/>
    <mergeCell ref="B11:D11"/>
    <mergeCell ref="E11:F11"/>
    <mergeCell ref="G11:I11"/>
    <mergeCell ref="A13:I13"/>
    <mergeCell ref="A14:I14"/>
    <mergeCell ref="F16:G16"/>
    <mergeCell ref="A15:C16"/>
    <mergeCell ref="D15:E15"/>
    <mergeCell ref="F15:G15"/>
    <mergeCell ref="A19:C19"/>
    <mergeCell ref="D19:E19"/>
    <mergeCell ref="F19:G19"/>
    <mergeCell ref="A20:C20"/>
    <mergeCell ref="D20:E20"/>
    <mergeCell ref="F20:G20"/>
    <mergeCell ref="A17:C17"/>
    <mergeCell ref="D17:E17"/>
    <mergeCell ref="F17:G17"/>
    <mergeCell ref="A18:C18"/>
    <mergeCell ref="D18:E18"/>
    <mergeCell ref="F18:G18"/>
    <mergeCell ref="A21:C21"/>
    <mergeCell ref="D21:E21"/>
    <mergeCell ref="F21:G21"/>
    <mergeCell ref="A22:C22"/>
    <mergeCell ref="D22:E22"/>
    <mergeCell ref="F22:G22"/>
    <mergeCell ref="A23:C23"/>
    <mergeCell ref="D23:E23"/>
    <mergeCell ref="F23:G23"/>
    <mergeCell ref="A24:C24"/>
    <mergeCell ref="D24:E24"/>
    <mergeCell ref="F24:G24"/>
    <mergeCell ref="A29:I33"/>
    <mergeCell ref="A25:C25"/>
    <mergeCell ref="D25:E25"/>
    <mergeCell ref="F25:G25"/>
    <mergeCell ref="A26:C26"/>
    <mergeCell ref="D26:E26"/>
    <mergeCell ref="F26:G26"/>
  </mergeCells>
  <pageMargins left="0.7" right="0.7" top="0.75" bottom="0.75" header="0.3" footer="0.3"/>
  <drawing r:id="rId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84406B-1322-4547-9B1E-E9A73B95D26B}">
  <dimension ref="A2:I31"/>
  <sheetViews>
    <sheetView workbookViewId="0">
      <selection activeCell="D12" sqref="A1:XFD1048576"/>
    </sheetView>
  </sheetViews>
  <sheetFormatPr baseColWidth="10" defaultRowHeight="15" x14ac:dyDescent="0.25"/>
  <cols>
    <col min="1" max="1" width="32.7109375" customWidth="1"/>
    <col min="2" max="3" width="9.5703125" customWidth="1"/>
    <col min="4" max="4" width="20.5703125" customWidth="1"/>
    <col min="5" max="5" width="15.42578125" customWidth="1"/>
    <col min="6" max="6" width="14" customWidth="1"/>
    <col min="7" max="7" width="19.42578125" customWidth="1"/>
    <col min="8" max="8" width="19.7109375" customWidth="1"/>
    <col min="9" max="9" width="8.7109375" customWidth="1"/>
  </cols>
  <sheetData>
    <row r="2" spans="1:9" x14ac:dyDescent="0.25">
      <c r="A2" s="237" t="s">
        <v>464</v>
      </c>
      <c r="B2" s="958" t="s">
        <v>2</v>
      </c>
      <c r="C2" s="958"/>
      <c r="D2" s="958"/>
      <c r="E2" s="958"/>
      <c r="F2" s="958"/>
      <c r="G2" s="958"/>
      <c r="H2" s="958"/>
      <c r="I2" s="958"/>
    </row>
    <row r="3" spans="1:9" x14ac:dyDescent="0.25">
      <c r="A3" s="237"/>
      <c r="B3" s="957" t="s">
        <v>4</v>
      </c>
      <c r="C3" s="957"/>
      <c r="D3" s="957"/>
      <c r="E3" s="957"/>
      <c r="F3" s="957"/>
      <c r="G3" s="957"/>
      <c r="H3" s="957"/>
      <c r="I3" s="957"/>
    </row>
    <row r="4" spans="1:9" x14ac:dyDescent="0.25">
      <c r="A4" s="237" t="s">
        <v>362</v>
      </c>
      <c r="B4" s="957" t="s">
        <v>6</v>
      </c>
      <c r="C4" s="957"/>
      <c r="D4" s="957"/>
      <c r="E4" s="957"/>
      <c r="F4" s="957"/>
      <c r="G4" s="957"/>
      <c r="H4" s="957"/>
      <c r="I4" s="957"/>
    </row>
    <row r="5" spans="1:9" x14ac:dyDescent="0.25">
      <c r="A5" s="237" t="s">
        <v>363</v>
      </c>
      <c r="B5" s="957">
        <v>4431</v>
      </c>
      <c r="C5" s="957"/>
      <c r="D5" s="957"/>
      <c r="E5" s="957"/>
      <c r="F5" s="957"/>
      <c r="G5" s="957"/>
      <c r="H5" s="957"/>
      <c r="I5" s="957"/>
    </row>
    <row r="6" spans="1:9" x14ac:dyDescent="0.25">
      <c r="A6" s="237" t="s">
        <v>364</v>
      </c>
      <c r="B6" s="957" t="s">
        <v>12</v>
      </c>
      <c r="C6" s="957"/>
      <c r="D6" s="959" t="s">
        <v>365</v>
      </c>
      <c r="E6" s="959"/>
      <c r="F6" s="309">
        <v>46022</v>
      </c>
      <c r="G6" s="46" t="s">
        <v>465</v>
      </c>
      <c r="H6" s="1169">
        <v>12</v>
      </c>
      <c r="I6" s="1169"/>
    </row>
    <row r="7" spans="1:9" x14ac:dyDescent="0.25">
      <c r="A7" s="311" t="s">
        <v>367</v>
      </c>
      <c r="B7" s="958" t="s">
        <v>8</v>
      </c>
      <c r="C7" s="958"/>
      <c r="D7" s="958"/>
      <c r="E7" s="199"/>
      <c r="F7" s="199"/>
      <c r="G7" s="199"/>
      <c r="H7" s="199"/>
      <c r="I7" s="196"/>
    </row>
    <row r="8" spans="1:9" x14ac:dyDescent="0.25">
      <c r="A8" s="238" t="s">
        <v>466</v>
      </c>
      <c r="B8" s="958" t="s">
        <v>34</v>
      </c>
      <c r="C8" s="958"/>
      <c r="D8" s="958"/>
      <c r="E8" s="958"/>
      <c r="F8" s="958"/>
      <c r="G8" s="958"/>
      <c r="H8" s="958"/>
      <c r="I8" s="958"/>
    </row>
    <row r="9" spans="1:9" x14ac:dyDescent="0.25">
      <c r="A9" s="238"/>
      <c r="B9" s="957">
        <v>555555</v>
      </c>
      <c r="C9" s="957"/>
      <c r="D9" s="957"/>
      <c r="E9" s="957"/>
      <c r="F9" s="957"/>
      <c r="G9" s="957"/>
      <c r="H9" s="957"/>
      <c r="I9" s="957"/>
    </row>
    <row r="10" spans="1:9" x14ac:dyDescent="0.25">
      <c r="A10" s="238" t="s">
        <v>467</v>
      </c>
      <c r="B10" s="957" t="s">
        <v>38</v>
      </c>
      <c r="C10" s="957"/>
      <c r="D10" s="957"/>
      <c r="E10" s="770" t="s">
        <v>468</v>
      </c>
      <c r="F10" s="770"/>
      <c r="G10" s="958" t="s">
        <v>36</v>
      </c>
      <c r="H10" s="958"/>
      <c r="I10" s="958"/>
    </row>
    <row r="11" spans="1:9" x14ac:dyDescent="0.25">
      <c r="A11" s="238" t="s">
        <v>469</v>
      </c>
      <c r="B11" s="954">
        <v>44713</v>
      </c>
      <c r="C11" s="954"/>
      <c r="D11" s="954"/>
      <c r="E11" s="975" t="s">
        <v>470</v>
      </c>
      <c r="F11" s="975"/>
      <c r="G11" s="1142">
        <v>45991</v>
      </c>
      <c r="H11" s="1142"/>
      <c r="I11" s="1142"/>
    </row>
    <row r="12" spans="1:9" ht="6" customHeight="1" x14ac:dyDescent="0.25"/>
    <row r="13" spans="1:9" x14ac:dyDescent="0.25">
      <c r="A13" s="788" t="s">
        <v>1064</v>
      </c>
      <c r="B13" s="788"/>
      <c r="C13" s="788"/>
      <c r="D13" s="788"/>
      <c r="E13" s="788"/>
      <c r="F13" s="788"/>
      <c r="G13" s="788"/>
      <c r="H13" s="788"/>
      <c r="I13" s="788"/>
    </row>
    <row r="14" spans="1:9" x14ac:dyDescent="0.25">
      <c r="A14" s="788" t="s">
        <v>1065</v>
      </c>
      <c r="B14" s="788"/>
      <c r="C14" s="788"/>
      <c r="D14" s="788"/>
      <c r="E14" s="788"/>
      <c r="F14" s="788"/>
      <c r="G14" s="788"/>
      <c r="H14" s="788"/>
      <c r="I14" s="788"/>
    </row>
    <row r="15" spans="1:9" x14ac:dyDescent="0.25">
      <c r="A15" s="1287" t="s">
        <v>988</v>
      </c>
      <c r="B15" s="1288"/>
      <c r="C15" s="1295"/>
      <c r="D15" s="1299" t="s">
        <v>989</v>
      </c>
      <c r="E15" s="1300"/>
      <c r="F15" s="1299" t="s">
        <v>989</v>
      </c>
      <c r="G15" s="1301"/>
      <c r="H15" s="1302" t="s">
        <v>1056</v>
      </c>
      <c r="I15" s="1302"/>
    </row>
    <row r="16" spans="1:9" x14ac:dyDescent="0.25">
      <c r="A16" s="1296"/>
      <c r="B16" s="1297"/>
      <c r="C16" s="1298"/>
      <c r="D16" s="1283">
        <v>46022</v>
      </c>
      <c r="E16" s="1303"/>
      <c r="F16" s="1283">
        <v>46022</v>
      </c>
      <c r="G16" s="1284"/>
      <c r="H16" s="454" t="s">
        <v>1009</v>
      </c>
      <c r="I16" s="454" t="s">
        <v>1034</v>
      </c>
    </row>
    <row r="17" spans="1:9" x14ac:dyDescent="0.25">
      <c r="A17" s="1321" t="s">
        <v>1066</v>
      </c>
      <c r="B17" s="1322"/>
      <c r="C17" s="1323"/>
      <c r="D17" s="1293">
        <v>0</v>
      </c>
      <c r="E17" s="1294"/>
      <c r="F17" s="1293">
        <v>0</v>
      </c>
      <c r="G17" s="1294"/>
      <c r="H17" s="425">
        <v>0</v>
      </c>
      <c r="I17" s="455">
        <v>0</v>
      </c>
    </row>
    <row r="18" spans="1:9" x14ac:dyDescent="0.25">
      <c r="A18" s="1321" t="s">
        <v>1067</v>
      </c>
      <c r="B18" s="1322"/>
      <c r="C18" s="1323"/>
      <c r="D18" s="1293">
        <v>0</v>
      </c>
      <c r="E18" s="1294"/>
      <c r="F18" s="1293">
        <v>0</v>
      </c>
      <c r="G18" s="1294"/>
      <c r="H18" s="425">
        <v>0</v>
      </c>
      <c r="I18" s="455">
        <v>0</v>
      </c>
    </row>
    <row r="19" spans="1:9" x14ac:dyDescent="0.25">
      <c r="A19" s="1321" t="s">
        <v>1068</v>
      </c>
      <c r="B19" s="1322"/>
      <c r="C19" s="1323"/>
      <c r="D19" s="1293">
        <v>0</v>
      </c>
      <c r="E19" s="1294"/>
      <c r="F19" s="1293">
        <v>0</v>
      </c>
      <c r="G19" s="1294"/>
      <c r="H19" s="425">
        <v>0</v>
      </c>
      <c r="I19" s="455">
        <v>0</v>
      </c>
    </row>
    <row r="20" spans="1:9" x14ac:dyDescent="0.25">
      <c r="A20" s="1321" t="s">
        <v>1069</v>
      </c>
      <c r="B20" s="1322"/>
      <c r="C20" s="1323"/>
      <c r="D20" s="1293">
        <v>0</v>
      </c>
      <c r="E20" s="1294"/>
      <c r="F20" s="1293">
        <v>0</v>
      </c>
      <c r="G20" s="1294"/>
      <c r="H20" s="425">
        <v>0</v>
      </c>
      <c r="I20" s="455">
        <v>0</v>
      </c>
    </row>
    <row r="21" spans="1:9" x14ac:dyDescent="0.25">
      <c r="A21" s="1269" t="s">
        <v>1001</v>
      </c>
      <c r="B21" s="1269"/>
      <c r="C21" s="1269"/>
      <c r="D21" s="1304">
        <v>0</v>
      </c>
      <c r="E21" s="1304"/>
      <c r="F21" s="1305">
        <v>0</v>
      </c>
      <c r="G21" s="1306"/>
      <c r="H21" s="429">
        <v>0</v>
      </c>
      <c r="I21" s="456">
        <v>0</v>
      </c>
    </row>
    <row r="22" spans="1:9" x14ac:dyDescent="0.25">
      <c r="A22" s="1320" t="s">
        <v>1070</v>
      </c>
      <c r="B22" s="1320"/>
      <c r="C22" s="1320"/>
      <c r="D22" s="1292">
        <v>0</v>
      </c>
      <c r="E22" s="1292"/>
      <c r="F22" s="1293">
        <v>0</v>
      </c>
      <c r="G22" s="1294"/>
      <c r="H22" s="425">
        <v>0</v>
      </c>
      <c r="I22" s="455">
        <v>0</v>
      </c>
    </row>
    <row r="23" spans="1:9" x14ac:dyDescent="0.25">
      <c r="A23" s="1269" t="s">
        <v>1030</v>
      </c>
      <c r="B23" s="1269"/>
      <c r="C23" s="1269"/>
      <c r="D23" s="1304">
        <v>0</v>
      </c>
      <c r="E23" s="1304"/>
      <c r="F23" s="1305">
        <v>0</v>
      </c>
      <c r="G23" s="1306"/>
      <c r="H23" s="429">
        <v>0</v>
      </c>
      <c r="I23" s="456">
        <v>0</v>
      </c>
    </row>
    <row r="24" spans="1:9" x14ac:dyDescent="0.25">
      <c r="A24" s="241"/>
      <c r="B24" s="241"/>
      <c r="C24" s="241"/>
      <c r="D24" s="241"/>
      <c r="E24" s="241"/>
      <c r="F24" s="241"/>
      <c r="G24" s="241"/>
      <c r="H24" s="241"/>
      <c r="I24" s="241"/>
    </row>
    <row r="25" spans="1:9" x14ac:dyDescent="0.25">
      <c r="A25" s="241" t="s">
        <v>908</v>
      </c>
      <c r="B25" s="241"/>
      <c r="C25" s="241"/>
      <c r="D25" s="241"/>
      <c r="E25" s="241"/>
      <c r="F25" s="241"/>
      <c r="G25" s="241"/>
      <c r="H25" s="241"/>
      <c r="I25" s="241"/>
    </row>
    <row r="26" spans="1:9" x14ac:dyDescent="0.25">
      <c r="A26" s="1103"/>
      <c r="B26" s="1104"/>
      <c r="C26" s="1104"/>
      <c r="D26" s="1104"/>
      <c r="E26" s="1104"/>
      <c r="F26" s="1104"/>
      <c r="G26" s="1104"/>
      <c r="H26" s="1104"/>
      <c r="I26" s="1105"/>
    </row>
    <row r="27" spans="1:9" x14ac:dyDescent="0.25">
      <c r="A27" s="1106"/>
      <c r="B27" s="1107"/>
      <c r="C27" s="1107"/>
      <c r="D27" s="1107"/>
      <c r="E27" s="1107"/>
      <c r="F27" s="1107"/>
      <c r="G27" s="1107"/>
      <c r="H27" s="1107"/>
      <c r="I27" s="1108"/>
    </row>
    <row r="28" spans="1:9" x14ac:dyDescent="0.25">
      <c r="A28" s="1106"/>
      <c r="B28" s="1107"/>
      <c r="C28" s="1107"/>
      <c r="D28" s="1107"/>
      <c r="E28" s="1107"/>
      <c r="F28" s="1107"/>
      <c r="G28" s="1107"/>
      <c r="H28" s="1107"/>
      <c r="I28" s="1108"/>
    </row>
    <row r="29" spans="1:9" x14ac:dyDescent="0.25">
      <c r="A29" s="1106"/>
      <c r="B29" s="1107"/>
      <c r="C29" s="1107"/>
      <c r="D29" s="1107"/>
      <c r="E29" s="1107"/>
      <c r="F29" s="1107"/>
      <c r="G29" s="1107"/>
      <c r="H29" s="1107"/>
      <c r="I29" s="1108"/>
    </row>
    <row r="30" spans="1:9" x14ac:dyDescent="0.25">
      <c r="A30" s="1106"/>
      <c r="B30" s="1107"/>
      <c r="C30" s="1107"/>
      <c r="D30" s="1107"/>
      <c r="E30" s="1107"/>
      <c r="F30" s="1107"/>
      <c r="G30" s="1107"/>
      <c r="H30" s="1107"/>
      <c r="I30" s="1108"/>
    </row>
    <row r="31" spans="1:9" x14ac:dyDescent="0.25">
      <c r="A31" s="1109"/>
      <c r="B31" s="1110"/>
      <c r="C31" s="1110"/>
      <c r="D31" s="1110"/>
      <c r="E31" s="1110"/>
      <c r="F31" s="1110"/>
      <c r="G31" s="1110"/>
      <c r="H31" s="1110"/>
      <c r="I31" s="1111"/>
    </row>
  </sheetData>
  <mergeCells count="46">
    <mergeCell ref="B2:I2"/>
    <mergeCell ref="B3:I3"/>
    <mergeCell ref="B4:I4"/>
    <mergeCell ref="B5:I5"/>
    <mergeCell ref="B6:C6"/>
    <mergeCell ref="D6:E6"/>
    <mergeCell ref="H6:I6"/>
    <mergeCell ref="H15:I15"/>
    <mergeCell ref="D16:E16"/>
    <mergeCell ref="B7:D7"/>
    <mergeCell ref="B8:I8"/>
    <mergeCell ref="B9:I9"/>
    <mergeCell ref="B10:D10"/>
    <mergeCell ref="E10:F10"/>
    <mergeCell ref="G10:I10"/>
    <mergeCell ref="B11:D11"/>
    <mergeCell ref="E11:F11"/>
    <mergeCell ref="G11:I11"/>
    <mergeCell ref="A13:I13"/>
    <mergeCell ref="A14:I14"/>
    <mergeCell ref="F16:G16"/>
    <mergeCell ref="A15:C16"/>
    <mergeCell ref="D15:E15"/>
    <mergeCell ref="F15:G15"/>
    <mergeCell ref="A19:C19"/>
    <mergeCell ref="D19:E19"/>
    <mergeCell ref="F19:G19"/>
    <mergeCell ref="A20:C20"/>
    <mergeCell ref="D20:E20"/>
    <mergeCell ref="F20:G20"/>
    <mergeCell ref="A17:C17"/>
    <mergeCell ref="D17:E17"/>
    <mergeCell ref="F17:G17"/>
    <mergeCell ref="A18:C18"/>
    <mergeCell ref="D18:E18"/>
    <mergeCell ref="F18:G18"/>
    <mergeCell ref="A23:C23"/>
    <mergeCell ref="D23:E23"/>
    <mergeCell ref="F23:G23"/>
    <mergeCell ref="A26:I31"/>
    <mergeCell ref="A21:C21"/>
    <mergeCell ref="D21:E21"/>
    <mergeCell ref="F21:G21"/>
    <mergeCell ref="A22:C22"/>
    <mergeCell ref="D22:E22"/>
    <mergeCell ref="F22:G22"/>
  </mergeCells>
  <pageMargins left="0.7" right="0.7" top="0.75" bottom="0.75" header="0.3" footer="0.3"/>
  <drawing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890575-DB8A-4966-A80D-D755F4B50EB6}">
  <dimension ref="A2:I41"/>
  <sheetViews>
    <sheetView workbookViewId="0">
      <selection activeCell="F1" sqref="A1:XFD1048576"/>
    </sheetView>
  </sheetViews>
  <sheetFormatPr baseColWidth="10" defaultRowHeight="15" x14ac:dyDescent="0.25"/>
  <cols>
    <col min="1" max="1" width="32.7109375" customWidth="1"/>
    <col min="2" max="3" width="9.5703125" customWidth="1"/>
    <col min="4" max="4" width="18" customWidth="1"/>
    <col min="5" max="5" width="15.42578125" customWidth="1"/>
    <col min="6" max="6" width="14" customWidth="1"/>
    <col min="7" max="7" width="19.42578125" customWidth="1"/>
    <col min="8" max="8" width="18.28515625" customWidth="1"/>
    <col min="9" max="9" width="9.42578125" customWidth="1"/>
  </cols>
  <sheetData>
    <row r="2" spans="1:9" x14ac:dyDescent="0.25">
      <c r="A2" s="237" t="s">
        <v>464</v>
      </c>
      <c r="B2" s="958" t="s">
        <v>2</v>
      </c>
      <c r="C2" s="958"/>
      <c r="D2" s="958"/>
      <c r="E2" s="958"/>
      <c r="F2" s="958"/>
      <c r="G2" s="958"/>
      <c r="H2" s="958"/>
      <c r="I2" s="958"/>
    </row>
    <row r="3" spans="1:9" x14ac:dyDescent="0.25">
      <c r="A3" s="237"/>
      <c r="B3" s="957" t="s">
        <v>4</v>
      </c>
      <c r="C3" s="957"/>
      <c r="D3" s="957"/>
      <c r="E3" s="957"/>
      <c r="F3" s="957"/>
      <c r="G3" s="957"/>
      <c r="H3" s="957"/>
      <c r="I3" s="957"/>
    </row>
    <row r="4" spans="1:9" x14ac:dyDescent="0.25">
      <c r="A4" s="237" t="s">
        <v>362</v>
      </c>
      <c r="B4" s="957" t="s">
        <v>6</v>
      </c>
      <c r="C4" s="957"/>
      <c r="D4" s="957"/>
      <c r="E4" s="957"/>
      <c r="F4" s="957"/>
      <c r="G4" s="957"/>
      <c r="H4" s="957"/>
      <c r="I4" s="957"/>
    </row>
    <row r="5" spans="1:9" x14ac:dyDescent="0.25">
      <c r="A5" s="237" t="s">
        <v>363</v>
      </c>
      <c r="B5" s="957">
        <v>4431</v>
      </c>
      <c r="C5" s="957"/>
      <c r="D5" s="957"/>
      <c r="E5" s="957"/>
      <c r="F5" s="957"/>
      <c r="G5" s="957"/>
      <c r="H5" s="957"/>
      <c r="I5" s="957"/>
    </row>
    <row r="6" spans="1:9" x14ac:dyDescent="0.25">
      <c r="A6" s="237" t="s">
        <v>364</v>
      </c>
      <c r="B6" s="957" t="s">
        <v>12</v>
      </c>
      <c r="C6" s="957"/>
      <c r="D6" s="959" t="s">
        <v>365</v>
      </c>
      <c r="E6" s="959"/>
      <c r="F6" s="309">
        <v>46022</v>
      </c>
      <c r="G6" s="46" t="s">
        <v>465</v>
      </c>
      <c r="H6" s="1169">
        <v>12</v>
      </c>
      <c r="I6" s="1169"/>
    </row>
    <row r="7" spans="1:9" x14ac:dyDescent="0.25">
      <c r="A7" s="311" t="s">
        <v>367</v>
      </c>
      <c r="B7" s="958" t="s">
        <v>8</v>
      </c>
      <c r="C7" s="958"/>
      <c r="D7" s="958"/>
      <c r="E7" s="199"/>
      <c r="F7" s="199"/>
      <c r="G7" s="199"/>
      <c r="H7" s="199"/>
      <c r="I7" s="196"/>
    </row>
    <row r="8" spans="1:9" x14ac:dyDescent="0.25">
      <c r="A8" s="238" t="s">
        <v>466</v>
      </c>
      <c r="B8" s="958" t="s">
        <v>34</v>
      </c>
      <c r="C8" s="958"/>
      <c r="D8" s="958"/>
      <c r="E8" s="958"/>
      <c r="F8" s="958"/>
      <c r="G8" s="958"/>
      <c r="H8" s="958"/>
      <c r="I8" s="958"/>
    </row>
    <row r="9" spans="1:9" x14ac:dyDescent="0.25">
      <c r="A9" s="238"/>
      <c r="B9" s="957">
        <v>555555</v>
      </c>
      <c r="C9" s="957"/>
      <c r="D9" s="957"/>
      <c r="E9" s="957"/>
      <c r="F9" s="957"/>
      <c r="G9" s="957"/>
      <c r="H9" s="957"/>
      <c r="I9" s="957"/>
    </row>
    <row r="10" spans="1:9" x14ac:dyDescent="0.25">
      <c r="A10" s="238" t="s">
        <v>467</v>
      </c>
      <c r="B10" s="957" t="s">
        <v>38</v>
      </c>
      <c r="C10" s="957"/>
      <c r="D10" s="957"/>
      <c r="E10" s="770" t="s">
        <v>468</v>
      </c>
      <c r="F10" s="770"/>
      <c r="G10" s="958" t="s">
        <v>36</v>
      </c>
      <c r="H10" s="958"/>
      <c r="I10" s="958"/>
    </row>
    <row r="11" spans="1:9" x14ac:dyDescent="0.25">
      <c r="A11" s="238" t="s">
        <v>469</v>
      </c>
      <c r="B11" s="954">
        <v>44713</v>
      </c>
      <c r="C11" s="954"/>
      <c r="D11" s="954"/>
      <c r="E11" s="975" t="s">
        <v>470</v>
      </c>
      <c r="F11" s="975"/>
      <c r="G11" s="1142">
        <v>45991</v>
      </c>
      <c r="H11" s="1142"/>
      <c r="I11" s="1142"/>
    </row>
    <row r="12" spans="1:9" ht="6.6" customHeight="1" x14ac:dyDescent="0.25"/>
    <row r="13" spans="1:9" x14ac:dyDescent="0.25">
      <c r="A13" s="788" t="s">
        <v>1071</v>
      </c>
      <c r="B13" s="788"/>
      <c r="C13" s="788"/>
      <c r="D13" s="788"/>
      <c r="E13" s="788"/>
      <c r="F13" s="788"/>
      <c r="G13" s="788"/>
      <c r="H13" s="788"/>
      <c r="I13" s="788"/>
    </row>
    <row r="14" spans="1:9" x14ac:dyDescent="0.25">
      <c r="A14" s="788" t="s">
        <v>1072</v>
      </c>
      <c r="B14" s="788"/>
      <c r="C14" s="788"/>
      <c r="D14" s="788"/>
      <c r="E14" s="788"/>
      <c r="F14" s="788"/>
      <c r="G14" s="788"/>
      <c r="H14" s="788"/>
      <c r="I14" s="788"/>
    </row>
    <row r="15" spans="1:9" x14ac:dyDescent="0.25">
      <c r="A15" s="1287" t="s">
        <v>988</v>
      </c>
      <c r="B15" s="1288"/>
      <c r="C15" s="1295"/>
      <c r="D15" s="1299" t="s">
        <v>989</v>
      </c>
      <c r="E15" s="1300"/>
      <c r="F15" s="1299" t="s">
        <v>989</v>
      </c>
      <c r="G15" s="1301"/>
      <c r="H15" s="1302" t="s">
        <v>1056</v>
      </c>
      <c r="I15" s="1302"/>
    </row>
    <row r="16" spans="1:9" x14ac:dyDescent="0.25">
      <c r="A16" s="1296"/>
      <c r="B16" s="1297"/>
      <c r="C16" s="1298"/>
      <c r="D16" s="1283">
        <v>46022</v>
      </c>
      <c r="E16" s="1303"/>
      <c r="F16" s="1283">
        <v>46022</v>
      </c>
      <c r="G16" s="1284"/>
      <c r="H16" s="454" t="s">
        <v>1009</v>
      </c>
      <c r="I16" s="454" t="s">
        <v>1034</v>
      </c>
    </row>
    <row r="17" spans="1:9" x14ac:dyDescent="0.25">
      <c r="A17" s="1320" t="s">
        <v>1073</v>
      </c>
      <c r="B17" s="1320"/>
      <c r="C17" s="1320"/>
      <c r="D17" s="1292">
        <v>0</v>
      </c>
      <c r="E17" s="1292"/>
      <c r="F17" s="1293">
        <v>0</v>
      </c>
      <c r="G17" s="1294"/>
      <c r="H17" s="425">
        <v>0</v>
      </c>
      <c r="I17" s="455">
        <v>0</v>
      </c>
    </row>
    <row r="18" spans="1:9" x14ac:dyDescent="0.25">
      <c r="A18" s="1320" t="s">
        <v>1074</v>
      </c>
      <c r="B18" s="1320"/>
      <c r="C18" s="1320"/>
      <c r="D18" s="1292">
        <v>0</v>
      </c>
      <c r="E18" s="1292"/>
      <c r="F18" s="1293">
        <v>0</v>
      </c>
      <c r="G18" s="1294"/>
      <c r="H18" s="425">
        <v>0</v>
      </c>
      <c r="I18" s="455">
        <v>0</v>
      </c>
    </row>
    <row r="19" spans="1:9" x14ac:dyDescent="0.25">
      <c r="A19" s="1321" t="s">
        <v>1075</v>
      </c>
      <c r="B19" s="1322"/>
      <c r="C19" s="1323"/>
      <c r="D19" s="1292">
        <v>0</v>
      </c>
      <c r="E19" s="1292"/>
      <c r="F19" s="1293">
        <v>0</v>
      </c>
      <c r="G19" s="1294"/>
      <c r="H19" s="425">
        <v>0</v>
      </c>
      <c r="I19" s="455">
        <v>0</v>
      </c>
    </row>
    <row r="20" spans="1:9" x14ac:dyDescent="0.25">
      <c r="A20" s="1321" t="s">
        <v>1076</v>
      </c>
      <c r="B20" s="1322"/>
      <c r="C20" s="1323"/>
      <c r="D20" s="1292">
        <v>0</v>
      </c>
      <c r="E20" s="1292"/>
      <c r="F20" s="1293">
        <v>0</v>
      </c>
      <c r="G20" s="1294"/>
      <c r="H20" s="425">
        <v>0</v>
      </c>
      <c r="I20" s="455">
        <v>0</v>
      </c>
    </row>
    <row r="21" spans="1:9" x14ac:dyDescent="0.25">
      <c r="A21" s="1321" t="s">
        <v>1077</v>
      </c>
      <c r="B21" s="1322"/>
      <c r="C21" s="1323"/>
      <c r="D21" s="1293">
        <v>0</v>
      </c>
      <c r="E21" s="1294"/>
      <c r="F21" s="1293">
        <v>0</v>
      </c>
      <c r="G21" s="1294"/>
      <c r="H21" s="425">
        <v>0</v>
      </c>
      <c r="I21" s="455">
        <v>0</v>
      </c>
    </row>
    <row r="22" spans="1:9" x14ac:dyDescent="0.25">
      <c r="A22" s="1321" t="s">
        <v>1078</v>
      </c>
      <c r="B22" s="1322"/>
      <c r="C22" s="1323"/>
      <c r="D22" s="1293">
        <v>0</v>
      </c>
      <c r="E22" s="1294"/>
      <c r="F22" s="1293">
        <v>0</v>
      </c>
      <c r="G22" s="1294"/>
      <c r="H22" s="425">
        <v>0</v>
      </c>
      <c r="I22" s="455">
        <v>0</v>
      </c>
    </row>
    <row r="23" spans="1:9" x14ac:dyDescent="0.25">
      <c r="A23" s="1321" t="s">
        <v>1079</v>
      </c>
      <c r="B23" s="1322"/>
      <c r="C23" s="1323"/>
      <c r="D23" s="1293">
        <v>0</v>
      </c>
      <c r="E23" s="1294"/>
      <c r="F23" s="1293">
        <v>0</v>
      </c>
      <c r="G23" s="1294"/>
      <c r="H23" s="425">
        <v>0</v>
      </c>
      <c r="I23" s="455">
        <v>0</v>
      </c>
    </row>
    <row r="24" spans="1:9" x14ac:dyDescent="0.25">
      <c r="A24" s="1321" t="s">
        <v>1080</v>
      </c>
      <c r="B24" s="1322"/>
      <c r="C24" s="1323"/>
      <c r="D24" s="1293">
        <v>0</v>
      </c>
      <c r="E24" s="1294"/>
      <c r="F24" s="1293">
        <v>0</v>
      </c>
      <c r="G24" s="1294"/>
      <c r="H24" s="425">
        <v>0</v>
      </c>
      <c r="I24" s="455">
        <v>0</v>
      </c>
    </row>
    <row r="25" spans="1:9" x14ac:dyDescent="0.25">
      <c r="A25" s="1321" t="s">
        <v>1081</v>
      </c>
      <c r="B25" s="1322"/>
      <c r="C25" s="1323"/>
      <c r="D25" s="1293">
        <v>0</v>
      </c>
      <c r="E25" s="1294"/>
      <c r="F25" s="1293">
        <v>0</v>
      </c>
      <c r="G25" s="1294"/>
      <c r="H25" s="425">
        <v>0</v>
      </c>
      <c r="I25" s="455">
        <v>0</v>
      </c>
    </row>
    <row r="26" spans="1:9" x14ac:dyDescent="0.25">
      <c r="A26" s="1321" t="s">
        <v>1082</v>
      </c>
      <c r="B26" s="1322"/>
      <c r="C26" s="1323"/>
      <c r="D26" s="1293">
        <v>0</v>
      </c>
      <c r="E26" s="1294"/>
      <c r="F26" s="1293">
        <v>0</v>
      </c>
      <c r="G26" s="1294"/>
      <c r="H26" s="425">
        <v>0</v>
      </c>
      <c r="I26" s="455">
        <v>0</v>
      </c>
    </row>
    <row r="27" spans="1:9" x14ac:dyDescent="0.25">
      <c r="A27" s="1321" t="s">
        <v>1083</v>
      </c>
      <c r="B27" s="1322"/>
      <c r="C27" s="1323"/>
      <c r="D27" s="1293">
        <v>0</v>
      </c>
      <c r="E27" s="1294"/>
      <c r="F27" s="1293">
        <v>0</v>
      </c>
      <c r="G27" s="1294"/>
      <c r="H27" s="425">
        <v>0</v>
      </c>
      <c r="I27" s="455">
        <v>0</v>
      </c>
    </row>
    <row r="28" spans="1:9" x14ac:dyDescent="0.25">
      <c r="A28" s="1269" t="s">
        <v>1084</v>
      </c>
      <c r="B28" s="1269"/>
      <c r="C28" s="1269"/>
      <c r="D28" s="1304">
        <v>0</v>
      </c>
      <c r="E28" s="1304"/>
      <c r="F28" s="1305">
        <v>0</v>
      </c>
      <c r="G28" s="1306"/>
      <c r="H28" s="429">
        <v>0</v>
      </c>
      <c r="I28" s="456">
        <v>0</v>
      </c>
    </row>
    <row r="29" spans="1:9" x14ac:dyDescent="0.25">
      <c r="A29" s="1320" t="s">
        <v>1085</v>
      </c>
      <c r="B29" s="1320"/>
      <c r="C29" s="1320"/>
      <c r="D29" s="1292">
        <v>0</v>
      </c>
      <c r="E29" s="1292"/>
      <c r="F29" s="1293">
        <v>0</v>
      </c>
      <c r="G29" s="1294"/>
      <c r="H29" s="425">
        <v>0</v>
      </c>
      <c r="I29" s="455">
        <v>0</v>
      </c>
    </row>
    <row r="30" spans="1:9" x14ac:dyDescent="0.25">
      <c r="A30" s="1269" t="s">
        <v>1030</v>
      </c>
      <c r="B30" s="1269"/>
      <c r="C30" s="1269"/>
      <c r="D30" s="1304">
        <v>0</v>
      </c>
      <c r="E30" s="1304"/>
      <c r="F30" s="1305">
        <v>0</v>
      </c>
      <c r="G30" s="1306"/>
      <c r="H30" s="429">
        <v>0</v>
      </c>
      <c r="I30" s="456">
        <v>0</v>
      </c>
    </row>
    <row r="31" spans="1:9" ht="8.4499999999999993" customHeight="1" x14ac:dyDescent="0.25">
      <c r="A31" s="241"/>
      <c r="B31" s="241"/>
      <c r="C31" s="241"/>
      <c r="D31" s="241"/>
      <c r="E31" s="241"/>
      <c r="F31" s="241"/>
      <c r="G31" s="241"/>
      <c r="H31" s="241"/>
      <c r="I31" s="241"/>
    </row>
    <row r="32" spans="1:9" x14ac:dyDescent="0.25">
      <c r="A32" s="241" t="s">
        <v>908</v>
      </c>
      <c r="B32" s="241"/>
      <c r="C32" s="241"/>
      <c r="D32" s="241"/>
      <c r="E32" s="241"/>
      <c r="F32" s="241"/>
      <c r="G32" s="241"/>
      <c r="H32" s="241"/>
      <c r="I32" s="241"/>
    </row>
    <row r="33" spans="1:9" x14ac:dyDescent="0.25">
      <c r="A33" s="1103"/>
      <c r="B33" s="1104"/>
      <c r="C33" s="1104"/>
      <c r="D33" s="1104"/>
      <c r="E33" s="1104"/>
      <c r="F33" s="1104"/>
      <c r="G33" s="1104"/>
      <c r="H33" s="1104"/>
      <c r="I33" s="1105"/>
    </row>
    <row r="34" spans="1:9" x14ac:dyDescent="0.25">
      <c r="A34" s="1106"/>
      <c r="B34" s="1107"/>
      <c r="C34" s="1107"/>
      <c r="D34" s="1107"/>
      <c r="E34" s="1107"/>
      <c r="F34" s="1107"/>
      <c r="G34" s="1107"/>
      <c r="H34" s="1107"/>
      <c r="I34" s="1108"/>
    </row>
    <row r="35" spans="1:9" x14ac:dyDescent="0.25">
      <c r="A35" s="1106"/>
      <c r="B35" s="1107"/>
      <c r="C35" s="1107"/>
      <c r="D35" s="1107"/>
      <c r="E35" s="1107"/>
      <c r="F35" s="1107"/>
      <c r="G35" s="1107"/>
      <c r="H35" s="1107"/>
      <c r="I35" s="1108"/>
    </row>
    <row r="36" spans="1:9" x14ac:dyDescent="0.25">
      <c r="A36" s="1106"/>
      <c r="B36" s="1107"/>
      <c r="C36" s="1107"/>
      <c r="D36" s="1107"/>
      <c r="E36" s="1107"/>
      <c r="F36" s="1107"/>
      <c r="G36" s="1107"/>
      <c r="H36" s="1107"/>
      <c r="I36" s="1108"/>
    </row>
    <row r="37" spans="1:9" x14ac:dyDescent="0.25">
      <c r="A37" s="1106"/>
      <c r="B37" s="1107"/>
      <c r="C37" s="1107"/>
      <c r="D37" s="1107"/>
      <c r="E37" s="1107"/>
      <c r="F37" s="1107"/>
      <c r="G37" s="1107"/>
      <c r="H37" s="1107"/>
      <c r="I37" s="1108"/>
    </row>
    <row r="38" spans="1:9" x14ac:dyDescent="0.25">
      <c r="A38" s="1109"/>
      <c r="B38" s="1110"/>
      <c r="C38" s="1110"/>
      <c r="D38" s="1110"/>
      <c r="E38" s="1110"/>
      <c r="F38" s="1110"/>
      <c r="G38" s="1110"/>
      <c r="H38" s="1110"/>
      <c r="I38" s="1111"/>
    </row>
    <row r="39" spans="1:9" x14ac:dyDescent="0.25">
      <c r="A39" s="241"/>
      <c r="B39" s="241"/>
      <c r="C39" s="241"/>
      <c r="D39" s="241"/>
      <c r="E39" s="241"/>
      <c r="F39" s="241"/>
      <c r="G39" s="241"/>
      <c r="H39" s="241"/>
      <c r="I39" s="241"/>
    </row>
    <row r="40" spans="1:9" ht="14.45" customHeight="1" x14ac:dyDescent="0.25">
      <c r="A40" s="1324" t="s">
        <v>1086</v>
      </c>
      <c r="B40" s="1324"/>
      <c r="C40" s="1324"/>
      <c r="D40" s="1324"/>
      <c r="E40" s="1324"/>
      <c r="F40" s="1324"/>
      <c r="G40" s="1324"/>
      <c r="H40" s="1324"/>
      <c r="I40" s="1324"/>
    </row>
    <row r="41" spans="1:9" x14ac:dyDescent="0.25">
      <c r="A41" s="457"/>
      <c r="B41" s="457"/>
      <c r="C41" s="457"/>
      <c r="D41" s="457"/>
      <c r="E41" s="457"/>
      <c r="F41" s="457"/>
      <c r="G41" s="457"/>
      <c r="H41" s="457"/>
      <c r="I41" s="457"/>
    </row>
  </sheetData>
  <mergeCells count="68">
    <mergeCell ref="B2:I2"/>
    <mergeCell ref="B3:I3"/>
    <mergeCell ref="B4:I4"/>
    <mergeCell ref="B5:I5"/>
    <mergeCell ref="B6:C6"/>
    <mergeCell ref="D6:E6"/>
    <mergeCell ref="H6:I6"/>
    <mergeCell ref="H15:I15"/>
    <mergeCell ref="D16:E16"/>
    <mergeCell ref="B7:D7"/>
    <mergeCell ref="B8:I8"/>
    <mergeCell ref="B9:I9"/>
    <mergeCell ref="B10:D10"/>
    <mergeCell ref="E10:F10"/>
    <mergeCell ref="G10:I10"/>
    <mergeCell ref="B11:D11"/>
    <mergeCell ref="E11:F11"/>
    <mergeCell ref="G11:I11"/>
    <mergeCell ref="A13:I13"/>
    <mergeCell ref="A14:I14"/>
    <mergeCell ref="F16:G16"/>
    <mergeCell ref="A15:C16"/>
    <mergeCell ref="D15:E15"/>
    <mergeCell ref="F15:G15"/>
    <mergeCell ref="A19:C19"/>
    <mergeCell ref="D19:E19"/>
    <mergeCell ref="F19:G19"/>
    <mergeCell ref="A20:C20"/>
    <mergeCell ref="D20:E20"/>
    <mergeCell ref="F20:G20"/>
    <mergeCell ref="A17:C17"/>
    <mergeCell ref="D17:E17"/>
    <mergeCell ref="F17:G17"/>
    <mergeCell ref="A18:C18"/>
    <mergeCell ref="D18:E18"/>
    <mergeCell ref="F18:G18"/>
    <mergeCell ref="A21:C21"/>
    <mergeCell ref="D21:E21"/>
    <mergeCell ref="F21:G21"/>
    <mergeCell ref="A22:C22"/>
    <mergeCell ref="D22:E22"/>
    <mergeCell ref="F22:G22"/>
    <mergeCell ref="A23:C23"/>
    <mergeCell ref="D23:E23"/>
    <mergeCell ref="F23:G23"/>
    <mergeCell ref="A24:C24"/>
    <mergeCell ref="D24:E24"/>
    <mergeCell ref="F24:G24"/>
    <mergeCell ref="A25:C25"/>
    <mergeCell ref="D25:E25"/>
    <mergeCell ref="F25:G25"/>
    <mergeCell ref="A26:C26"/>
    <mergeCell ref="D26:E26"/>
    <mergeCell ref="F26:G26"/>
    <mergeCell ref="A27:C27"/>
    <mergeCell ref="D27:E27"/>
    <mergeCell ref="F27:G27"/>
    <mergeCell ref="A28:C28"/>
    <mergeCell ref="D28:E28"/>
    <mergeCell ref="F28:G28"/>
    <mergeCell ref="A33:I38"/>
    <mergeCell ref="A40:I40"/>
    <mergeCell ref="A29:C29"/>
    <mergeCell ref="D29:E29"/>
    <mergeCell ref="F29:G29"/>
    <mergeCell ref="A30:C30"/>
    <mergeCell ref="D30:E30"/>
    <mergeCell ref="F30:G30"/>
  </mergeCells>
  <pageMargins left="0.7" right="0.7" top="0.75" bottom="0.75" header="0.3" footer="0.3"/>
  <drawing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C76BCA-875F-4FE0-9966-33728C61709E}">
  <dimension ref="A2:I50"/>
  <sheetViews>
    <sheetView workbookViewId="0">
      <selection activeCell="G16" sqref="A1:XFD1048576"/>
    </sheetView>
  </sheetViews>
  <sheetFormatPr baseColWidth="10" defaultRowHeight="15" x14ac:dyDescent="0.25"/>
  <cols>
    <col min="1" max="1" width="24.7109375" customWidth="1"/>
    <col min="2" max="2" width="5.85546875" customWidth="1"/>
    <col min="3" max="4" width="9.5703125" customWidth="1"/>
    <col min="5" max="5" width="15.42578125" customWidth="1"/>
    <col min="6" max="6" width="14" customWidth="1"/>
    <col min="7" max="7" width="12.7109375" customWidth="1"/>
    <col min="8" max="8" width="8.140625" customWidth="1"/>
    <col min="9" max="9" width="8.7109375" customWidth="1"/>
  </cols>
  <sheetData>
    <row r="2" spans="1:9" x14ac:dyDescent="0.25">
      <c r="A2" s="237" t="s">
        <v>464</v>
      </c>
      <c r="B2" s="958" t="s">
        <v>2</v>
      </c>
      <c r="C2" s="958"/>
      <c r="D2" s="958"/>
      <c r="E2" s="958"/>
      <c r="F2" s="958"/>
      <c r="G2" s="958"/>
      <c r="H2" s="958"/>
      <c r="I2" s="958"/>
    </row>
    <row r="3" spans="1:9" x14ac:dyDescent="0.25">
      <c r="A3" s="237"/>
      <c r="B3" s="957" t="s">
        <v>4</v>
      </c>
      <c r="C3" s="957"/>
      <c r="D3" s="957"/>
      <c r="E3" s="957"/>
      <c r="F3" s="957"/>
      <c r="G3" s="957"/>
      <c r="H3" s="957"/>
      <c r="I3" s="957"/>
    </row>
    <row r="4" spans="1:9" x14ac:dyDescent="0.25">
      <c r="A4" s="237" t="s">
        <v>362</v>
      </c>
      <c r="B4" s="957" t="s">
        <v>6</v>
      </c>
      <c r="C4" s="957"/>
      <c r="D4" s="957"/>
      <c r="E4" s="957"/>
      <c r="F4" s="957"/>
      <c r="G4" s="957"/>
      <c r="H4" s="957"/>
      <c r="I4" s="957"/>
    </row>
    <row r="5" spans="1:9" x14ac:dyDescent="0.25">
      <c r="A5" s="237" t="s">
        <v>363</v>
      </c>
      <c r="B5" s="957">
        <v>4431</v>
      </c>
      <c r="C5" s="957"/>
      <c r="D5" s="957"/>
      <c r="E5" s="957"/>
      <c r="F5" s="957"/>
      <c r="G5" s="957"/>
      <c r="H5" s="957"/>
      <c r="I5" s="957"/>
    </row>
    <row r="6" spans="1:9" x14ac:dyDescent="0.25">
      <c r="A6" s="237" t="s">
        <v>364</v>
      </c>
      <c r="B6" s="957" t="s">
        <v>12</v>
      </c>
      <c r="C6" s="957"/>
      <c r="D6" s="959" t="s">
        <v>365</v>
      </c>
      <c r="E6" s="959"/>
      <c r="F6" s="309">
        <v>46022</v>
      </c>
      <c r="G6" s="959" t="s">
        <v>465</v>
      </c>
      <c r="H6" s="959"/>
      <c r="I6" s="310">
        <v>12</v>
      </c>
    </row>
    <row r="7" spans="1:9" x14ac:dyDescent="0.25">
      <c r="A7" s="311" t="s">
        <v>367</v>
      </c>
      <c r="B7" s="958" t="s">
        <v>8</v>
      </c>
      <c r="C7" s="958"/>
      <c r="D7" s="958"/>
      <c r="E7" s="199"/>
      <c r="F7" s="199"/>
      <c r="G7" s="199"/>
      <c r="H7" s="199"/>
      <c r="I7" s="196"/>
    </row>
    <row r="8" spans="1:9" x14ac:dyDescent="0.25">
      <c r="A8" s="238" t="s">
        <v>466</v>
      </c>
      <c r="B8" s="958" t="s">
        <v>34</v>
      </c>
      <c r="C8" s="958"/>
      <c r="D8" s="958"/>
      <c r="E8" s="958"/>
      <c r="F8" s="958"/>
      <c r="G8" s="958"/>
      <c r="H8" s="958"/>
      <c r="I8" s="958"/>
    </row>
    <row r="9" spans="1:9" x14ac:dyDescent="0.25">
      <c r="A9" s="238"/>
      <c r="B9" s="957">
        <v>555555</v>
      </c>
      <c r="C9" s="957"/>
      <c r="D9" s="957"/>
      <c r="E9" s="957"/>
      <c r="F9" s="957"/>
      <c r="G9" s="957"/>
      <c r="H9" s="957"/>
      <c r="I9" s="957"/>
    </row>
    <row r="10" spans="1:9" x14ac:dyDescent="0.25">
      <c r="A10" s="238" t="s">
        <v>467</v>
      </c>
      <c r="B10" s="957" t="s">
        <v>38</v>
      </c>
      <c r="C10" s="957"/>
      <c r="D10" s="957"/>
      <c r="E10" s="770" t="s">
        <v>468</v>
      </c>
      <c r="F10" s="770"/>
      <c r="G10" s="958" t="s">
        <v>36</v>
      </c>
      <c r="H10" s="958"/>
      <c r="I10" s="958"/>
    </row>
    <row r="11" spans="1:9" x14ac:dyDescent="0.25">
      <c r="A11" s="238" t="s">
        <v>469</v>
      </c>
      <c r="B11" s="954">
        <v>44713</v>
      </c>
      <c r="C11" s="954"/>
      <c r="D11" s="954"/>
      <c r="E11" s="975" t="s">
        <v>470</v>
      </c>
      <c r="F11" s="975"/>
      <c r="G11" s="1142">
        <v>45991</v>
      </c>
      <c r="H11" s="1142"/>
      <c r="I11" s="1142"/>
    </row>
    <row r="12" spans="1:9" ht="7.9" customHeight="1" x14ac:dyDescent="0.25"/>
    <row r="13" spans="1:9" x14ac:dyDescent="0.25">
      <c r="A13" s="788" t="s">
        <v>1087</v>
      </c>
      <c r="B13" s="788"/>
      <c r="C13" s="788"/>
      <c r="D13" s="788"/>
      <c r="E13" s="788"/>
      <c r="F13" s="788"/>
      <c r="G13" s="788"/>
      <c r="H13" s="788"/>
      <c r="I13" s="788"/>
    </row>
    <row r="14" spans="1:9" x14ac:dyDescent="0.25">
      <c r="A14" s="788" t="s">
        <v>1088</v>
      </c>
      <c r="B14" s="788"/>
      <c r="C14" s="788"/>
      <c r="D14" s="788"/>
      <c r="E14" s="788"/>
      <c r="F14" s="788"/>
      <c r="G14" s="788"/>
      <c r="H14" s="788"/>
      <c r="I14" s="788"/>
    </row>
    <row r="15" spans="1:9" ht="7.15" customHeight="1" x14ac:dyDescent="0.25">
      <c r="A15" s="315"/>
      <c r="B15" s="315"/>
      <c r="C15" s="315"/>
      <c r="D15" s="315"/>
      <c r="E15" s="315"/>
      <c r="F15" s="315"/>
      <c r="G15" s="315"/>
      <c r="H15" s="315"/>
      <c r="I15" s="315"/>
    </row>
    <row r="16" spans="1:9" x14ac:dyDescent="0.25">
      <c r="A16" s="1287" t="s">
        <v>988</v>
      </c>
      <c r="B16" s="1288"/>
      <c r="C16" s="1295"/>
      <c r="D16" s="1285" t="s">
        <v>1089</v>
      </c>
      <c r="E16" s="1282" t="s">
        <v>1090</v>
      </c>
      <c r="F16" s="1282" t="s">
        <v>1091</v>
      </c>
      <c r="G16" s="437" t="s">
        <v>1092</v>
      </c>
      <c r="H16" s="1282" t="s">
        <v>1093</v>
      </c>
      <c r="I16" s="1282"/>
    </row>
    <row r="17" spans="1:9" ht="27.6" customHeight="1" x14ac:dyDescent="0.25">
      <c r="A17" s="1296"/>
      <c r="B17" s="1297"/>
      <c r="C17" s="1298"/>
      <c r="D17" s="1286"/>
      <c r="E17" s="1282"/>
      <c r="F17" s="1282"/>
      <c r="G17" s="458">
        <v>46022</v>
      </c>
      <c r="H17" s="1282"/>
      <c r="I17" s="1282"/>
    </row>
    <row r="18" spans="1:9" x14ac:dyDescent="0.25">
      <c r="A18" s="1329" t="s">
        <v>1094</v>
      </c>
      <c r="B18" s="1330"/>
      <c r="C18" s="1330"/>
      <c r="D18" s="1330"/>
      <c r="E18" s="1330"/>
      <c r="F18" s="1330"/>
      <c r="G18" s="1330"/>
      <c r="H18" s="1330"/>
      <c r="I18" s="1331"/>
    </row>
    <row r="19" spans="1:9" x14ac:dyDescent="0.25">
      <c r="A19" s="1326"/>
      <c r="B19" s="1327"/>
      <c r="C19" s="1328"/>
      <c r="D19" s="461"/>
      <c r="E19" s="461"/>
      <c r="F19" s="461"/>
      <c r="G19" s="461"/>
      <c r="H19" s="1325">
        <f>ABS(E19*F19-E19*G19)</f>
        <v>0</v>
      </c>
      <c r="I19" s="1325"/>
    </row>
    <row r="20" spans="1:9" x14ac:dyDescent="0.25">
      <c r="A20" s="1326"/>
      <c r="B20" s="1327"/>
      <c r="C20" s="1328"/>
      <c r="D20" s="461"/>
      <c r="E20" s="461"/>
      <c r="F20" s="461"/>
      <c r="G20" s="461"/>
      <c r="H20" s="1325">
        <f>ABS(E20*F20-E20*G20)</f>
        <v>0</v>
      </c>
      <c r="I20" s="1325"/>
    </row>
    <row r="21" spans="1:9" x14ac:dyDescent="0.25">
      <c r="A21" s="1326"/>
      <c r="B21" s="1327"/>
      <c r="C21" s="1328"/>
      <c r="D21" s="461"/>
      <c r="E21" s="461"/>
      <c r="F21" s="461"/>
      <c r="G21" s="461"/>
      <c r="H21" s="1325">
        <f t="shared" ref="H21:H27" si="0">ABS(E21*F21-E21*G21)</f>
        <v>0</v>
      </c>
      <c r="I21" s="1325"/>
    </row>
    <row r="22" spans="1:9" x14ac:dyDescent="0.25">
      <c r="A22" s="1326"/>
      <c r="B22" s="1327"/>
      <c r="C22" s="1328"/>
      <c r="D22" s="461"/>
      <c r="E22" s="461"/>
      <c r="F22" s="461"/>
      <c r="G22" s="461"/>
      <c r="H22" s="1325">
        <f>ABS(E22*F22-E22*G22)</f>
        <v>0</v>
      </c>
      <c r="I22" s="1325"/>
    </row>
    <row r="23" spans="1:9" x14ac:dyDescent="0.25">
      <c r="A23" s="1326"/>
      <c r="B23" s="1327"/>
      <c r="C23" s="1328"/>
      <c r="D23" s="461"/>
      <c r="E23" s="461"/>
      <c r="F23" s="461"/>
      <c r="G23" s="461"/>
      <c r="H23" s="1325">
        <f t="shared" si="0"/>
        <v>0</v>
      </c>
      <c r="I23" s="1325"/>
    </row>
    <row r="24" spans="1:9" x14ac:dyDescent="0.25">
      <c r="A24" s="1326"/>
      <c r="B24" s="1327"/>
      <c r="C24" s="1328"/>
      <c r="D24" s="461"/>
      <c r="E24" s="461"/>
      <c r="F24" s="461"/>
      <c r="G24" s="461"/>
      <c r="H24" s="1325">
        <f t="shared" si="0"/>
        <v>0</v>
      </c>
      <c r="I24" s="1325"/>
    </row>
    <row r="25" spans="1:9" x14ac:dyDescent="0.25">
      <c r="A25" s="1326"/>
      <c r="B25" s="1327"/>
      <c r="C25" s="1328"/>
      <c r="D25" s="461"/>
      <c r="E25" s="461"/>
      <c r="F25" s="461"/>
      <c r="G25" s="461"/>
      <c r="H25" s="1325">
        <f>ABS(E25*F25-E25*G25)</f>
        <v>0</v>
      </c>
      <c r="I25" s="1325"/>
    </row>
    <row r="26" spans="1:9" x14ac:dyDescent="0.25">
      <c r="A26" s="1326"/>
      <c r="B26" s="1327"/>
      <c r="C26" s="1328"/>
      <c r="D26" s="461"/>
      <c r="E26" s="461"/>
      <c r="F26" s="461"/>
      <c r="G26" s="461"/>
      <c r="H26" s="1325">
        <f t="shared" si="0"/>
        <v>0</v>
      </c>
      <c r="I26" s="1325"/>
    </row>
    <row r="27" spans="1:9" x14ac:dyDescent="0.25">
      <c r="A27" s="1326"/>
      <c r="B27" s="1327"/>
      <c r="C27" s="1328"/>
      <c r="D27" s="461"/>
      <c r="E27" s="461"/>
      <c r="F27" s="461"/>
      <c r="G27" s="461"/>
      <c r="H27" s="1325">
        <f t="shared" si="0"/>
        <v>0</v>
      </c>
      <c r="I27" s="1325"/>
    </row>
    <row r="28" spans="1:9" x14ac:dyDescent="0.25">
      <c r="A28" s="1326"/>
      <c r="B28" s="1327"/>
      <c r="C28" s="1328"/>
      <c r="D28" s="461"/>
      <c r="E28" s="461"/>
      <c r="F28" s="461"/>
      <c r="G28" s="461"/>
      <c r="H28" s="1325">
        <f>ABS(E28*F28-E28*G28)</f>
        <v>0</v>
      </c>
      <c r="I28" s="1325"/>
    </row>
    <row r="29" spans="1:9" x14ac:dyDescent="0.25">
      <c r="A29" s="460"/>
      <c r="B29" s="460"/>
      <c r="C29" s="460"/>
      <c r="D29" s="462"/>
      <c r="E29" s="462"/>
      <c r="F29" s="462"/>
      <c r="G29" s="462"/>
      <c r="H29" s="462"/>
      <c r="I29" s="462"/>
    </row>
    <row r="30" spans="1:9" x14ac:dyDescent="0.25">
      <c r="A30" s="1329" t="s">
        <v>1095</v>
      </c>
      <c r="B30" s="1330"/>
      <c r="C30" s="1330"/>
      <c r="D30" s="1330"/>
      <c r="E30" s="1330"/>
      <c r="F30" s="1330"/>
      <c r="G30" s="1330"/>
      <c r="H30" s="1330"/>
      <c r="I30" s="1331"/>
    </row>
    <row r="31" spans="1:9" x14ac:dyDescent="0.25">
      <c r="A31" s="1266"/>
      <c r="B31" s="1266"/>
      <c r="C31" s="1266"/>
      <c r="D31" s="461"/>
      <c r="E31" s="461"/>
      <c r="F31" s="461"/>
      <c r="G31" s="461"/>
      <c r="H31" s="1325">
        <f>ABS(E31*F31-E31*G31)</f>
        <v>0</v>
      </c>
      <c r="I31" s="1325"/>
    </row>
    <row r="32" spans="1:9" x14ac:dyDescent="0.25">
      <c r="A32" s="1263"/>
      <c r="B32" s="1264"/>
      <c r="C32" s="1265"/>
      <c r="D32" s="461"/>
      <c r="E32" s="461"/>
      <c r="F32" s="461"/>
      <c r="G32" s="461"/>
      <c r="H32" s="1325">
        <f t="shared" ref="H32:H40" si="1">ABS(E32*F32-E32*G32)</f>
        <v>0</v>
      </c>
      <c r="I32" s="1325"/>
    </row>
    <row r="33" spans="1:9" x14ac:dyDescent="0.25">
      <c r="A33" s="1263"/>
      <c r="B33" s="1264"/>
      <c r="C33" s="1265"/>
      <c r="D33" s="461"/>
      <c r="E33" s="461"/>
      <c r="F33" s="461"/>
      <c r="G33" s="461"/>
      <c r="H33" s="1325">
        <f t="shared" si="1"/>
        <v>0</v>
      </c>
      <c r="I33" s="1325"/>
    </row>
    <row r="34" spans="1:9" x14ac:dyDescent="0.25">
      <c r="A34" s="1263"/>
      <c r="B34" s="1264"/>
      <c r="C34" s="1265"/>
      <c r="D34" s="461"/>
      <c r="E34" s="461"/>
      <c r="F34" s="461"/>
      <c r="G34" s="461"/>
      <c r="H34" s="1325">
        <f t="shared" si="1"/>
        <v>0</v>
      </c>
      <c r="I34" s="1325"/>
    </row>
    <row r="35" spans="1:9" x14ac:dyDescent="0.25">
      <c r="A35" s="1263"/>
      <c r="B35" s="1264"/>
      <c r="C35" s="1265"/>
      <c r="D35" s="461"/>
      <c r="E35" s="461"/>
      <c r="F35" s="461"/>
      <c r="G35" s="461"/>
      <c r="H35" s="1325">
        <f t="shared" si="1"/>
        <v>0</v>
      </c>
      <c r="I35" s="1325"/>
    </row>
    <row r="36" spans="1:9" x14ac:dyDescent="0.25">
      <c r="A36" s="1263"/>
      <c r="B36" s="1264"/>
      <c r="C36" s="1265"/>
      <c r="D36" s="461"/>
      <c r="E36" s="461"/>
      <c r="F36" s="461"/>
      <c r="G36" s="461"/>
      <c r="H36" s="1325">
        <f t="shared" si="1"/>
        <v>0</v>
      </c>
      <c r="I36" s="1325"/>
    </row>
    <row r="37" spans="1:9" x14ac:dyDescent="0.25">
      <c r="A37" s="1263"/>
      <c r="B37" s="1264"/>
      <c r="C37" s="1265"/>
      <c r="D37" s="461"/>
      <c r="E37" s="461"/>
      <c r="F37" s="461"/>
      <c r="G37" s="461"/>
      <c r="H37" s="1325">
        <f t="shared" si="1"/>
        <v>0</v>
      </c>
      <c r="I37" s="1325"/>
    </row>
    <row r="38" spans="1:9" x14ac:dyDescent="0.25">
      <c r="A38" s="1263"/>
      <c r="B38" s="1264"/>
      <c r="C38" s="1265"/>
      <c r="D38" s="461"/>
      <c r="E38" s="461"/>
      <c r="F38" s="461"/>
      <c r="G38" s="461"/>
      <c r="H38" s="1325">
        <f t="shared" si="1"/>
        <v>0</v>
      </c>
      <c r="I38" s="1325"/>
    </row>
    <row r="39" spans="1:9" x14ac:dyDescent="0.25">
      <c r="A39" s="1263"/>
      <c r="B39" s="1264"/>
      <c r="C39" s="1265"/>
      <c r="D39" s="461"/>
      <c r="E39" s="461"/>
      <c r="F39" s="461"/>
      <c r="G39" s="461"/>
      <c r="H39" s="1325">
        <f t="shared" si="1"/>
        <v>0</v>
      </c>
      <c r="I39" s="1325"/>
    </row>
    <row r="40" spans="1:9" x14ac:dyDescent="0.25">
      <c r="A40" s="1263"/>
      <c r="B40" s="1264"/>
      <c r="C40" s="1265"/>
      <c r="D40" s="461"/>
      <c r="E40" s="461"/>
      <c r="F40" s="461"/>
      <c r="G40" s="461"/>
      <c r="H40" s="1325">
        <f t="shared" si="1"/>
        <v>0</v>
      </c>
      <c r="I40" s="1325"/>
    </row>
    <row r="41" spans="1:9" ht="7.15" customHeight="1" x14ac:dyDescent="0.25">
      <c r="A41" s="315"/>
      <c r="B41" s="315"/>
      <c r="C41" s="315"/>
      <c r="D41" s="315"/>
      <c r="E41" s="315"/>
      <c r="F41" s="315"/>
      <c r="G41" s="315"/>
      <c r="H41" s="315"/>
      <c r="I41" s="315"/>
    </row>
    <row r="42" spans="1:9" x14ac:dyDescent="0.25">
      <c r="A42" s="463" t="s">
        <v>1096</v>
      </c>
      <c r="B42" s="315"/>
      <c r="C42" s="315"/>
      <c r="D42" s="315"/>
      <c r="E42" s="315"/>
      <c r="F42" s="315"/>
      <c r="G42" s="315"/>
      <c r="H42" s="315"/>
      <c r="I42" s="315"/>
    </row>
    <row r="43" spans="1:9" x14ac:dyDescent="0.25">
      <c r="A43" s="315" t="s">
        <v>908</v>
      </c>
      <c r="B43" s="315"/>
      <c r="C43" s="315"/>
      <c r="D43" s="315"/>
      <c r="E43" s="315"/>
      <c r="F43" s="315"/>
      <c r="G43" s="315"/>
      <c r="H43" s="315"/>
      <c r="I43" s="315"/>
    </row>
    <row r="44" spans="1:9" x14ac:dyDescent="0.25">
      <c r="A44" s="1103"/>
      <c r="B44" s="1104"/>
      <c r="C44" s="1104"/>
      <c r="D44" s="1104"/>
      <c r="E44" s="1104"/>
      <c r="F44" s="1104"/>
      <c r="G44" s="1104"/>
      <c r="H44" s="1104"/>
      <c r="I44" s="1105"/>
    </row>
    <row r="45" spans="1:9" x14ac:dyDescent="0.25">
      <c r="A45" s="1106"/>
      <c r="B45" s="1107"/>
      <c r="C45" s="1107"/>
      <c r="D45" s="1107"/>
      <c r="E45" s="1107"/>
      <c r="F45" s="1107"/>
      <c r="G45" s="1107"/>
      <c r="H45" s="1107"/>
      <c r="I45" s="1108"/>
    </row>
    <row r="46" spans="1:9" x14ac:dyDescent="0.25">
      <c r="A46" s="1106"/>
      <c r="B46" s="1107"/>
      <c r="C46" s="1107"/>
      <c r="D46" s="1107"/>
      <c r="E46" s="1107"/>
      <c r="F46" s="1107"/>
      <c r="G46" s="1107"/>
      <c r="H46" s="1107"/>
      <c r="I46" s="1108"/>
    </row>
    <row r="47" spans="1:9" x14ac:dyDescent="0.25">
      <c r="A47" s="1106"/>
      <c r="B47" s="1107"/>
      <c r="C47" s="1107"/>
      <c r="D47" s="1107"/>
      <c r="E47" s="1107"/>
      <c r="F47" s="1107"/>
      <c r="G47" s="1107"/>
      <c r="H47" s="1107"/>
      <c r="I47" s="1108"/>
    </row>
    <row r="48" spans="1:9" x14ac:dyDescent="0.25">
      <c r="A48" s="1109"/>
      <c r="B48" s="1110"/>
      <c r="C48" s="1110"/>
      <c r="D48" s="1110"/>
      <c r="E48" s="1110"/>
      <c r="F48" s="1110"/>
      <c r="G48" s="1110"/>
      <c r="H48" s="1110"/>
      <c r="I48" s="1111"/>
    </row>
    <row r="49" spans="1:9" x14ac:dyDescent="0.25">
      <c r="A49" s="464"/>
      <c r="B49" s="464"/>
      <c r="C49" s="464"/>
      <c r="D49" s="464"/>
      <c r="E49" s="464"/>
      <c r="F49" s="464"/>
      <c r="G49" s="464"/>
      <c r="H49" s="464"/>
      <c r="I49" s="464"/>
    </row>
    <row r="50" spans="1:9" x14ac:dyDescent="0.25">
      <c r="A50" s="465"/>
      <c r="B50" s="465"/>
      <c r="C50" s="465"/>
      <c r="D50" s="465"/>
      <c r="E50" s="465"/>
      <c r="F50" s="465"/>
      <c r="G50" s="465"/>
      <c r="H50" s="465"/>
      <c r="I50" s="465"/>
    </row>
  </sheetData>
  <mergeCells count="66">
    <mergeCell ref="B2:I2"/>
    <mergeCell ref="B3:I3"/>
    <mergeCell ref="B4:I4"/>
    <mergeCell ref="B5:I5"/>
    <mergeCell ref="B6:C6"/>
    <mergeCell ref="D6:E6"/>
    <mergeCell ref="G6:H6"/>
    <mergeCell ref="A18:I18"/>
    <mergeCell ref="A19:C19"/>
    <mergeCell ref="H19:I19"/>
    <mergeCell ref="A20:C20"/>
    <mergeCell ref="B7:D7"/>
    <mergeCell ref="B8:I8"/>
    <mergeCell ref="B9:I9"/>
    <mergeCell ref="B10:D10"/>
    <mergeCell ref="E10:F10"/>
    <mergeCell ref="G10:I10"/>
    <mergeCell ref="A16:C17"/>
    <mergeCell ref="D16:D17"/>
    <mergeCell ref="E16:E17"/>
    <mergeCell ref="F16:F17"/>
    <mergeCell ref="H16:I17"/>
    <mergeCell ref="B11:D11"/>
    <mergeCell ref="E11:F11"/>
    <mergeCell ref="G11:I11"/>
    <mergeCell ref="A13:I13"/>
    <mergeCell ref="A14:I14"/>
    <mergeCell ref="H20:I20"/>
    <mergeCell ref="A22:C22"/>
    <mergeCell ref="H22:I22"/>
    <mergeCell ref="A23:C23"/>
    <mergeCell ref="H23:I23"/>
    <mergeCell ref="A21:C21"/>
    <mergeCell ref="H21:I21"/>
    <mergeCell ref="A24:C24"/>
    <mergeCell ref="H24:I24"/>
    <mergeCell ref="A32:C32"/>
    <mergeCell ref="H32:I32"/>
    <mergeCell ref="A25:C25"/>
    <mergeCell ref="H25:I25"/>
    <mergeCell ref="A26:C26"/>
    <mergeCell ref="H26:I26"/>
    <mergeCell ref="A27:C27"/>
    <mergeCell ref="H27:I27"/>
    <mergeCell ref="A28:C28"/>
    <mergeCell ref="H28:I28"/>
    <mergeCell ref="A30:I30"/>
    <mergeCell ref="A31:C31"/>
    <mergeCell ref="H31:I31"/>
    <mergeCell ref="A33:C33"/>
    <mergeCell ref="H33:I33"/>
    <mergeCell ref="A34:C34"/>
    <mergeCell ref="H34:I34"/>
    <mergeCell ref="A35:C35"/>
    <mergeCell ref="H35:I35"/>
    <mergeCell ref="A36:C36"/>
    <mergeCell ref="H36:I36"/>
    <mergeCell ref="A37:C37"/>
    <mergeCell ref="H37:I37"/>
    <mergeCell ref="A38:C38"/>
    <mergeCell ref="H38:I38"/>
    <mergeCell ref="A39:C39"/>
    <mergeCell ref="H39:I39"/>
    <mergeCell ref="A40:C40"/>
    <mergeCell ref="H40:I40"/>
    <mergeCell ref="A44:I48"/>
  </mergeCells>
  <pageMargins left="0.7" right="0.7" top="0.75" bottom="0.75" header="0.3" footer="0.3"/>
  <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2198F2-E2C4-4596-B5B7-612A33777363}">
  <dimension ref="A2:I52"/>
  <sheetViews>
    <sheetView workbookViewId="0">
      <selection sqref="A1:XFD1048576"/>
    </sheetView>
  </sheetViews>
  <sheetFormatPr baseColWidth="10" defaultRowHeight="15" x14ac:dyDescent="0.25"/>
  <cols>
    <col min="1" max="1" width="30.42578125" customWidth="1"/>
    <col min="2" max="2" width="5.85546875" customWidth="1"/>
    <col min="3" max="3" width="8.28515625" customWidth="1"/>
    <col min="4" max="4" width="18" customWidth="1"/>
    <col min="5" max="5" width="9.5703125" customWidth="1"/>
    <col min="6" max="6" width="17.5703125" customWidth="1"/>
    <col min="7" max="7" width="19.42578125" customWidth="1"/>
    <col min="8" max="8" width="3.28515625" customWidth="1"/>
    <col min="9" max="9" width="4.7109375" customWidth="1"/>
  </cols>
  <sheetData>
    <row r="2" spans="1:9" x14ac:dyDescent="0.25">
      <c r="A2" s="237" t="s">
        <v>464</v>
      </c>
      <c r="B2" s="958" t="s">
        <v>2</v>
      </c>
      <c r="C2" s="958"/>
      <c r="D2" s="958"/>
      <c r="E2" s="958"/>
      <c r="F2" s="958"/>
      <c r="G2" s="958"/>
      <c r="H2" s="958"/>
      <c r="I2" s="958"/>
    </row>
    <row r="3" spans="1:9" x14ac:dyDescent="0.25">
      <c r="A3" s="237"/>
      <c r="B3" s="957" t="s">
        <v>4</v>
      </c>
      <c r="C3" s="957"/>
      <c r="D3" s="957"/>
      <c r="E3" s="957"/>
      <c r="F3" s="957"/>
      <c r="G3" s="957"/>
      <c r="H3" s="957"/>
      <c r="I3" s="957"/>
    </row>
    <row r="4" spans="1:9" x14ac:dyDescent="0.25">
      <c r="A4" s="237" t="s">
        <v>362</v>
      </c>
      <c r="B4" s="957" t="s">
        <v>6</v>
      </c>
      <c r="C4" s="957"/>
      <c r="D4" s="957"/>
      <c r="E4" s="957"/>
      <c r="F4" s="957"/>
      <c r="G4" s="957"/>
      <c r="H4" s="957"/>
      <c r="I4" s="957"/>
    </row>
    <row r="5" spans="1:9" x14ac:dyDescent="0.25">
      <c r="A5" s="237" t="s">
        <v>363</v>
      </c>
      <c r="B5" s="957">
        <v>4431</v>
      </c>
      <c r="C5" s="957"/>
      <c r="D5" s="957"/>
      <c r="E5" s="957"/>
      <c r="F5" s="957"/>
      <c r="G5" s="957"/>
      <c r="H5" s="957"/>
      <c r="I5" s="957"/>
    </row>
    <row r="6" spans="1:9" x14ac:dyDescent="0.25">
      <c r="A6" s="237" t="s">
        <v>364</v>
      </c>
      <c r="B6" s="957" t="s">
        <v>12</v>
      </c>
      <c r="C6" s="957"/>
      <c r="D6" s="959" t="s">
        <v>365</v>
      </c>
      <c r="E6" s="959"/>
      <c r="F6" s="309">
        <v>46022</v>
      </c>
      <c r="G6" s="46" t="s">
        <v>465</v>
      </c>
      <c r="H6" s="1141">
        <v>12</v>
      </c>
      <c r="I6" s="1141"/>
    </row>
    <row r="7" spans="1:9" x14ac:dyDescent="0.25">
      <c r="A7" s="311" t="s">
        <v>367</v>
      </c>
      <c r="B7" s="958" t="s">
        <v>8</v>
      </c>
      <c r="C7" s="958"/>
      <c r="D7" s="958"/>
      <c r="E7" s="199"/>
      <c r="F7" s="199"/>
      <c r="G7" s="199"/>
      <c r="H7" s="199"/>
      <c r="I7" s="196"/>
    </row>
    <row r="8" spans="1:9" x14ac:dyDescent="0.25">
      <c r="A8" s="238" t="s">
        <v>466</v>
      </c>
      <c r="B8" s="958" t="s">
        <v>34</v>
      </c>
      <c r="C8" s="958"/>
      <c r="D8" s="958"/>
      <c r="E8" s="958"/>
      <c r="F8" s="958"/>
      <c r="G8" s="958"/>
      <c r="H8" s="958"/>
      <c r="I8" s="958"/>
    </row>
    <row r="9" spans="1:9" x14ac:dyDescent="0.25">
      <c r="A9" s="238"/>
      <c r="B9" s="957">
        <v>555555</v>
      </c>
      <c r="C9" s="957"/>
      <c r="D9" s="957"/>
      <c r="E9" s="957"/>
      <c r="F9" s="957"/>
      <c r="G9" s="957"/>
      <c r="H9" s="957"/>
      <c r="I9" s="957"/>
    </row>
    <row r="10" spans="1:9" x14ac:dyDescent="0.25">
      <c r="A10" s="238" t="s">
        <v>467</v>
      </c>
      <c r="B10" s="957" t="s">
        <v>38</v>
      </c>
      <c r="C10" s="957"/>
      <c r="D10" s="957"/>
      <c r="E10" s="959" t="s">
        <v>468</v>
      </c>
      <c r="F10" s="959"/>
      <c r="G10" s="957" t="s">
        <v>36</v>
      </c>
      <c r="H10" s="957"/>
      <c r="I10" s="957"/>
    </row>
    <row r="11" spans="1:9" x14ac:dyDescent="0.25">
      <c r="A11" s="238" t="s">
        <v>469</v>
      </c>
      <c r="B11" s="954">
        <v>44713</v>
      </c>
      <c r="C11" s="954"/>
      <c r="D11" s="954"/>
      <c r="E11" s="975" t="s">
        <v>470</v>
      </c>
      <c r="F11" s="975"/>
      <c r="G11" s="954">
        <v>45991</v>
      </c>
      <c r="H11" s="954"/>
      <c r="I11" s="954"/>
    </row>
    <row r="12" spans="1:9" ht="6" customHeight="1" x14ac:dyDescent="0.25"/>
    <row r="13" spans="1:9" x14ac:dyDescent="0.25">
      <c r="A13" s="788" t="s">
        <v>1097</v>
      </c>
      <c r="B13" s="788"/>
      <c r="C13" s="788"/>
      <c r="D13" s="788"/>
      <c r="E13" s="788"/>
      <c r="F13" s="788"/>
      <c r="G13" s="788"/>
      <c r="H13" s="788"/>
      <c r="I13" s="788"/>
    </row>
    <row r="14" spans="1:9" x14ac:dyDescent="0.25">
      <c r="A14" s="788" t="s">
        <v>1098</v>
      </c>
      <c r="B14" s="788"/>
      <c r="C14" s="788"/>
      <c r="D14" s="788"/>
      <c r="E14" s="788"/>
      <c r="F14" s="788"/>
      <c r="G14" s="788"/>
      <c r="H14" s="788"/>
      <c r="I14" s="788"/>
    </row>
    <row r="15" spans="1:9" ht="7.15" customHeight="1" x14ac:dyDescent="0.25">
      <c r="A15" s="315"/>
      <c r="B15" s="315"/>
      <c r="C15" s="315"/>
      <c r="D15" s="315"/>
      <c r="E15" s="315"/>
      <c r="F15" s="315"/>
      <c r="G15" s="315"/>
      <c r="H15" s="315"/>
      <c r="I15" s="315"/>
    </row>
    <row r="16" spans="1:9" ht="28.9" customHeight="1" x14ac:dyDescent="0.25">
      <c r="A16" s="1335" t="s">
        <v>1099</v>
      </c>
      <c r="B16" s="1335"/>
      <c r="C16" s="1335"/>
      <c r="D16" s="466" t="s">
        <v>1100</v>
      </c>
      <c r="E16" s="1335" t="s">
        <v>1101</v>
      </c>
      <c r="F16" s="1335"/>
      <c r="G16" s="1336" t="s">
        <v>1102</v>
      </c>
      <c r="H16" s="1336"/>
      <c r="I16" s="1336"/>
    </row>
    <row r="17" spans="1:9" x14ac:dyDescent="0.25">
      <c r="A17" s="1266" t="s">
        <v>1103</v>
      </c>
      <c r="B17" s="1266"/>
      <c r="C17" s="1266"/>
      <c r="D17" s="408"/>
      <c r="E17" s="1268"/>
      <c r="F17" s="1268"/>
      <c r="G17" s="1266"/>
      <c r="H17" s="1266"/>
      <c r="I17" s="1266"/>
    </row>
    <row r="18" spans="1:9" x14ac:dyDescent="0.25">
      <c r="A18" s="1266"/>
      <c r="B18" s="1266"/>
      <c r="C18" s="1266"/>
      <c r="D18" s="408"/>
      <c r="E18" s="1268"/>
      <c r="F18" s="1268"/>
      <c r="G18" s="1266"/>
      <c r="H18" s="1266"/>
      <c r="I18" s="1266"/>
    </row>
    <row r="19" spans="1:9" x14ac:dyDescent="0.25">
      <c r="A19" s="1266"/>
      <c r="B19" s="1266"/>
      <c r="C19" s="1266"/>
      <c r="D19" s="408"/>
      <c r="E19" s="1268"/>
      <c r="F19" s="1268"/>
      <c r="G19" s="1266"/>
      <c r="H19" s="1266"/>
      <c r="I19" s="1266"/>
    </row>
    <row r="20" spans="1:9" x14ac:dyDescent="0.25">
      <c r="A20" s="1266"/>
      <c r="B20" s="1266"/>
      <c r="C20" s="1266"/>
      <c r="D20" s="408"/>
      <c r="E20" s="1268"/>
      <c r="F20" s="1268"/>
      <c r="G20" s="1266"/>
      <c r="H20" s="1266"/>
      <c r="I20" s="1266"/>
    </row>
    <row r="21" spans="1:9" x14ac:dyDescent="0.25">
      <c r="A21" s="1266"/>
      <c r="B21" s="1266"/>
      <c r="C21" s="1266"/>
      <c r="D21" s="408"/>
      <c r="E21" s="1268"/>
      <c r="F21" s="1268"/>
      <c r="G21" s="1266"/>
      <c r="H21" s="1266"/>
      <c r="I21" s="1266"/>
    </row>
    <row r="22" spans="1:9" x14ac:dyDescent="0.25">
      <c r="A22" s="1266"/>
      <c r="B22" s="1266"/>
      <c r="C22" s="1266"/>
      <c r="D22" s="408"/>
      <c r="E22" s="1268"/>
      <c r="F22" s="1268"/>
      <c r="G22" s="1266"/>
      <c r="H22" s="1266"/>
      <c r="I22" s="1266"/>
    </row>
    <row r="23" spans="1:9" x14ac:dyDescent="0.25">
      <c r="A23" s="1266"/>
      <c r="B23" s="1266"/>
      <c r="C23" s="1266"/>
      <c r="D23" s="408"/>
      <c r="E23" s="1268"/>
      <c r="F23" s="1268"/>
      <c r="G23" s="1266"/>
      <c r="H23" s="1266"/>
      <c r="I23" s="1266"/>
    </row>
    <row r="24" spans="1:9" x14ac:dyDescent="0.25">
      <c r="A24" s="1266"/>
      <c r="B24" s="1266"/>
      <c r="C24" s="1266"/>
      <c r="D24" s="408"/>
      <c r="E24" s="1268"/>
      <c r="F24" s="1268"/>
      <c r="G24" s="1266"/>
      <c r="H24" s="1266"/>
      <c r="I24" s="1266"/>
    </row>
    <row r="25" spans="1:9" x14ac:dyDescent="0.25">
      <c r="A25" s="1266"/>
      <c r="B25" s="1266"/>
      <c r="C25" s="1266"/>
      <c r="D25" s="408"/>
      <c r="E25" s="1268"/>
      <c r="F25" s="1268"/>
      <c r="G25" s="1266"/>
      <c r="H25" s="1266"/>
      <c r="I25" s="1266"/>
    </row>
    <row r="26" spans="1:9" x14ac:dyDescent="0.25">
      <c r="A26" s="1266"/>
      <c r="B26" s="1266"/>
      <c r="C26" s="1266"/>
      <c r="D26" s="408"/>
      <c r="E26" s="1268"/>
      <c r="F26" s="1268"/>
      <c r="G26" s="1266"/>
      <c r="H26" s="1266"/>
      <c r="I26" s="1266"/>
    </row>
    <row r="27" spans="1:9" x14ac:dyDescent="0.25">
      <c r="A27" s="1266"/>
      <c r="B27" s="1266"/>
      <c r="C27" s="1266"/>
      <c r="D27" s="408"/>
      <c r="E27" s="1268"/>
      <c r="F27" s="1268"/>
      <c r="G27" s="1266"/>
      <c r="H27" s="1266"/>
      <c r="I27" s="1266"/>
    </row>
    <row r="28" spans="1:9" x14ac:dyDescent="0.25">
      <c r="A28" s="1266"/>
      <c r="B28" s="1266"/>
      <c r="C28" s="1266"/>
      <c r="D28" s="408"/>
      <c r="E28" s="1268"/>
      <c r="F28" s="1268"/>
      <c r="G28" s="1266"/>
      <c r="H28" s="1266"/>
      <c r="I28" s="1266"/>
    </row>
    <row r="29" spans="1:9" x14ac:dyDescent="0.25">
      <c r="A29" s="1266"/>
      <c r="B29" s="1266"/>
      <c r="C29" s="1266"/>
      <c r="D29" s="408"/>
      <c r="E29" s="1268"/>
      <c r="F29" s="1268"/>
      <c r="G29" s="1266"/>
      <c r="H29" s="1266"/>
      <c r="I29" s="1266"/>
    </row>
    <row r="30" spans="1:9" x14ac:dyDescent="0.25">
      <c r="A30" s="1266" t="s">
        <v>490</v>
      </c>
      <c r="B30" s="1266"/>
      <c r="C30" s="1266"/>
      <c r="D30" s="408"/>
      <c r="E30" s="1268"/>
      <c r="F30" s="1268"/>
      <c r="G30" s="1332"/>
      <c r="H30" s="1332"/>
      <c r="I30" s="1332"/>
    </row>
    <row r="31" spans="1:9" x14ac:dyDescent="0.25">
      <c r="A31" s="1266"/>
      <c r="B31" s="1266"/>
      <c r="C31" s="1266"/>
      <c r="D31" s="408"/>
      <c r="E31" s="1268"/>
      <c r="F31" s="1268"/>
      <c r="G31" s="1332"/>
      <c r="H31" s="1332"/>
      <c r="I31" s="1332"/>
    </row>
    <row r="32" spans="1:9" x14ac:dyDescent="0.25">
      <c r="A32" s="1266"/>
      <c r="B32" s="1266"/>
      <c r="C32" s="1266"/>
      <c r="D32" s="408"/>
      <c r="E32" s="1268"/>
      <c r="F32" s="1268"/>
      <c r="G32" s="1332"/>
      <c r="H32" s="1332"/>
      <c r="I32" s="1332"/>
    </row>
    <row r="33" spans="1:9" x14ac:dyDescent="0.25">
      <c r="A33" s="1266"/>
      <c r="B33" s="1266"/>
      <c r="C33" s="1266"/>
      <c r="D33" s="408"/>
      <c r="E33" s="1268"/>
      <c r="F33" s="1268"/>
      <c r="G33" s="1332"/>
      <c r="H33" s="1332"/>
      <c r="I33" s="1332"/>
    </row>
    <row r="34" spans="1:9" x14ac:dyDescent="0.25">
      <c r="A34" s="1266"/>
      <c r="B34" s="1266"/>
      <c r="C34" s="1266"/>
      <c r="D34" s="408"/>
      <c r="E34" s="1268"/>
      <c r="F34" s="1268"/>
      <c r="G34" s="1332"/>
      <c r="H34" s="1332"/>
      <c r="I34" s="1332"/>
    </row>
    <row r="35" spans="1:9" x14ac:dyDescent="0.25">
      <c r="A35" s="1266"/>
      <c r="B35" s="1266"/>
      <c r="C35" s="1266"/>
      <c r="D35" s="408"/>
      <c r="E35" s="1268"/>
      <c r="F35" s="1268"/>
      <c r="G35" s="1332"/>
      <c r="H35" s="1332"/>
      <c r="I35" s="1332"/>
    </row>
    <row r="36" spans="1:9" x14ac:dyDescent="0.25">
      <c r="A36" s="1266"/>
      <c r="B36" s="1266"/>
      <c r="C36" s="1266"/>
      <c r="D36" s="408"/>
      <c r="E36" s="1268"/>
      <c r="F36" s="1268"/>
      <c r="G36" s="1332"/>
      <c r="H36" s="1332"/>
      <c r="I36" s="1332"/>
    </row>
    <row r="37" spans="1:9" x14ac:dyDescent="0.25">
      <c r="A37" s="1266"/>
      <c r="B37" s="1266"/>
      <c r="C37" s="1266"/>
      <c r="D37" s="408"/>
      <c r="E37" s="1268"/>
      <c r="F37" s="1268"/>
      <c r="G37" s="1332"/>
      <c r="H37" s="1332"/>
      <c r="I37" s="1332"/>
    </row>
    <row r="38" spans="1:9" x14ac:dyDescent="0.25">
      <c r="A38" s="1266"/>
      <c r="B38" s="1266"/>
      <c r="C38" s="1266"/>
      <c r="D38" s="408"/>
      <c r="E38" s="1268"/>
      <c r="F38" s="1268"/>
      <c r="G38" s="1332"/>
      <c r="H38" s="1332"/>
      <c r="I38" s="1332"/>
    </row>
    <row r="39" spans="1:9" x14ac:dyDescent="0.25">
      <c r="A39" s="1266"/>
      <c r="B39" s="1266"/>
      <c r="C39" s="1266"/>
      <c r="D39" s="408"/>
      <c r="E39" s="1268"/>
      <c r="F39" s="1268"/>
      <c r="G39" s="1332"/>
      <c r="H39" s="1332"/>
      <c r="I39" s="1332"/>
    </row>
    <row r="40" spans="1:9" x14ac:dyDescent="0.25">
      <c r="A40" s="1266"/>
      <c r="B40" s="1266"/>
      <c r="C40" s="1266"/>
      <c r="D40" s="408"/>
      <c r="E40" s="1268"/>
      <c r="F40" s="1268"/>
      <c r="G40" s="1332"/>
      <c r="H40" s="1332"/>
      <c r="I40" s="1332"/>
    </row>
    <row r="41" spans="1:9" x14ac:dyDescent="0.25">
      <c r="A41" s="1266"/>
      <c r="B41" s="1266"/>
      <c r="C41" s="1266"/>
      <c r="D41" s="408"/>
      <c r="E41" s="1268"/>
      <c r="F41" s="1268"/>
      <c r="G41" s="1332"/>
      <c r="H41" s="1332"/>
      <c r="I41" s="1332"/>
    </row>
    <row r="42" spans="1:9" x14ac:dyDescent="0.25">
      <c r="A42" s="1266"/>
      <c r="B42" s="1266"/>
      <c r="C42" s="1266"/>
      <c r="D42" s="408"/>
      <c r="E42" s="1268"/>
      <c r="F42" s="1268"/>
      <c r="G42" s="1332"/>
      <c r="H42" s="1332"/>
      <c r="I42" s="1332"/>
    </row>
    <row r="43" spans="1:9" x14ac:dyDescent="0.25">
      <c r="A43" s="1266" t="s">
        <v>494</v>
      </c>
      <c r="B43" s="1266"/>
      <c r="C43" s="1266"/>
      <c r="D43" s="408"/>
      <c r="E43" s="1268"/>
      <c r="F43" s="1268"/>
      <c r="G43" s="1332"/>
      <c r="H43" s="1332"/>
      <c r="I43" s="1332"/>
    </row>
    <row r="44" spans="1:9" x14ac:dyDescent="0.25">
      <c r="A44" s="1266"/>
      <c r="B44" s="1266"/>
      <c r="C44" s="1266"/>
      <c r="D44" s="408"/>
      <c r="E44" s="1268"/>
      <c r="F44" s="1268"/>
      <c r="G44" s="1332"/>
      <c r="H44" s="1332"/>
      <c r="I44" s="1332"/>
    </row>
    <row r="45" spans="1:9" x14ac:dyDescent="0.25">
      <c r="A45" s="1266"/>
      <c r="B45" s="1266"/>
      <c r="C45" s="1266"/>
      <c r="D45" s="408"/>
      <c r="E45" s="1268"/>
      <c r="F45" s="1268"/>
      <c r="G45" s="1332"/>
      <c r="H45" s="1332"/>
      <c r="I45" s="1332"/>
    </row>
    <row r="46" spans="1:9" x14ac:dyDescent="0.25">
      <c r="A46" s="1266"/>
      <c r="B46" s="1266"/>
      <c r="C46" s="1266"/>
      <c r="D46" s="408"/>
      <c r="E46" s="1268"/>
      <c r="F46" s="1268"/>
      <c r="G46" s="1332"/>
      <c r="H46" s="1332"/>
      <c r="I46" s="1332"/>
    </row>
    <row r="47" spans="1:9" x14ac:dyDescent="0.25">
      <c r="A47" s="1266"/>
      <c r="B47" s="1266"/>
      <c r="C47" s="1266"/>
      <c r="D47" s="408"/>
      <c r="E47" s="1268"/>
      <c r="F47" s="1268"/>
      <c r="G47" s="1332"/>
      <c r="H47" s="1332"/>
      <c r="I47" s="1332"/>
    </row>
    <row r="48" spans="1:9" x14ac:dyDescent="0.25">
      <c r="A48" s="1266"/>
      <c r="B48" s="1266"/>
      <c r="C48" s="1266"/>
      <c r="D48" s="408"/>
      <c r="E48" s="1268"/>
      <c r="F48" s="1268"/>
      <c r="G48" s="1332"/>
      <c r="H48" s="1332"/>
      <c r="I48" s="1332"/>
    </row>
    <row r="49" spans="1:9" x14ac:dyDescent="0.25">
      <c r="A49" s="1266"/>
      <c r="B49" s="1266"/>
      <c r="C49" s="1266"/>
      <c r="D49" s="408"/>
      <c r="E49" s="1268"/>
      <c r="F49" s="1268"/>
      <c r="G49" s="1332"/>
      <c r="H49" s="1332"/>
      <c r="I49" s="1332"/>
    </row>
    <row r="50" spans="1:9" x14ac:dyDescent="0.25">
      <c r="A50" s="1266"/>
      <c r="B50" s="1266"/>
      <c r="C50" s="1266"/>
      <c r="D50" s="408"/>
      <c r="E50" s="1268"/>
      <c r="F50" s="1268"/>
      <c r="G50" s="1332"/>
      <c r="H50" s="1332"/>
      <c r="I50" s="1332"/>
    </row>
    <row r="51" spans="1:9" x14ac:dyDescent="0.25">
      <c r="A51" s="1266"/>
      <c r="B51" s="1266"/>
      <c r="C51" s="1266"/>
      <c r="D51" s="408"/>
      <c r="E51" s="1268"/>
      <c r="F51" s="1268"/>
      <c r="G51" s="1332"/>
      <c r="H51" s="1332"/>
      <c r="I51" s="1332"/>
    </row>
    <row r="52" spans="1:9" x14ac:dyDescent="0.25">
      <c r="A52" s="1333" t="s">
        <v>849</v>
      </c>
      <c r="B52" s="1333"/>
      <c r="C52" s="1333"/>
      <c r="D52" s="467"/>
      <c r="E52" s="1334"/>
      <c r="F52" s="1334"/>
      <c r="G52" s="1332"/>
      <c r="H52" s="1332"/>
      <c r="I52" s="1332"/>
    </row>
  </sheetData>
  <mergeCells count="129">
    <mergeCell ref="B2:I2"/>
    <mergeCell ref="B3:I3"/>
    <mergeCell ref="B4:I4"/>
    <mergeCell ref="B5:I5"/>
    <mergeCell ref="B6:C6"/>
    <mergeCell ref="D6:E6"/>
    <mergeCell ref="H6:I6"/>
    <mergeCell ref="B11:D11"/>
    <mergeCell ref="E11:F11"/>
    <mergeCell ref="G11:I11"/>
    <mergeCell ref="A13:I13"/>
    <mergeCell ref="A14:I14"/>
    <mergeCell ref="A16:C16"/>
    <mergeCell ref="E16:F16"/>
    <mergeCell ref="G16:I16"/>
    <mergeCell ref="B7:D7"/>
    <mergeCell ref="B8:I8"/>
    <mergeCell ref="B9:I9"/>
    <mergeCell ref="B10:D10"/>
    <mergeCell ref="E10:F10"/>
    <mergeCell ref="G10:I10"/>
    <mergeCell ref="A19:C19"/>
    <mergeCell ref="E19:F19"/>
    <mergeCell ref="G19:I19"/>
    <mergeCell ref="A20:C20"/>
    <mergeCell ref="E20:F20"/>
    <mergeCell ref="G20:I20"/>
    <mergeCell ref="A17:C17"/>
    <mergeCell ref="E17:F17"/>
    <mergeCell ref="G17:I17"/>
    <mergeCell ref="A18:C18"/>
    <mergeCell ref="E18:F18"/>
    <mergeCell ref="G18:I18"/>
    <mergeCell ref="A23:C23"/>
    <mergeCell ref="E23:F23"/>
    <mergeCell ref="G23:I23"/>
    <mergeCell ref="A24:C24"/>
    <mergeCell ref="E24:F24"/>
    <mergeCell ref="G24:I24"/>
    <mergeCell ref="A21:C21"/>
    <mergeCell ref="E21:F21"/>
    <mergeCell ref="G21:I21"/>
    <mergeCell ref="A22:C22"/>
    <mergeCell ref="E22:F22"/>
    <mergeCell ref="G22:I22"/>
    <mergeCell ref="A27:C27"/>
    <mergeCell ref="E27:F27"/>
    <mergeCell ref="G27:I27"/>
    <mergeCell ref="A28:C28"/>
    <mergeCell ref="E28:F28"/>
    <mergeCell ref="G28:I28"/>
    <mergeCell ref="A25:C25"/>
    <mergeCell ref="E25:F25"/>
    <mergeCell ref="G25:I25"/>
    <mergeCell ref="A26:C26"/>
    <mergeCell ref="E26:F26"/>
    <mergeCell ref="G26:I26"/>
    <mergeCell ref="A31:C31"/>
    <mergeCell ref="E31:F31"/>
    <mergeCell ref="G31:I31"/>
    <mergeCell ref="A32:C32"/>
    <mergeCell ref="E32:F32"/>
    <mergeCell ref="G32:I32"/>
    <mergeCell ref="A29:C29"/>
    <mergeCell ref="E29:F29"/>
    <mergeCell ref="G29:I29"/>
    <mergeCell ref="A30:C30"/>
    <mergeCell ref="E30:F30"/>
    <mergeCell ref="G30:I30"/>
    <mergeCell ref="A35:C35"/>
    <mergeCell ref="E35:F35"/>
    <mergeCell ref="G35:I35"/>
    <mergeCell ref="A36:C36"/>
    <mergeCell ref="E36:F36"/>
    <mergeCell ref="G36:I36"/>
    <mergeCell ref="A33:C33"/>
    <mergeCell ref="E33:F33"/>
    <mergeCell ref="G33:I33"/>
    <mergeCell ref="A34:C34"/>
    <mergeCell ref="E34:F34"/>
    <mergeCell ref="G34:I34"/>
    <mergeCell ref="A39:C39"/>
    <mergeCell ref="E39:F39"/>
    <mergeCell ref="G39:I39"/>
    <mergeCell ref="A40:C40"/>
    <mergeCell ref="E40:F40"/>
    <mergeCell ref="G40:I40"/>
    <mergeCell ref="A37:C37"/>
    <mergeCell ref="E37:F37"/>
    <mergeCell ref="G37:I37"/>
    <mergeCell ref="A38:C38"/>
    <mergeCell ref="E38:F38"/>
    <mergeCell ref="G38:I38"/>
    <mergeCell ref="A43:C43"/>
    <mergeCell ref="E43:F43"/>
    <mergeCell ref="G43:I43"/>
    <mergeCell ref="A44:C44"/>
    <mergeCell ref="E44:F44"/>
    <mergeCell ref="G44:I44"/>
    <mergeCell ref="A41:C41"/>
    <mergeCell ref="E41:F41"/>
    <mergeCell ref="G41:I41"/>
    <mergeCell ref="A42:C42"/>
    <mergeCell ref="E42:F42"/>
    <mergeCell ref="G42:I42"/>
    <mergeCell ref="A47:C47"/>
    <mergeCell ref="E47:F47"/>
    <mergeCell ref="G47:I47"/>
    <mergeCell ref="A48:C48"/>
    <mergeCell ref="E48:F48"/>
    <mergeCell ref="G48:I48"/>
    <mergeCell ref="A45:C45"/>
    <mergeCell ref="E45:F45"/>
    <mergeCell ref="G45:I45"/>
    <mergeCell ref="A46:C46"/>
    <mergeCell ref="E46:F46"/>
    <mergeCell ref="G46:I46"/>
    <mergeCell ref="A51:C51"/>
    <mergeCell ref="E51:F51"/>
    <mergeCell ref="G51:I51"/>
    <mergeCell ref="A52:C52"/>
    <mergeCell ref="E52:F52"/>
    <mergeCell ref="G52:I52"/>
    <mergeCell ref="A49:C49"/>
    <mergeCell ref="E49:F49"/>
    <mergeCell ref="G49:I49"/>
    <mergeCell ref="A50:C50"/>
    <mergeCell ref="E50:F50"/>
    <mergeCell ref="G50:I50"/>
  </mergeCells>
  <pageMargins left="0.7" right="0.7" top="0.75" bottom="0.75" header="0.3" footer="0.3"/>
  <drawing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A4E3AF-CE6C-4406-B2E5-403D39825589}">
  <dimension ref="A2:I29"/>
  <sheetViews>
    <sheetView workbookViewId="0">
      <selection sqref="A1:XFD1048576"/>
    </sheetView>
  </sheetViews>
  <sheetFormatPr baseColWidth="10" defaultRowHeight="15" x14ac:dyDescent="0.25"/>
  <cols>
    <col min="1" max="1" width="26.5703125" customWidth="1"/>
    <col min="2" max="2" width="5.85546875" customWidth="1"/>
    <col min="3" max="3" width="8.28515625" customWidth="1"/>
    <col min="4" max="4" width="12.85546875" customWidth="1"/>
    <col min="5" max="5" width="18.28515625" customWidth="1"/>
    <col min="6" max="6" width="14" customWidth="1"/>
    <col min="7" max="7" width="18" customWidth="1"/>
    <col min="8" max="8" width="19.7109375" customWidth="1"/>
    <col min="9" max="9" width="7.140625" customWidth="1"/>
  </cols>
  <sheetData>
    <row r="2" spans="1:9" x14ac:dyDescent="0.25">
      <c r="A2" s="237" t="s">
        <v>464</v>
      </c>
      <c r="B2" s="958" t="s">
        <v>2</v>
      </c>
      <c r="C2" s="958"/>
      <c r="D2" s="958"/>
      <c r="E2" s="958"/>
      <c r="F2" s="958"/>
      <c r="G2" s="958"/>
      <c r="H2" s="958"/>
      <c r="I2" s="958"/>
    </row>
    <row r="3" spans="1:9" x14ac:dyDescent="0.25">
      <c r="A3" s="237"/>
      <c r="B3" s="957" t="s">
        <v>4</v>
      </c>
      <c r="C3" s="957"/>
      <c r="D3" s="957"/>
      <c r="E3" s="957"/>
      <c r="F3" s="957"/>
      <c r="G3" s="957"/>
      <c r="H3" s="957"/>
      <c r="I3" s="957"/>
    </row>
    <row r="4" spans="1:9" x14ac:dyDescent="0.25">
      <c r="A4" s="237" t="s">
        <v>362</v>
      </c>
      <c r="B4" s="957" t="s">
        <v>6</v>
      </c>
      <c r="C4" s="957"/>
      <c r="D4" s="957"/>
      <c r="E4" s="957"/>
      <c r="F4" s="957"/>
      <c r="G4" s="957"/>
      <c r="H4" s="957"/>
      <c r="I4" s="957"/>
    </row>
    <row r="5" spans="1:9" x14ac:dyDescent="0.25">
      <c r="A5" s="237" t="s">
        <v>363</v>
      </c>
      <c r="B5" s="957">
        <v>4431</v>
      </c>
      <c r="C5" s="957"/>
      <c r="D5" s="957"/>
      <c r="E5" s="957"/>
      <c r="F5" s="957"/>
      <c r="G5" s="957"/>
      <c r="H5" s="957"/>
      <c r="I5" s="957"/>
    </row>
    <row r="6" spans="1:9" x14ac:dyDescent="0.25">
      <c r="A6" s="237" t="s">
        <v>364</v>
      </c>
      <c r="B6" s="957" t="s">
        <v>12</v>
      </c>
      <c r="C6" s="957"/>
      <c r="D6" s="959" t="s">
        <v>365</v>
      </c>
      <c r="E6" s="959"/>
      <c r="F6" s="309">
        <v>46022</v>
      </c>
      <c r="G6" s="46" t="s">
        <v>465</v>
      </c>
      <c r="H6" s="1141">
        <v>12</v>
      </c>
      <c r="I6" s="1141"/>
    </row>
    <row r="7" spans="1:9" x14ac:dyDescent="0.25">
      <c r="A7" s="311" t="s">
        <v>367</v>
      </c>
      <c r="B7" s="958" t="s">
        <v>8</v>
      </c>
      <c r="C7" s="958"/>
      <c r="D7" s="958"/>
      <c r="E7" s="199"/>
      <c r="F7" s="199"/>
      <c r="G7" s="199"/>
      <c r="H7" s="199"/>
      <c r="I7" s="196"/>
    </row>
    <row r="8" spans="1:9" x14ac:dyDescent="0.25">
      <c r="A8" s="238" t="s">
        <v>466</v>
      </c>
      <c r="B8" s="958" t="s">
        <v>34</v>
      </c>
      <c r="C8" s="958"/>
      <c r="D8" s="958"/>
      <c r="E8" s="958"/>
      <c r="F8" s="958"/>
      <c r="G8" s="958"/>
      <c r="H8" s="958"/>
      <c r="I8" s="958"/>
    </row>
    <row r="9" spans="1:9" x14ac:dyDescent="0.25">
      <c r="A9" s="238"/>
      <c r="B9" s="957">
        <v>555555</v>
      </c>
      <c r="C9" s="957"/>
      <c r="D9" s="957"/>
      <c r="E9" s="957"/>
      <c r="F9" s="957"/>
      <c r="G9" s="957"/>
      <c r="H9" s="957"/>
      <c r="I9" s="957"/>
    </row>
    <row r="10" spans="1:9" x14ac:dyDescent="0.25">
      <c r="A10" s="238" t="s">
        <v>467</v>
      </c>
      <c r="B10" s="957" t="s">
        <v>38</v>
      </c>
      <c r="C10" s="957"/>
      <c r="D10" s="957"/>
      <c r="E10" s="959" t="s">
        <v>468</v>
      </c>
      <c r="F10" s="959"/>
      <c r="G10" s="957" t="s">
        <v>36</v>
      </c>
      <c r="H10" s="957"/>
      <c r="I10" s="957"/>
    </row>
    <row r="11" spans="1:9" x14ac:dyDescent="0.25">
      <c r="A11" s="238" t="s">
        <v>469</v>
      </c>
      <c r="B11" s="954">
        <v>44713</v>
      </c>
      <c r="C11" s="954"/>
      <c r="D11" s="954"/>
      <c r="E11" s="975" t="s">
        <v>470</v>
      </c>
      <c r="F11" s="975"/>
      <c r="G11" s="954">
        <v>45991</v>
      </c>
      <c r="H11" s="954"/>
      <c r="I11" s="954"/>
    </row>
    <row r="12" spans="1:9" ht="7.9" customHeight="1" x14ac:dyDescent="0.25"/>
    <row r="13" spans="1:9" x14ac:dyDescent="0.25">
      <c r="A13" s="788" t="s">
        <v>1104</v>
      </c>
      <c r="B13" s="788"/>
      <c r="C13" s="788"/>
      <c r="D13" s="788"/>
      <c r="E13" s="788"/>
      <c r="F13" s="788"/>
      <c r="G13" s="788"/>
      <c r="H13" s="788"/>
      <c r="I13" s="788"/>
    </row>
    <row r="14" spans="1:9" x14ac:dyDescent="0.25">
      <c r="A14" s="788" t="s">
        <v>1105</v>
      </c>
      <c r="B14" s="788"/>
      <c r="C14" s="788"/>
      <c r="D14" s="788"/>
      <c r="E14" s="788"/>
      <c r="F14" s="788"/>
      <c r="G14" s="788"/>
      <c r="H14" s="788"/>
      <c r="I14" s="788"/>
    </row>
    <row r="15" spans="1:9" x14ac:dyDescent="0.25">
      <c r="A15" s="1287" t="s">
        <v>988</v>
      </c>
      <c r="B15" s="1288"/>
      <c r="C15" s="1295"/>
      <c r="D15" s="1299" t="s">
        <v>989</v>
      </c>
      <c r="E15" s="1300"/>
      <c r="F15" s="1299" t="s">
        <v>989</v>
      </c>
      <c r="G15" s="1301"/>
      <c r="H15" s="1302" t="s">
        <v>1056</v>
      </c>
      <c r="I15" s="1302"/>
    </row>
    <row r="16" spans="1:9" x14ac:dyDescent="0.25">
      <c r="A16" s="1296"/>
      <c r="B16" s="1297"/>
      <c r="C16" s="1298"/>
      <c r="D16" s="1283">
        <v>46022</v>
      </c>
      <c r="E16" s="1303"/>
      <c r="F16" s="1283">
        <v>46022</v>
      </c>
      <c r="G16" s="1284"/>
      <c r="H16" s="454" t="s">
        <v>1009</v>
      </c>
      <c r="I16" s="454" t="s">
        <v>1034</v>
      </c>
    </row>
    <row r="17" spans="1:9" x14ac:dyDescent="0.25">
      <c r="A17" s="1320" t="s">
        <v>1106</v>
      </c>
      <c r="B17" s="1320"/>
      <c r="C17" s="1320"/>
      <c r="D17" s="1292">
        <v>0</v>
      </c>
      <c r="E17" s="1292"/>
      <c r="F17" s="1293">
        <v>0</v>
      </c>
      <c r="G17" s="1294"/>
      <c r="H17" s="425">
        <v>0</v>
      </c>
      <c r="I17" s="434">
        <v>0</v>
      </c>
    </row>
    <row r="18" spans="1:9" x14ac:dyDescent="0.25">
      <c r="A18" s="1320" t="s">
        <v>1107</v>
      </c>
      <c r="B18" s="1320"/>
      <c r="C18" s="1320"/>
      <c r="D18" s="1292">
        <v>0</v>
      </c>
      <c r="E18" s="1292"/>
      <c r="F18" s="1293">
        <v>0</v>
      </c>
      <c r="G18" s="1294"/>
      <c r="H18" s="425">
        <v>0</v>
      </c>
      <c r="I18" s="434">
        <v>0</v>
      </c>
    </row>
    <row r="19" spans="1:9" x14ac:dyDescent="0.25">
      <c r="A19" s="1269" t="s">
        <v>1108</v>
      </c>
      <c r="B19" s="1269"/>
      <c r="C19" s="1269"/>
      <c r="D19" s="1304">
        <v>0</v>
      </c>
      <c r="E19" s="1304"/>
      <c r="F19" s="1305">
        <v>0</v>
      </c>
      <c r="G19" s="1306"/>
      <c r="H19" s="429">
        <v>0</v>
      </c>
      <c r="I19" s="468">
        <v>0</v>
      </c>
    </row>
    <row r="20" spans="1:9" x14ac:dyDescent="0.25">
      <c r="A20" s="1320" t="s">
        <v>1109</v>
      </c>
      <c r="B20" s="1320"/>
      <c r="C20" s="1320"/>
      <c r="D20" s="1292">
        <v>0</v>
      </c>
      <c r="E20" s="1292"/>
      <c r="F20" s="1293">
        <v>0</v>
      </c>
      <c r="G20" s="1294"/>
      <c r="H20" s="425">
        <v>0</v>
      </c>
      <c r="I20" s="434">
        <v>0</v>
      </c>
    </row>
    <row r="21" spans="1:9" ht="7.9" customHeight="1" x14ac:dyDescent="0.25">
      <c r="A21" s="241"/>
      <c r="B21" s="241"/>
      <c r="C21" s="241"/>
      <c r="D21" s="241"/>
      <c r="E21" s="241"/>
      <c r="F21" s="241"/>
      <c r="G21" s="241"/>
      <c r="H21" s="241"/>
      <c r="I21" s="241"/>
    </row>
    <row r="22" spans="1:9" x14ac:dyDescent="0.25">
      <c r="A22" s="241" t="s">
        <v>908</v>
      </c>
      <c r="B22" s="241"/>
      <c r="C22" s="241"/>
      <c r="D22" s="241"/>
      <c r="E22" s="241"/>
      <c r="F22" s="241"/>
      <c r="G22" s="241"/>
      <c r="H22" s="241"/>
      <c r="I22" s="241"/>
    </row>
    <row r="23" spans="1:9" x14ac:dyDescent="0.25">
      <c r="A23" s="1103"/>
      <c r="B23" s="1104"/>
      <c r="C23" s="1104"/>
      <c r="D23" s="1104"/>
      <c r="E23" s="1104"/>
      <c r="F23" s="1104"/>
      <c r="G23" s="1104"/>
      <c r="H23" s="1104"/>
      <c r="I23" s="1105"/>
    </row>
    <row r="24" spans="1:9" x14ac:dyDescent="0.25">
      <c r="A24" s="1106"/>
      <c r="B24" s="1107"/>
      <c r="C24" s="1107"/>
      <c r="D24" s="1107"/>
      <c r="E24" s="1107"/>
      <c r="F24" s="1107"/>
      <c r="G24" s="1107"/>
      <c r="H24" s="1107"/>
      <c r="I24" s="1108"/>
    </row>
    <row r="25" spans="1:9" x14ac:dyDescent="0.25">
      <c r="A25" s="1106"/>
      <c r="B25" s="1107"/>
      <c r="C25" s="1107"/>
      <c r="D25" s="1107"/>
      <c r="E25" s="1107"/>
      <c r="F25" s="1107"/>
      <c r="G25" s="1107"/>
      <c r="H25" s="1107"/>
      <c r="I25" s="1108"/>
    </row>
    <row r="26" spans="1:9" x14ac:dyDescent="0.25">
      <c r="A26" s="1106"/>
      <c r="B26" s="1107"/>
      <c r="C26" s="1107"/>
      <c r="D26" s="1107"/>
      <c r="E26" s="1107"/>
      <c r="F26" s="1107"/>
      <c r="G26" s="1107"/>
      <c r="H26" s="1107"/>
      <c r="I26" s="1108"/>
    </row>
    <row r="27" spans="1:9" x14ac:dyDescent="0.25">
      <c r="A27" s="1106"/>
      <c r="B27" s="1107"/>
      <c r="C27" s="1107"/>
      <c r="D27" s="1107"/>
      <c r="E27" s="1107"/>
      <c r="F27" s="1107"/>
      <c r="G27" s="1107"/>
      <c r="H27" s="1107"/>
      <c r="I27" s="1108"/>
    </row>
    <row r="28" spans="1:9" x14ac:dyDescent="0.25">
      <c r="A28" s="1106"/>
      <c r="B28" s="1107"/>
      <c r="C28" s="1107"/>
      <c r="D28" s="1107"/>
      <c r="E28" s="1107"/>
      <c r="F28" s="1107"/>
      <c r="G28" s="1107"/>
      <c r="H28" s="1107"/>
      <c r="I28" s="1108"/>
    </row>
    <row r="29" spans="1:9" x14ac:dyDescent="0.25">
      <c r="A29" s="1109"/>
      <c r="B29" s="1110"/>
      <c r="C29" s="1110"/>
      <c r="D29" s="1110"/>
      <c r="E29" s="1110"/>
      <c r="F29" s="1110"/>
      <c r="G29" s="1110"/>
      <c r="H29" s="1110"/>
      <c r="I29" s="1111"/>
    </row>
  </sheetData>
  <mergeCells count="37">
    <mergeCell ref="F16:G16"/>
    <mergeCell ref="A15:C16"/>
    <mergeCell ref="D15:E15"/>
    <mergeCell ref="B2:I2"/>
    <mergeCell ref="B3:I3"/>
    <mergeCell ref="B4:I4"/>
    <mergeCell ref="B5:I5"/>
    <mergeCell ref="B6:C6"/>
    <mergeCell ref="D6:E6"/>
    <mergeCell ref="H6:I6"/>
    <mergeCell ref="B11:D11"/>
    <mergeCell ref="E11:F11"/>
    <mergeCell ref="G11:I11"/>
    <mergeCell ref="A13:I13"/>
    <mergeCell ref="A14:I14"/>
    <mergeCell ref="B7:D7"/>
    <mergeCell ref="B8:I8"/>
    <mergeCell ref="B9:I9"/>
    <mergeCell ref="B10:D10"/>
    <mergeCell ref="E10:F10"/>
    <mergeCell ref="G10:I10"/>
    <mergeCell ref="F15:G15"/>
    <mergeCell ref="A23:I29"/>
    <mergeCell ref="A19:C19"/>
    <mergeCell ref="D19:E19"/>
    <mergeCell ref="F19:G19"/>
    <mergeCell ref="A20:C20"/>
    <mergeCell ref="D20:E20"/>
    <mergeCell ref="F20:G20"/>
    <mergeCell ref="A17:C17"/>
    <mergeCell ref="D17:E17"/>
    <mergeCell ref="F17:G17"/>
    <mergeCell ref="A18:C18"/>
    <mergeCell ref="D18:E18"/>
    <mergeCell ref="F18:G18"/>
    <mergeCell ref="H15:I15"/>
    <mergeCell ref="D16:E16"/>
  </mergeCells>
  <pageMargins left="0.7" right="0.7" top="0.75" bottom="0.75" header="0.3" footer="0.3"/>
  <drawing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46EB92-C6FB-4138-A334-34E3C037B797}">
  <dimension ref="A2:I38"/>
  <sheetViews>
    <sheetView workbookViewId="0">
      <selection sqref="A1:XFD1048576"/>
    </sheetView>
  </sheetViews>
  <sheetFormatPr baseColWidth="10" defaultRowHeight="15" x14ac:dyDescent="0.25"/>
  <cols>
    <col min="1" max="1" width="43.7109375" customWidth="1"/>
    <col min="2" max="2" width="5.85546875" customWidth="1"/>
    <col min="3" max="3" width="23.5703125" customWidth="1"/>
    <col min="4" max="4" width="23.42578125" customWidth="1"/>
    <col min="5" max="5" width="18.28515625" customWidth="1"/>
    <col min="6" max="6" width="14" customWidth="1"/>
    <col min="7" max="7" width="18" customWidth="1"/>
    <col min="8" max="8" width="4.7109375" customWidth="1"/>
    <col min="9" max="9" width="10" customWidth="1"/>
  </cols>
  <sheetData>
    <row r="2" spans="1:9" x14ac:dyDescent="0.25">
      <c r="A2" s="237" t="s">
        <v>464</v>
      </c>
      <c r="B2" s="958" t="s">
        <v>2</v>
      </c>
      <c r="C2" s="958"/>
      <c r="D2" s="958"/>
      <c r="E2" s="958"/>
      <c r="F2" s="958"/>
      <c r="G2" s="958"/>
      <c r="H2" s="958"/>
      <c r="I2" s="958"/>
    </row>
    <row r="3" spans="1:9" x14ac:dyDescent="0.25">
      <c r="A3" s="237"/>
      <c r="B3" s="957" t="s">
        <v>4</v>
      </c>
      <c r="C3" s="957"/>
      <c r="D3" s="957"/>
      <c r="E3" s="957"/>
      <c r="F3" s="957"/>
      <c r="G3" s="957"/>
      <c r="H3" s="957"/>
      <c r="I3" s="957"/>
    </row>
    <row r="4" spans="1:9" x14ac:dyDescent="0.25">
      <c r="A4" s="237" t="s">
        <v>362</v>
      </c>
      <c r="B4" s="957" t="s">
        <v>6</v>
      </c>
      <c r="C4" s="957"/>
      <c r="D4" s="957"/>
      <c r="E4" s="957"/>
      <c r="F4" s="957"/>
      <c r="G4" s="957"/>
      <c r="H4" s="957"/>
      <c r="I4" s="957"/>
    </row>
    <row r="5" spans="1:9" x14ac:dyDescent="0.25">
      <c r="A5" s="237" t="s">
        <v>363</v>
      </c>
      <c r="B5" s="957">
        <v>4431</v>
      </c>
      <c r="C5" s="957"/>
      <c r="D5" s="957"/>
      <c r="E5" s="957"/>
      <c r="F5" s="957"/>
      <c r="G5" s="957"/>
      <c r="H5" s="957"/>
      <c r="I5" s="957"/>
    </row>
    <row r="6" spans="1:9" x14ac:dyDescent="0.25">
      <c r="A6" s="237" t="s">
        <v>364</v>
      </c>
      <c r="B6" s="957" t="s">
        <v>12</v>
      </c>
      <c r="C6" s="957"/>
      <c r="D6" s="959" t="s">
        <v>365</v>
      </c>
      <c r="E6" s="959"/>
      <c r="F6" s="309">
        <v>46022</v>
      </c>
      <c r="G6" s="46" t="s">
        <v>465</v>
      </c>
      <c r="H6" s="1141">
        <v>12</v>
      </c>
      <c r="I6" s="1141"/>
    </row>
    <row r="7" spans="1:9" x14ac:dyDescent="0.25">
      <c r="A7" s="311" t="s">
        <v>367</v>
      </c>
      <c r="B7" s="958" t="s">
        <v>8</v>
      </c>
      <c r="C7" s="958"/>
      <c r="D7" s="958"/>
      <c r="E7" s="199"/>
      <c r="F7" s="199"/>
      <c r="G7" s="199"/>
      <c r="H7" s="199"/>
      <c r="I7" s="196"/>
    </row>
    <row r="8" spans="1:9" x14ac:dyDescent="0.25">
      <c r="A8" s="238" t="s">
        <v>466</v>
      </c>
      <c r="B8" s="958" t="s">
        <v>34</v>
      </c>
      <c r="C8" s="958"/>
      <c r="D8" s="958"/>
      <c r="E8" s="958"/>
      <c r="F8" s="958"/>
      <c r="G8" s="958"/>
      <c r="H8" s="958"/>
      <c r="I8" s="958"/>
    </row>
    <row r="9" spans="1:9" x14ac:dyDescent="0.25">
      <c r="A9" s="238"/>
      <c r="B9" s="957">
        <v>555555</v>
      </c>
      <c r="C9" s="957"/>
      <c r="D9" s="957"/>
      <c r="E9" s="957"/>
      <c r="F9" s="957"/>
      <c r="G9" s="957"/>
      <c r="H9" s="957"/>
      <c r="I9" s="957"/>
    </row>
    <row r="10" spans="1:9" x14ac:dyDescent="0.25">
      <c r="A10" s="238" t="s">
        <v>467</v>
      </c>
      <c r="B10" s="957" t="s">
        <v>38</v>
      </c>
      <c r="C10" s="957"/>
      <c r="D10" s="957"/>
      <c r="E10" s="959" t="s">
        <v>468</v>
      </c>
      <c r="F10" s="959"/>
      <c r="G10" s="957" t="s">
        <v>36</v>
      </c>
      <c r="H10" s="957"/>
      <c r="I10" s="957"/>
    </row>
    <row r="11" spans="1:9" x14ac:dyDescent="0.25">
      <c r="A11" s="238" t="s">
        <v>469</v>
      </c>
      <c r="B11" s="954">
        <v>44713</v>
      </c>
      <c r="C11" s="954"/>
      <c r="D11" s="954"/>
      <c r="E11" s="975" t="s">
        <v>470</v>
      </c>
      <c r="F11" s="975"/>
      <c r="G11" s="954">
        <v>45991</v>
      </c>
      <c r="H11" s="954"/>
      <c r="I11" s="954"/>
    </row>
    <row r="12" spans="1:9" ht="6" customHeight="1" x14ac:dyDescent="0.25"/>
    <row r="13" spans="1:9" x14ac:dyDescent="0.25">
      <c r="A13" s="788" t="s">
        <v>1110</v>
      </c>
      <c r="B13" s="788"/>
      <c r="C13" s="788"/>
      <c r="D13" s="788"/>
      <c r="E13" s="788"/>
      <c r="F13" s="788"/>
      <c r="G13" s="788"/>
      <c r="H13" s="788"/>
      <c r="I13" s="788"/>
    </row>
    <row r="14" spans="1:9" x14ac:dyDescent="0.25">
      <c r="A14" s="788" t="s">
        <v>1111</v>
      </c>
      <c r="B14" s="788"/>
      <c r="C14" s="788"/>
      <c r="D14" s="788"/>
      <c r="E14" s="788"/>
      <c r="F14" s="788"/>
      <c r="G14" s="788"/>
      <c r="H14" s="788"/>
      <c r="I14" s="788"/>
    </row>
    <row r="15" spans="1:9" ht="6" customHeight="1" x14ac:dyDescent="0.25">
      <c r="A15" s="315"/>
      <c r="B15" s="315"/>
      <c r="C15" s="315"/>
      <c r="D15" s="315"/>
      <c r="E15" s="315"/>
      <c r="F15" s="315"/>
      <c r="G15" s="315"/>
      <c r="H15" s="315"/>
      <c r="I15" s="315"/>
    </row>
    <row r="16" spans="1:9" ht="14.45" customHeight="1" x14ac:dyDescent="0.25">
      <c r="A16" s="1287" t="s">
        <v>988</v>
      </c>
      <c r="B16" s="1285" t="s">
        <v>603</v>
      </c>
      <c r="C16" s="415" t="s">
        <v>989</v>
      </c>
      <c r="D16" s="415" t="s">
        <v>989</v>
      </c>
      <c r="E16" s="1316" t="s">
        <v>1056</v>
      </c>
      <c r="F16" s="1344"/>
      <c r="G16" s="1282" t="s">
        <v>1112</v>
      </c>
      <c r="H16" s="1282" t="s">
        <v>1113</v>
      </c>
      <c r="I16" s="1282"/>
    </row>
    <row r="17" spans="1:9" ht="23.45" customHeight="1" x14ac:dyDescent="0.25">
      <c r="A17" s="1296"/>
      <c r="B17" s="1286"/>
      <c r="C17" s="417">
        <v>46022</v>
      </c>
      <c r="D17" s="417">
        <v>46022</v>
      </c>
      <c r="E17" s="416" t="s">
        <v>1009</v>
      </c>
      <c r="F17" s="416" t="s">
        <v>1034</v>
      </c>
      <c r="G17" s="1282"/>
      <c r="H17" s="1282"/>
      <c r="I17" s="1282"/>
    </row>
    <row r="18" spans="1:9" x14ac:dyDescent="0.25">
      <c r="A18" s="452" t="s">
        <v>1114</v>
      </c>
      <c r="B18" s="469"/>
      <c r="C18" s="425">
        <v>0</v>
      </c>
      <c r="D18" s="425">
        <v>0</v>
      </c>
      <c r="E18" s="425">
        <v>0</v>
      </c>
      <c r="F18" s="427">
        <v>0</v>
      </c>
      <c r="G18" s="470"/>
      <c r="H18" s="1343"/>
      <c r="I18" s="1343"/>
    </row>
    <row r="19" spans="1:9" x14ac:dyDescent="0.25">
      <c r="A19" s="459" t="s">
        <v>1115</v>
      </c>
      <c r="B19" s="469"/>
      <c r="C19" s="425">
        <v>0</v>
      </c>
      <c r="D19" s="425">
        <v>0</v>
      </c>
      <c r="E19" s="425">
        <v>0</v>
      </c>
      <c r="F19" s="427">
        <v>0</v>
      </c>
      <c r="G19" s="470"/>
      <c r="H19" s="1343"/>
      <c r="I19" s="1343"/>
    </row>
    <row r="20" spans="1:9" x14ac:dyDescent="0.25">
      <c r="A20" s="459" t="s">
        <v>1116</v>
      </c>
      <c r="B20" s="469"/>
      <c r="C20" s="425">
        <v>0</v>
      </c>
      <c r="D20" s="425">
        <v>0</v>
      </c>
      <c r="E20" s="425">
        <v>0</v>
      </c>
      <c r="F20" s="427">
        <v>0</v>
      </c>
      <c r="G20" s="470"/>
      <c r="H20" s="1343"/>
      <c r="I20" s="1343"/>
    </row>
    <row r="21" spans="1:9" x14ac:dyDescent="0.25">
      <c r="A21" s="452" t="s">
        <v>1117</v>
      </c>
      <c r="B21" s="469"/>
      <c r="C21" s="425">
        <v>0</v>
      </c>
      <c r="D21" s="425">
        <v>0</v>
      </c>
      <c r="E21" s="425">
        <v>0</v>
      </c>
      <c r="F21" s="427">
        <v>0</v>
      </c>
      <c r="G21" s="470"/>
      <c r="H21" s="1343"/>
      <c r="I21" s="1343"/>
    </row>
    <row r="22" spans="1:9" x14ac:dyDescent="0.25">
      <c r="A22" s="452" t="s">
        <v>1118</v>
      </c>
      <c r="B22" s="469"/>
      <c r="C22" s="425">
        <v>0</v>
      </c>
      <c r="D22" s="425">
        <v>0</v>
      </c>
      <c r="E22" s="425">
        <v>0</v>
      </c>
      <c r="F22" s="427">
        <v>0</v>
      </c>
      <c r="G22" s="470"/>
      <c r="H22" s="1343"/>
      <c r="I22" s="1343"/>
    </row>
    <row r="23" spans="1:9" x14ac:dyDescent="0.25">
      <c r="A23" s="459" t="s">
        <v>1119</v>
      </c>
      <c r="B23" s="469"/>
      <c r="C23" s="425">
        <v>0</v>
      </c>
      <c r="D23" s="425">
        <v>0</v>
      </c>
      <c r="E23" s="425">
        <v>0</v>
      </c>
      <c r="F23" s="427">
        <v>0</v>
      </c>
      <c r="G23" s="470"/>
      <c r="H23" s="1343"/>
      <c r="I23" s="1343"/>
    </row>
    <row r="24" spans="1:9" x14ac:dyDescent="0.25">
      <c r="A24" s="452" t="s">
        <v>1120</v>
      </c>
      <c r="B24" s="469"/>
      <c r="C24" s="425">
        <v>0</v>
      </c>
      <c r="D24" s="425">
        <v>0</v>
      </c>
      <c r="E24" s="425">
        <v>0</v>
      </c>
      <c r="F24" s="427">
        <v>0</v>
      </c>
      <c r="G24" s="470"/>
      <c r="H24" s="1339"/>
      <c r="I24" s="1340"/>
    </row>
    <row r="25" spans="1:9" x14ac:dyDescent="0.25">
      <c r="A25" s="459" t="s">
        <v>1121</v>
      </c>
      <c r="B25" s="469"/>
      <c r="C25" s="425">
        <v>0</v>
      </c>
      <c r="D25" s="425">
        <v>0</v>
      </c>
      <c r="E25" s="425">
        <v>0</v>
      </c>
      <c r="F25" s="427">
        <v>0</v>
      </c>
      <c r="G25" s="470"/>
      <c r="H25" s="1339"/>
      <c r="I25" s="1340"/>
    </row>
    <row r="26" spans="1:9" x14ac:dyDescent="0.25">
      <c r="A26" s="459" t="s">
        <v>1122</v>
      </c>
      <c r="B26" s="469"/>
      <c r="C26" s="425">
        <v>0</v>
      </c>
      <c r="D26" s="425">
        <v>0</v>
      </c>
      <c r="E26" s="425">
        <v>0</v>
      </c>
      <c r="F26" s="427">
        <v>0</v>
      </c>
      <c r="G26" s="470"/>
      <c r="H26" s="1339"/>
      <c r="I26" s="1340"/>
    </row>
    <row r="27" spans="1:9" x14ac:dyDescent="0.25">
      <c r="A27" s="471" t="s">
        <v>1123</v>
      </c>
      <c r="B27" s="472"/>
      <c r="C27" s="429">
        <v>0</v>
      </c>
      <c r="D27" s="429">
        <v>0</v>
      </c>
      <c r="E27" s="429">
        <v>0</v>
      </c>
      <c r="F27" s="431">
        <v>0</v>
      </c>
      <c r="G27" s="473"/>
      <c r="H27" s="1337"/>
      <c r="I27" s="1337"/>
    </row>
    <row r="28" spans="1:9" x14ac:dyDescent="0.25">
      <c r="A28" s="452" t="s">
        <v>1124</v>
      </c>
      <c r="B28" s="469"/>
      <c r="C28" s="425">
        <v>0</v>
      </c>
      <c r="D28" s="425">
        <v>0</v>
      </c>
      <c r="E28" s="425">
        <v>0</v>
      </c>
      <c r="F28" s="427">
        <v>0</v>
      </c>
      <c r="G28" s="470"/>
      <c r="H28" s="1341"/>
      <c r="I28" s="1342"/>
    </row>
    <row r="29" spans="1:9" x14ac:dyDescent="0.25">
      <c r="A29" s="452" t="s">
        <v>1125</v>
      </c>
      <c r="B29" s="469"/>
      <c r="C29" s="425">
        <v>0</v>
      </c>
      <c r="D29" s="425">
        <v>0</v>
      </c>
      <c r="E29" s="425">
        <v>0</v>
      </c>
      <c r="F29" s="427">
        <v>0</v>
      </c>
      <c r="G29" s="470"/>
      <c r="H29" s="1341"/>
      <c r="I29" s="1342"/>
    </row>
    <row r="30" spans="1:9" x14ac:dyDescent="0.25">
      <c r="A30" s="471" t="s">
        <v>1126</v>
      </c>
      <c r="B30" s="472"/>
      <c r="C30" s="429">
        <v>0</v>
      </c>
      <c r="D30" s="429">
        <v>0</v>
      </c>
      <c r="E30" s="429">
        <v>0</v>
      </c>
      <c r="F30" s="431">
        <v>0</v>
      </c>
      <c r="G30" s="473"/>
      <c r="H30" s="1337"/>
      <c r="I30" s="1337"/>
    </row>
    <row r="31" spans="1:9" ht="33" customHeight="1" x14ac:dyDescent="0.25">
      <c r="A31" s="474" t="s">
        <v>1127</v>
      </c>
      <c r="B31" s="472"/>
      <c r="C31" s="429">
        <v>0</v>
      </c>
      <c r="D31" s="429">
        <v>0</v>
      </c>
      <c r="E31" s="429">
        <v>0</v>
      </c>
      <c r="F31" s="431">
        <v>0</v>
      </c>
      <c r="G31" s="473"/>
      <c r="H31" s="1338"/>
      <c r="I31" s="1338"/>
    </row>
    <row r="32" spans="1:9" x14ac:dyDescent="0.25">
      <c r="A32" s="241" t="s">
        <v>908</v>
      </c>
      <c r="B32" s="241"/>
      <c r="C32" s="241"/>
      <c r="D32" s="241"/>
      <c r="E32" s="241"/>
      <c r="F32" s="241"/>
      <c r="G32" s="241"/>
      <c r="H32" s="241"/>
      <c r="I32" s="241"/>
    </row>
    <row r="33" spans="1:9" x14ac:dyDescent="0.25">
      <c r="A33" s="1103"/>
      <c r="B33" s="1104"/>
      <c r="C33" s="1104"/>
      <c r="D33" s="1104"/>
      <c r="E33" s="1104"/>
      <c r="F33" s="1104"/>
      <c r="G33" s="1104"/>
      <c r="H33" s="1104"/>
      <c r="I33" s="1105"/>
    </row>
    <row r="34" spans="1:9" x14ac:dyDescent="0.25">
      <c r="A34" s="1106"/>
      <c r="B34" s="1107"/>
      <c r="C34" s="1107"/>
      <c r="D34" s="1107"/>
      <c r="E34" s="1107"/>
      <c r="F34" s="1107"/>
      <c r="G34" s="1107"/>
      <c r="H34" s="1107"/>
      <c r="I34" s="1108"/>
    </row>
    <row r="35" spans="1:9" x14ac:dyDescent="0.25">
      <c r="A35" s="1106"/>
      <c r="B35" s="1107"/>
      <c r="C35" s="1107"/>
      <c r="D35" s="1107"/>
      <c r="E35" s="1107"/>
      <c r="F35" s="1107"/>
      <c r="G35" s="1107"/>
      <c r="H35" s="1107"/>
      <c r="I35" s="1108"/>
    </row>
    <row r="36" spans="1:9" x14ac:dyDescent="0.25">
      <c r="A36" s="1106"/>
      <c r="B36" s="1107"/>
      <c r="C36" s="1107"/>
      <c r="D36" s="1107"/>
      <c r="E36" s="1107"/>
      <c r="F36" s="1107"/>
      <c r="G36" s="1107"/>
      <c r="H36" s="1107"/>
      <c r="I36" s="1108"/>
    </row>
    <row r="37" spans="1:9" x14ac:dyDescent="0.25">
      <c r="A37" s="1106"/>
      <c r="B37" s="1107"/>
      <c r="C37" s="1107"/>
      <c r="D37" s="1107"/>
      <c r="E37" s="1107"/>
      <c r="F37" s="1107"/>
      <c r="G37" s="1107"/>
      <c r="H37" s="1107"/>
      <c r="I37" s="1108"/>
    </row>
    <row r="38" spans="1:9" x14ac:dyDescent="0.25">
      <c r="A38" s="1109"/>
      <c r="B38" s="1110"/>
      <c r="C38" s="1110"/>
      <c r="D38" s="1110"/>
      <c r="E38" s="1110"/>
      <c r="F38" s="1110"/>
      <c r="G38" s="1110"/>
      <c r="H38" s="1110"/>
      <c r="I38" s="1111"/>
    </row>
  </sheetData>
  <mergeCells count="38">
    <mergeCell ref="B2:I2"/>
    <mergeCell ref="B3:I3"/>
    <mergeCell ref="B4:I4"/>
    <mergeCell ref="B5:I5"/>
    <mergeCell ref="B6:C6"/>
    <mergeCell ref="D6:E6"/>
    <mergeCell ref="H6:I6"/>
    <mergeCell ref="B7:D7"/>
    <mergeCell ref="B8:I8"/>
    <mergeCell ref="B9:I9"/>
    <mergeCell ref="B10:D10"/>
    <mergeCell ref="E10:F10"/>
    <mergeCell ref="G10:I10"/>
    <mergeCell ref="H23:I23"/>
    <mergeCell ref="B11:D11"/>
    <mergeCell ref="E11:F11"/>
    <mergeCell ref="G11:I11"/>
    <mergeCell ref="A13:I13"/>
    <mergeCell ref="A14:I14"/>
    <mergeCell ref="A16:A17"/>
    <mergeCell ref="B16:B17"/>
    <mergeCell ref="E16:F16"/>
    <mergeCell ref="G16:G17"/>
    <mergeCell ref="H16:I17"/>
    <mergeCell ref="H18:I18"/>
    <mergeCell ref="H19:I19"/>
    <mergeCell ref="H20:I20"/>
    <mergeCell ref="H21:I21"/>
    <mergeCell ref="H22:I22"/>
    <mergeCell ref="H30:I30"/>
    <mergeCell ref="H31:I31"/>
    <mergeCell ref="A33:I38"/>
    <mergeCell ref="H24:I24"/>
    <mergeCell ref="H25:I25"/>
    <mergeCell ref="H26:I26"/>
    <mergeCell ref="H27:I27"/>
    <mergeCell ref="H28:I28"/>
    <mergeCell ref="H29:I29"/>
  </mergeCells>
  <pageMargins left="0.7" right="0.7" top="0.75" bottom="0.75" header="0.3" footer="0.3"/>
  <drawing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D98F5A-D014-40BA-BCC1-3182365FAC64}">
  <dimension ref="A2:H35"/>
  <sheetViews>
    <sheetView workbookViewId="0">
      <selection sqref="A1:XFD1048576"/>
    </sheetView>
  </sheetViews>
  <sheetFormatPr baseColWidth="10" defaultRowHeight="15" x14ac:dyDescent="0.25"/>
  <cols>
    <col min="1" max="1" width="32.7109375" customWidth="1"/>
    <col min="2" max="2" width="15.5703125" customWidth="1"/>
    <col min="3" max="3" width="6.28515625" customWidth="1"/>
    <col min="4" max="6" width="25.28515625" customWidth="1"/>
    <col min="7" max="7" width="16.7109375" customWidth="1"/>
    <col min="8" max="8" width="6.42578125" customWidth="1"/>
  </cols>
  <sheetData>
    <row r="2" spans="1:8" x14ac:dyDescent="0.25">
      <c r="A2" s="1352" t="s">
        <v>464</v>
      </c>
      <c r="B2" s="1352"/>
      <c r="C2" s="958" t="s">
        <v>2</v>
      </c>
      <c r="D2" s="958"/>
      <c r="E2" s="958"/>
      <c r="F2" s="958"/>
      <c r="G2" s="958"/>
      <c r="H2" s="958"/>
    </row>
    <row r="3" spans="1:8" x14ac:dyDescent="0.25">
      <c r="A3" s="1352"/>
      <c r="B3" s="1352"/>
      <c r="C3" s="957" t="s">
        <v>4</v>
      </c>
      <c r="D3" s="957"/>
      <c r="E3" s="957"/>
      <c r="F3" s="957"/>
      <c r="G3" s="957"/>
      <c r="H3" s="957"/>
    </row>
    <row r="4" spans="1:8" x14ac:dyDescent="0.25">
      <c r="A4" s="237" t="s">
        <v>362</v>
      </c>
      <c r="B4" s="238"/>
      <c r="C4" s="957" t="s">
        <v>6</v>
      </c>
      <c r="D4" s="957"/>
      <c r="E4" s="957"/>
      <c r="F4" s="957"/>
      <c r="G4" s="957"/>
      <c r="H4" s="957"/>
    </row>
    <row r="5" spans="1:8" x14ac:dyDescent="0.25">
      <c r="A5" s="237" t="s">
        <v>363</v>
      </c>
      <c r="B5" s="238"/>
      <c r="C5" s="957">
        <v>4431</v>
      </c>
      <c r="D5" s="957"/>
      <c r="E5" s="957"/>
      <c r="F5" s="957"/>
      <c r="G5" s="957"/>
      <c r="H5" s="957"/>
    </row>
    <row r="6" spans="1:8" x14ac:dyDescent="0.25">
      <c r="A6" s="237" t="s">
        <v>364</v>
      </c>
      <c r="B6" s="238"/>
      <c r="C6" s="957" t="s">
        <v>12</v>
      </c>
      <c r="D6" s="957"/>
      <c r="E6" s="46" t="s">
        <v>365</v>
      </c>
      <c r="F6" s="202">
        <v>46022</v>
      </c>
      <c r="G6" s="199" t="s">
        <v>465</v>
      </c>
      <c r="H6" s="235">
        <v>12</v>
      </c>
    </row>
    <row r="7" spans="1:8" x14ac:dyDescent="0.25">
      <c r="A7" s="311" t="s">
        <v>367</v>
      </c>
      <c r="B7" s="475"/>
      <c r="C7" s="957" t="s">
        <v>8</v>
      </c>
      <c r="D7" s="957"/>
      <c r="E7" s="199"/>
      <c r="F7" s="199"/>
      <c r="G7" s="199"/>
      <c r="H7" s="199"/>
    </row>
    <row r="8" spans="1:8" x14ac:dyDescent="0.25">
      <c r="A8" s="238" t="s">
        <v>466</v>
      </c>
      <c r="B8" s="238"/>
      <c r="C8" s="958" t="s">
        <v>34</v>
      </c>
      <c r="D8" s="958"/>
      <c r="E8" s="958"/>
      <c r="F8" s="958"/>
      <c r="G8" s="958"/>
      <c r="H8" s="958"/>
    </row>
    <row r="9" spans="1:8" x14ac:dyDescent="0.25">
      <c r="A9" s="238"/>
      <c r="B9" s="238"/>
      <c r="C9" s="957">
        <v>555555</v>
      </c>
      <c r="D9" s="957"/>
      <c r="E9" s="957"/>
      <c r="F9" s="957"/>
      <c r="G9" s="957"/>
      <c r="H9" s="957"/>
    </row>
    <row r="10" spans="1:8" x14ac:dyDescent="0.25">
      <c r="A10" s="238" t="s">
        <v>467</v>
      </c>
      <c r="B10" s="238"/>
      <c r="C10" s="957" t="s">
        <v>38</v>
      </c>
      <c r="D10" s="957"/>
      <c r="E10" s="770" t="s">
        <v>468</v>
      </c>
      <c r="F10" s="770"/>
      <c r="G10" s="957" t="s">
        <v>36</v>
      </c>
      <c r="H10" s="957"/>
    </row>
    <row r="11" spans="1:8" x14ac:dyDescent="0.25">
      <c r="A11" s="238" t="s">
        <v>469</v>
      </c>
      <c r="B11" s="238"/>
      <c r="C11" s="954">
        <v>44713</v>
      </c>
      <c r="D11" s="954"/>
      <c r="E11" s="975" t="s">
        <v>470</v>
      </c>
      <c r="F11" s="975"/>
      <c r="G11" s="954">
        <v>45991</v>
      </c>
      <c r="H11" s="954"/>
    </row>
    <row r="12" spans="1:8" ht="5.45" customHeight="1" x14ac:dyDescent="0.25"/>
    <row r="13" spans="1:8" x14ac:dyDescent="0.25">
      <c r="A13" s="788" t="s">
        <v>1128</v>
      </c>
      <c r="B13" s="788"/>
      <c r="C13" s="788"/>
      <c r="D13" s="788"/>
      <c r="E13" s="788"/>
      <c r="F13" s="788"/>
      <c r="G13" s="788"/>
      <c r="H13" s="788"/>
    </row>
    <row r="14" spans="1:8" x14ac:dyDescent="0.25">
      <c r="A14" s="788" t="s">
        <v>1129</v>
      </c>
      <c r="B14" s="788"/>
      <c r="C14" s="788"/>
      <c r="D14" s="788"/>
      <c r="E14" s="788"/>
      <c r="F14" s="788"/>
      <c r="G14" s="788"/>
      <c r="H14" s="788"/>
    </row>
    <row r="15" spans="1:8" ht="5.45" customHeight="1" x14ac:dyDescent="0.25">
      <c r="A15" s="315"/>
      <c r="B15" s="315"/>
      <c r="C15" s="315"/>
      <c r="D15" s="315"/>
      <c r="E15" s="315"/>
      <c r="F15" s="315"/>
      <c r="G15" s="315"/>
      <c r="H15" s="315"/>
    </row>
    <row r="16" spans="1:8" ht="14.45" customHeight="1" x14ac:dyDescent="0.25">
      <c r="A16" s="1287" t="s">
        <v>988</v>
      </c>
      <c r="B16" s="1288"/>
      <c r="C16" s="1285" t="s">
        <v>603</v>
      </c>
      <c r="D16" s="415" t="s">
        <v>989</v>
      </c>
      <c r="E16" s="415" t="s">
        <v>989</v>
      </c>
      <c r="F16" s="1282" t="s">
        <v>1056</v>
      </c>
      <c r="G16" s="1282"/>
      <c r="H16" s="1282"/>
    </row>
    <row r="17" spans="1:8" x14ac:dyDescent="0.25">
      <c r="A17" s="1296"/>
      <c r="B17" s="1297"/>
      <c r="C17" s="1286"/>
      <c r="D17" s="417">
        <v>46022</v>
      </c>
      <c r="E17" s="417">
        <v>46022</v>
      </c>
      <c r="F17" s="416" t="s">
        <v>1009</v>
      </c>
      <c r="G17" s="1282" t="s">
        <v>1034</v>
      </c>
      <c r="H17" s="1282"/>
    </row>
    <row r="18" spans="1:8" x14ac:dyDescent="0.25">
      <c r="A18" s="1326" t="s">
        <v>1130</v>
      </c>
      <c r="B18" s="1328"/>
      <c r="C18" s="438"/>
      <c r="D18" s="425">
        <v>0</v>
      </c>
      <c r="E18" s="425">
        <v>0</v>
      </c>
      <c r="F18" s="476">
        <v>0</v>
      </c>
      <c r="G18" s="1349">
        <v>0</v>
      </c>
      <c r="H18" s="1349"/>
    </row>
    <row r="19" spans="1:8" ht="28.15" customHeight="1" x14ac:dyDescent="0.25">
      <c r="A19" s="1326" t="s">
        <v>1131</v>
      </c>
      <c r="B19" s="1328"/>
      <c r="C19" s="438"/>
      <c r="D19" s="425">
        <v>0</v>
      </c>
      <c r="E19" s="425">
        <v>0</v>
      </c>
      <c r="F19" s="476">
        <v>0</v>
      </c>
      <c r="G19" s="1349">
        <v>0</v>
      </c>
      <c r="H19" s="1349"/>
    </row>
    <row r="20" spans="1:8" ht="14.45" customHeight="1" x14ac:dyDescent="0.25">
      <c r="A20" s="1326" t="s">
        <v>1132</v>
      </c>
      <c r="B20" s="1328"/>
      <c r="C20" s="438"/>
      <c r="D20" s="425">
        <v>0</v>
      </c>
      <c r="E20" s="425">
        <v>0</v>
      </c>
      <c r="F20" s="476">
        <v>0</v>
      </c>
      <c r="G20" s="1349">
        <v>0</v>
      </c>
      <c r="H20" s="1349"/>
    </row>
    <row r="21" spans="1:8" x14ac:dyDescent="0.25">
      <c r="A21" s="1326" t="s">
        <v>1133</v>
      </c>
      <c r="B21" s="1328"/>
      <c r="C21" s="438"/>
      <c r="D21" s="425">
        <v>0</v>
      </c>
      <c r="E21" s="425">
        <v>0</v>
      </c>
      <c r="F21" s="476">
        <v>0</v>
      </c>
      <c r="G21" s="1349">
        <v>0</v>
      </c>
      <c r="H21" s="1349"/>
    </row>
    <row r="22" spans="1:8" x14ac:dyDescent="0.25">
      <c r="A22" s="1326" t="s">
        <v>1134</v>
      </c>
      <c r="B22" s="1328"/>
      <c r="C22" s="438"/>
      <c r="D22" s="425">
        <v>0</v>
      </c>
      <c r="E22" s="425">
        <v>0</v>
      </c>
      <c r="F22" s="476">
        <v>0</v>
      </c>
      <c r="G22" s="1349">
        <v>0</v>
      </c>
      <c r="H22" s="1349"/>
    </row>
    <row r="23" spans="1:8" x14ac:dyDescent="0.25">
      <c r="A23" s="1345" t="s">
        <v>1135</v>
      </c>
      <c r="B23" s="1346"/>
      <c r="C23" s="477"/>
      <c r="D23" s="429">
        <v>0</v>
      </c>
      <c r="E23" s="429">
        <v>0</v>
      </c>
      <c r="F23" s="478">
        <v>0</v>
      </c>
      <c r="G23" s="1347">
        <v>0</v>
      </c>
      <c r="H23" s="1347"/>
    </row>
    <row r="24" spans="1:8" ht="28.9" customHeight="1" x14ac:dyDescent="0.25">
      <c r="A24" s="1326" t="s">
        <v>1136</v>
      </c>
      <c r="B24" s="1328"/>
      <c r="C24" s="438"/>
      <c r="D24" s="425">
        <v>0</v>
      </c>
      <c r="E24" s="425">
        <v>0</v>
      </c>
      <c r="F24" s="476">
        <v>0</v>
      </c>
      <c r="G24" s="1349">
        <v>0</v>
      </c>
      <c r="H24" s="1349"/>
    </row>
    <row r="25" spans="1:8" x14ac:dyDescent="0.25">
      <c r="A25" s="1326" t="s">
        <v>1137</v>
      </c>
      <c r="B25" s="1328"/>
      <c r="C25" s="438"/>
      <c r="D25" s="425">
        <v>0</v>
      </c>
      <c r="E25" s="425">
        <v>0</v>
      </c>
      <c r="F25" s="476">
        <v>0</v>
      </c>
      <c r="G25" s="1349">
        <v>0</v>
      </c>
      <c r="H25" s="1349"/>
    </row>
    <row r="26" spans="1:8" x14ac:dyDescent="0.25">
      <c r="A26" s="1350" t="s">
        <v>1138</v>
      </c>
      <c r="B26" s="1351"/>
      <c r="C26" s="438"/>
      <c r="D26" s="425">
        <v>0</v>
      </c>
      <c r="E26" s="425">
        <v>0</v>
      </c>
      <c r="F26" s="476">
        <v>0</v>
      </c>
      <c r="G26" s="1349">
        <v>0</v>
      </c>
      <c r="H26" s="1349"/>
    </row>
    <row r="27" spans="1:8" x14ac:dyDescent="0.25">
      <c r="A27" s="1345" t="s">
        <v>1139</v>
      </c>
      <c r="B27" s="1346"/>
      <c r="C27" s="477"/>
      <c r="D27" s="429">
        <v>0</v>
      </c>
      <c r="E27" s="429">
        <v>0</v>
      </c>
      <c r="F27" s="478">
        <v>0</v>
      </c>
      <c r="G27" s="1347">
        <v>0</v>
      </c>
      <c r="H27" s="1347"/>
    </row>
    <row r="28" spans="1:8" ht="14.45" customHeight="1" x14ac:dyDescent="0.25">
      <c r="A28" s="1345" t="s">
        <v>537</v>
      </c>
      <c r="B28" s="1346"/>
      <c r="C28" s="477"/>
      <c r="D28" s="429">
        <v>0</v>
      </c>
      <c r="E28" s="429">
        <v>0</v>
      </c>
      <c r="F28" s="478">
        <v>0</v>
      </c>
      <c r="G28" s="1347">
        <v>0</v>
      </c>
      <c r="H28" s="1347"/>
    </row>
    <row r="29" spans="1:8" x14ac:dyDescent="0.25">
      <c r="A29" s="241" t="s">
        <v>908</v>
      </c>
      <c r="B29" s="241"/>
      <c r="C29" s="241"/>
      <c r="D29" s="241"/>
      <c r="E29" s="241"/>
      <c r="F29" s="241"/>
      <c r="G29" s="241"/>
      <c r="H29" s="241"/>
    </row>
    <row r="30" spans="1:8" x14ac:dyDescent="0.25">
      <c r="A30" s="1348"/>
      <c r="B30" s="1348"/>
      <c r="C30" s="1348"/>
      <c r="D30" s="1348"/>
      <c r="E30" s="1348"/>
      <c r="F30" s="1348"/>
      <c r="G30" s="1348"/>
      <c r="H30" s="1348"/>
    </row>
    <row r="31" spans="1:8" x14ac:dyDescent="0.25">
      <c r="A31" s="1348"/>
      <c r="B31" s="1348"/>
      <c r="C31" s="1348"/>
      <c r="D31" s="1348"/>
      <c r="E31" s="1348"/>
      <c r="F31" s="1348"/>
      <c r="G31" s="1348"/>
      <c r="H31" s="1348"/>
    </row>
    <row r="32" spans="1:8" x14ac:dyDescent="0.25">
      <c r="A32" s="1348"/>
      <c r="B32" s="1348"/>
      <c r="C32" s="1348"/>
      <c r="D32" s="1348"/>
      <c r="E32" s="1348"/>
      <c r="F32" s="1348"/>
      <c r="G32" s="1348"/>
      <c r="H32" s="1348"/>
    </row>
    <row r="33" spans="1:8" x14ac:dyDescent="0.25">
      <c r="A33" s="1348"/>
      <c r="B33" s="1348"/>
      <c r="C33" s="1348"/>
      <c r="D33" s="1348"/>
      <c r="E33" s="1348"/>
      <c r="F33" s="1348"/>
      <c r="G33" s="1348"/>
      <c r="H33" s="1348"/>
    </row>
    <row r="34" spans="1:8" x14ac:dyDescent="0.25">
      <c r="A34" s="1348"/>
      <c r="B34" s="1348"/>
      <c r="C34" s="1348"/>
      <c r="D34" s="1348"/>
      <c r="E34" s="1348"/>
      <c r="F34" s="1348"/>
      <c r="G34" s="1348"/>
      <c r="H34" s="1348"/>
    </row>
    <row r="35" spans="1:8" x14ac:dyDescent="0.25">
      <c r="A35" s="1348"/>
      <c r="B35" s="1348"/>
      <c r="C35" s="1348"/>
      <c r="D35" s="1348"/>
      <c r="E35" s="1348"/>
      <c r="F35" s="1348"/>
      <c r="G35" s="1348"/>
      <c r="H35" s="1348"/>
    </row>
  </sheetData>
  <mergeCells count="45">
    <mergeCell ref="C5:H5"/>
    <mergeCell ref="A2:B2"/>
    <mergeCell ref="C2:H2"/>
    <mergeCell ref="A3:B3"/>
    <mergeCell ref="C3:H3"/>
    <mergeCell ref="C4:H4"/>
    <mergeCell ref="A16:B17"/>
    <mergeCell ref="C16:C17"/>
    <mergeCell ref="F16:H16"/>
    <mergeCell ref="G17:H17"/>
    <mergeCell ref="C6:D6"/>
    <mergeCell ref="C7:D7"/>
    <mergeCell ref="C8:H8"/>
    <mergeCell ref="C9:H9"/>
    <mergeCell ref="C10:D10"/>
    <mergeCell ref="E10:F10"/>
    <mergeCell ref="G10:H10"/>
    <mergeCell ref="C11:D11"/>
    <mergeCell ref="E11:F11"/>
    <mergeCell ref="G11:H11"/>
    <mergeCell ref="A13:H13"/>
    <mergeCell ref="A14:H14"/>
    <mergeCell ref="A18:B18"/>
    <mergeCell ref="G18:H18"/>
    <mergeCell ref="A19:B19"/>
    <mergeCell ref="G19:H19"/>
    <mergeCell ref="A20:B20"/>
    <mergeCell ref="G20:H20"/>
    <mergeCell ref="A21:B21"/>
    <mergeCell ref="G21:H21"/>
    <mergeCell ref="A22:B22"/>
    <mergeCell ref="G22:H22"/>
    <mergeCell ref="A23:B23"/>
    <mergeCell ref="G23:H23"/>
    <mergeCell ref="A24:B24"/>
    <mergeCell ref="G24:H24"/>
    <mergeCell ref="A25:B25"/>
    <mergeCell ref="G25:H25"/>
    <mergeCell ref="A26:B26"/>
    <mergeCell ref="G26:H26"/>
    <mergeCell ref="A27:B27"/>
    <mergeCell ref="G27:H27"/>
    <mergeCell ref="A28:B28"/>
    <mergeCell ref="G28:H28"/>
    <mergeCell ref="A30:H35"/>
  </mergeCells>
  <pageMargins left="0.7" right="0.7" top="0.75" bottom="0.75" header="0.3" footer="0.3"/>
  <drawing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CD9399-0332-44E1-B2DD-5A4A10FC6506}">
  <dimension ref="A2:I46"/>
  <sheetViews>
    <sheetView workbookViewId="0">
      <selection activeCell="D12" sqref="A1:XFD1048576"/>
    </sheetView>
  </sheetViews>
  <sheetFormatPr baseColWidth="10" defaultRowHeight="15" x14ac:dyDescent="0.25"/>
  <cols>
    <col min="1" max="1" width="43.7109375" customWidth="1"/>
    <col min="2" max="2" width="5.85546875" customWidth="1"/>
    <col min="3" max="3" width="16.28515625" customWidth="1"/>
    <col min="4" max="4" width="21.5703125" customWidth="1"/>
    <col min="5" max="5" width="18.28515625" customWidth="1"/>
    <col min="6" max="6" width="14" customWidth="1"/>
    <col min="7" max="9" width="17.5703125" customWidth="1"/>
  </cols>
  <sheetData>
    <row r="2" spans="1:9" x14ac:dyDescent="0.25">
      <c r="A2" s="237" t="s">
        <v>464</v>
      </c>
      <c r="B2" s="958" t="s">
        <v>2</v>
      </c>
      <c r="C2" s="958"/>
      <c r="D2" s="958"/>
      <c r="E2" s="958"/>
      <c r="F2" s="958"/>
      <c r="G2" s="958"/>
      <c r="H2" s="958"/>
      <c r="I2" s="958"/>
    </row>
    <row r="3" spans="1:9" x14ac:dyDescent="0.25">
      <c r="A3" s="237"/>
      <c r="B3" s="957" t="s">
        <v>4</v>
      </c>
      <c r="C3" s="957"/>
      <c r="D3" s="957"/>
      <c r="E3" s="957"/>
      <c r="F3" s="957"/>
      <c r="G3" s="957"/>
      <c r="H3" s="957"/>
      <c r="I3" s="957"/>
    </row>
    <row r="4" spans="1:9" x14ac:dyDescent="0.25">
      <c r="A4" s="237" t="s">
        <v>362</v>
      </c>
      <c r="B4" s="957" t="s">
        <v>6</v>
      </c>
      <c r="C4" s="957"/>
      <c r="D4" s="957"/>
      <c r="E4" s="957"/>
      <c r="F4" s="957"/>
      <c r="G4" s="957"/>
      <c r="H4" s="957"/>
      <c r="I4" s="957"/>
    </row>
    <row r="5" spans="1:9" x14ac:dyDescent="0.25">
      <c r="A5" s="237" t="s">
        <v>363</v>
      </c>
      <c r="B5" s="957">
        <v>4431</v>
      </c>
      <c r="C5" s="957"/>
      <c r="D5" s="957"/>
      <c r="E5" s="957"/>
      <c r="F5" s="957"/>
      <c r="G5" s="957"/>
      <c r="H5" s="957"/>
      <c r="I5" s="957"/>
    </row>
    <row r="6" spans="1:9" x14ac:dyDescent="0.25">
      <c r="A6" s="237" t="s">
        <v>364</v>
      </c>
      <c r="B6" s="957" t="s">
        <v>12</v>
      </c>
      <c r="C6" s="957"/>
      <c r="D6" s="959" t="s">
        <v>365</v>
      </c>
      <c r="E6" s="959"/>
      <c r="F6" s="309">
        <v>46022</v>
      </c>
      <c r="G6" s="959" t="s">
        <v>465</v>
      </c>
      <c r="H6" s="959"/>
      <c r="I6" s="235">
        <v>12</v>
      </c>
    </row>
    <row r="7" spans="1:9" x14ac:dyDescent="0.25">
      <c r="A7" s="311" t="s">
        <v>367</v>
      </c>
      <c r="B7" s="958" t="s">
        <v>8</v>
      </c>
      <c r="C7" s="958"/>
      <c r="D7" s="958"/>
      <c r="E7" s="199"/>
      <c r="F7" s="199"/>
      <c r="G7" s="199"/>
      <c r="H7" s="199"/>
      <c r="I7" s="196"/>
    </row>
    <row r="8" spans="1:9" x14ac:dyDescent="0.25">
      <c r="A8" s="238" t="s">
        <v>466</v>
      </c>
      <c r="B8" s="958" t="s">
        <v>34</v>
      </c>
      <c r="C8" s="958"/>
      <c r="D8" s="958"/>
      <c r="E8" s="958"/>
      <c r="F8" s="958"/>
      <c r="G8" s="958"/>
      <c r="H8" s="958"/>
      <c r="I8" s="958"/>
    </row>
    <row r="9" spans="1:9" x14ac:dyDescent="0.25">
      <c r="A9" s="238"/>
      <c r="B9" s="957">
        <v>555555</v>
      </c>
      <c r="C9" s="957"/>
      <c r="D9" s="957"/>
      <c r="E9" s="957"/>
      <c r="F9" s="957"/>
      <c r="G9" s="957"/>
      <c r="H9" s="957"/>
      <c r="I9" s="957"/>
    </row>
    <row r="10" spans="1:9" x14ac:dyDescent="0.25">
      <c r="A10" s="238" t="s">
        <v>467</v>
      </c>
      <c r="B10" s="957" t="s">
        <v>38</v>
      </c>
      <c r="C10" s="957"/>
      <c r="D10" s="957"/>
      <c r="E10" s="959" t="s">
        <v>468</v>
      </c>
      <c r="F10" s="959"/>
      <c r="G10" s="957" t="s">
        <v>36</v>
      </c>
      <c r="H10" s="957"/>
      <c r="I10" s="957"/>
    </row>
    <row r="11" spans="1:9" x14ac:dyDescent="0.25">
      <c r="A11" s="238" t="s">
        <v>469</v>
      </c>
      <c r="B11" s="954">
        <v>44713</v>
      </c>
      <c r="C11" s="954"/>
      <c r="D11" s="954"/>
      <c r="E11" s="975" t="s">
        <v>470</v>
      </c>
      <c r="F11" s="975"/>
      <c r="G11" s="954">
        <v>45991</v>
      </c>
      <c r="H11" s="954"/>
      <c r="I11" s="954"/>
    </row>
    <row r="12" spans="1:9" ht="7.15" customHeight="1" x14ac:dyDescent="0.25"/>
    <row r="13" spans="1:9" x14ac:dyDescent="0.25">
      <c r="A13" s="788" t="s">
        <v>1140</v>
      </c>
      <c r="B13" s="788"/>
      <c r="C13" s="788"/>
      <c r="D13" s="788"/>
      <c r="E13" s="788"/>
      <c r="F13" s="788"/>
      <c r="G13" s="788"/>
      <c r="H13" s="788"/>
      <c r="I13" s="788"/>
    </row>
    <row r="14" spans="1:9" x14ac:dyDescent="0.25">
      <c r="A14" s="788" t="s">
        <v>1141</v>
      </c>
      <c r="B14" s="788"/>
      <c r="C14" s="788"/>
      <c r="D14" s="788"/>
      <c r="E14" s="788"/>
      <c r="F14" s="788"/>
      <c r="G14" s="788"/>
      <c r="H14" s="788"/>
      <c r="I14" s="788"/>
    </row>
    <row r="15" spans="1:9" ht="7.9" customHeight="1" x14ac:dyDescent="0.25">
      <c r="A15" s="315"/>
      <c r="B15" s="315"/>
      <c r="C15" s="315"/>
      <c r="D15" s="315"/>
      <c r="E15" s="315"/>
      <c r="F15" s="315"/>
      <c r="G15" s="315"/>
      <c r="H15" s="315"/>
      <c r="I15" s="315"/>
    </row>
    <row r="16" spans="1:9" ht="14.45" customHeight="1" x14ac:dyDescent="0.25">
      <c r="A16" s="1285" t="s">
        <v>988</v>
      </c>
      <c r="B16" s="1287" t="s">
        <v>989</v>
      </c>
      <c r="C16" s="1288"/>
      <c r="D16" s="415" t="s">
        <v>989</v>
      </c>
      <c r="E16" s="1282" t="s">
        <v>1056</v>
      </c>
      <c r="F16" s="1282"/>
      <c r="G16" s="1282" t="s">
        <v>1142</v>
      </c>
      <c r="H16" s="1282" t="s">
        <v>1143</v>
      </c>
      <c r="I16" s="1282" t="s">
        <v>1144</v>
      </c>
    </row>
    <row r="17" spans="1:9" ht="26.45" customHeight="1" x14ac:dyDescent="0.25">
      <c r="A17" s="1286"/>
      <c r="B17" s="1283">
        <v>46022</v>
      </c>
      <c r="C17" s="1284"/>
      <c r="D17" s="417">
        <v>46022</v>
      </c>
      <c r="E17" s="416" t="s">
        <v>1009</v>
      </c>
      <c r="F17" s="416" t="s">
        <v>1034</v>
      </c>
      <c r="G17" s="1282"/>
      <c r="H17" s="1282"/>
      <c r="I17" s="1282"/>
    </row>
    <row r="18" spans="1:9" x14ac:dyDescent="0.25">
      <c r="A18" s="438" t="s">
        <v>821</v>
      </c>
      <c r="B18" s="1292">
        <v>0</v>
      </c>
      <c r="C18" s="1292"/>
      <c r="D18" s="425">
        <v>0</v>
      </c>
      <c r="E18" s="425">
        <v>0</v>
      </c>
      <c r="F18" s="427">
        <v>0</v>
      </c>
      <c r="G18" s="448"/>
      <c r="H18" s="448"/>
      <c r="I18" s="448"/>
    </row>
    <row r="19" spans="1:9" ht="25.5" x14ac:dyDescent="0.25">
      <c r="A19" s="441" t="s">
        <v>1145</v>
      </c>
      <c r="B19" s="1292">
        <v>0</v>
      </c>
      <c r="C19" s="1292"/>
      <c r="D19" s="425">
        <v>0</v>
      </c>
      <c r="E19" s="425">
        <v>0</v>
      </c>
      <c r="F19" s="427">
        <v>0</v>
      </c>
      <c r="G19" s="448"/>
      <c r="H19" s="448"/>
      <c r="I19" s="448"/>
    </row>
    <row r="20" spans="1:9" x14ac:dyDescent="0.25">
      <c r="A20" s="441" t="s">
        <v>1146</v>
      </c>
      <c r="B20" s="1292">
        <v>0</v>
      </c>
      <c r="C20" s="1292"/>
      <c r="D20" s="425">
        <v>0</v>
      </c>
      <c r="E20" s="425">
        <v>0</v>
      </c>
      <c r="F20" s="427">
        <v>0</v>
      </c>
      <c r="G20" s="448"/>
      <c r="H20" s="448"/>
      <c r="I20" s="448"/>
    </row>
    <row r="21" spans="1:9" x14ac:dyDescent="0.25">
      <c r="A21" s="408" t="s">
        <v>1147</v>
      </c>
      <c r="B21" s="1292">
        <v>0</v>
      </c>
      <c r="C21" s="1292"/>
      <c r="D21" s="425">
        <v>0</v>
      </c>
      <c r="E21" s="425">
        <v>0</v>
      </c>
      <c r="F21" s="427">
        <v>0</v>
      </c>
      <c r="G21" s="448"/>
      <c r="H21" s="448"/>
      <c r="I21" s="448"/>
    </row>
    <row r="22" spans="1:9" x14ac:dyDescent="0.25">
      <c r="A22" s="441" t="s">
        <v>1148</v>
      </c>
      <c r="B22" s="1292">
        <v>0</v>
      </c>
      <c r="C22" s="1292"/>
      <c r="D22" s="425">
        <v>0</v>
      </c>
      <c r="E22" s="425">
        <v>0</v>
      </c>
      <c r="F22" s="427">
        <v>0</v>
      </c>
      <c r="G22" s="448"/>
      <c r="H22" s="448"/>
      <c r="I22" s="448"/>
    </row>
    <row r="23" spans="1:9" x14ac:dyDescent="0.25">
      <c r="A23" s="449" t="s">
        <v>1149</v>
      </c>
      <c r="B23" s="1293">
        <v>0</v>
      </c>
      <c r="C23" s="1294"/>
      <c r="D23" s="425">
        <v>0</v>
      </c>
      <c r="E23" s="425">
        <v>0</v>
      </c>
      <c r="F23" s="427">
        <v>0</v>
      </c>
      <c r="G23" s="448"/>
      <c r="H23" s="448"/>
      <c r="I23" s="448"/>
    </row>
    <row r="24" spans="1:9" x14ac:dyDescent="0.25">
      <c r="A24" s="420" t="s">
        <v>1150</v>
      </c>
      <c r="B24" s="1290">
        <v>0</v>
      </c>
      <c r="C24" s="1290"/>
      <c r="D24" s="429">
        <v>0</v>
      </c>
      <c r="E24" s="429">
        <v>0</v>
      </c>
      <c r="F24" s="431">
        <v>0</v>
      </c>
      <c r="G24" s="450">
        <f>SUM(G18:G23)</f>
        <v>0</v>
      </c>
      <c r="H24" s="450">
        <f>SUM(H18:H23)</f>
        <v>0</v>
      </c>
      <c r="I24" s="450">
        <f>SUM(I18:I23)</f>
        <v>0</v>
      </c>
    </row>
    <row r="25" spans="1:9" x14ac:dyDescent="0.25">
      <c r="A25" s="408" t="s">
        <v>1151</v>
      </c>
      <c r="B25" s="1292">
        <v>0</v>
      </c>
      <c r="C25" s="1292"/>
      <c r="D25" s="425">
        <v>0</v>
      </c>
      <c r="E25" s="425">
        <v>0</v>
      </c>
      <c r="F25" s="427">
        <v>0</v>
      </c>
      <c r="G25" s="448"/>
      <c r="H25" s="448"/>
      <c r="I25" s="448"/>
    </row>
    <row r="26" spans="1:9" x14ac:dyDescent="0.25">
      <c r="A26" s="408" t="s">
        <v>1152</v>
      </c>
      <c r="B26" s="1293">
        <v>0</v>
      </c>
      <c r="C26" s="1294"/>
      <c r="D26" s="425">
        <v>0</v>
      </c>
      <c r="E26" s="425">
        <v>0</v>
      </c>
      <c r="F26" s="427">
        <v>0</v>
      </c>
      <c r="G26" s="448"/>
      <c r="H26" s="448"/>
      <c r="I26" s="448"/>
    </row>
    <row r="27" spans="1:9" x14ac:dyDescent="0.25">
      <c r="A27" s="408" t="s">
        <v>1153</v>
      </c>
      <c r="B27" s="1293">
        <v>0</v>
      </c>
      <c r="C27" s="1294"/>
      <c r="D27" s="425">
        <v>0</v>
      </c>
      <c r="E27" s="425">
        <v>0</v>
      </c>
      <c r="F27" s="427">
        <v>0</v>
      </c>
      <c r="G27" s="448"/>
      <c r="H27" s="448"/>
      <c r="I27" s="448"/>
    </row>
    <row r="28" spans="1:9" x14ac:dyDescent="0.25">
      <c r="A28" s="408" t="s">
        <v>1148</v>
      </c>
      <c r="B28" s="1293">
        <v>0</v>
      </c>
      <c r="C28" s="1294"/>
      <c r="D28" s="425">
        <v>0</v>
      </c>
      <c r="E28" s="425">
        <v>0</v>
      </c>
      <c r="F28" s="427">
        <v>0</v>
      </c>
      <c r="G28" s="448"/>
      <c r="H28" s="448"/>
      <c r="I28" s="448"/>
    </row>
    <row r="29" spans="1:9" x14ac:dyDescent="0.25">
      <c r="A29" s="408" t="s">
        <v>1154</v>
      </c>
      <c r="B29" s="1293">
        <v>0</v>
      </c>
      <c r="C29" s="1294"/>
      <c r="D29" s="425">
        <v>0</v>
      </c>
      <c r="E29" s="425">
        <v>0</v>
      </c>
      <c r="F29" s="427">
        <v>0</v>
      </c>
      <c r="G29" s="448"/>
      <c r="H29" s="448"/>
      <c r="I29" s="448"/>
    </row>
    <row r="30" spans="1:9" x14ac:dyDescent="0.25">
      <c r="A30" s="420" t="s">
        <v>1155</v>
      </c>
      <c r="B30" s="1290">
        <v>0</v>
      </c>
      <c r="C30" s="1290"/>
      <c r="D30" s="429">
        <v>0</v>
      </c>
      <c r="E30" s="429">
        <v>0</v>
      </c>
      <c r="F30" s="431">
        <v>0</v>
      </c>
      <c r="G30" s="450">
        <f>SUM(G25:G29)</f>
        <v>0</v>
      </c>
      <c r="H30" s="450">
        <f>SUM(H25:H29)</f>
        <v>0</v>
      </c>
      <c r="I30" s="450">
        <f>SUM(I25:I29)</f>
        <v>0</v>
      </c>
    </row>
    <row r="31" spans="1:9" x14ac:dyDescent="0.25">
      <c r="A31" s="408" t="s">
        <v>1156</v>
      </c>
      <c r="B31" s="1293">
        <v>0</v>
      </c>
      <c r="C31" s="1294"/>
      <c r="D31" s="425">
        <v>0</v>
      </c>
      <c r="E31" s="425">
        <v>0</v>
      </c>
      <c r="F31" s="427">
        <v>0</v>
      </c>
      <c r="G31" s="448"/>
      <c r="H31" s="1355"/>
      <c r="I31" s="1356"/>
    </row>
    <row r="32" spans="1:9" x14ac:dyDescent="0.25">
      <c r="A32" s="408" t="s">
        <v>1157</v>
      </c>
      <c r="B32" s="1293">
        <v>0</v>
      </c>
      <c r="C32" s="1294"/>
      <c r="D32" s="425">
        <v>0</v>
      </c>
      <c r="E32" s="425">
        <v>0</v>
      </c>
      <c r="F32" s="427">
        <v>0</v>
      </c>
      <c r="G32" s="448"/>
      <c r="H32" s="1357"/>
      <c r="I32" s="1358"/>
    </row>
    <row r="33" spans="1:9" x14ac:dyDescent="0.25">
      <c r="A33" s="408" t="s">
        <v>1158</v>
      </c>
      <c r="B33" s="1293">
        <v>0</v>
      </c>
      <c r="C33" s="1294"/>
      <c r="D33" s="425">
        <v>0</v>
      </c>
      <c r="E33" s="425">
        <v>0</v>
      </c>
      <c r="F33" s="427">
        <v>0</v>
      </c>
      <c r="G33" s="448"/>
      <c r="H33" s="1357"/>
      <c r="I33" s="1358"/>
    </row>
    <row r="34" spans="1:9" x14ac:dyDescent="0.25">
      <c r="A34" s="408" t="s">
        <v>1159</v>
      </c>
      <c r="B34" s="1293">
        <v>0</v>
      </c>
      <c r="C34" s="1294"/>
      <c r="D34" s="425">
        <v>0</v>
      </c>
      <c r="E34" s="425">
        <v>0</v>
      </c>
      <c r="F34" s="427">
        <v>0</v>
      </c>
      <c r="G34" s="448"/>
      <c r="H34" s="1357"/>
      <c r="I34" s="1358"/>
    </row>
    <row r="35" spans="1:9" ht="15.75" x14ac:dyDescent="0.25">
      <c r="A35" s="408" t="s">
        <v>1160</v>
      </c>
      <c r="B35" s="1293">
        <v>0</v>
      </c>
      <c r="C35" s="1294"/>
      <c r="D35" s="425">
        <v>0</v>
      </c>
      <c r="E35" s="425">
        <v>0</v>
      </c>
      <c r="F35" s="427">
        <v>0</v>
      </c>
      <c r="G35" s="448"/>
      <c r="H35" s="1357"/>
      <c r="I35" s="1358"/>
    </row>
    <row r="36" spans="1:9" x14ac:dyDescent="0.25">
      <c r="A36" s="438" t="s">
        <v>1161</v>
      </c>
      <c r="B36" s="1293">
        <v>0</v>
      </c>
      <c r="C36" s="1294"/>
      <c r="D36" s="425">
        <v>0</v>
      </c>
      <c r="E36" s="425">
        <v>0</v>
      </c>
      <c r="F36" s="427">
        <v>0</v>
      </c>
      <c r="G36" s="448"/>
      <c r="H36" s="1357"/>
      <c r="I36" s="1358"/>
    </row>
    <row r="37" spans="1:9" x14ac:dyDescent="0.25">
      <c r="A37" s="420" t="s">
        <v>1162</v>
      </c>
      <c r="B37" s="1353">
        <v>0</v>
      </c>
      <c r="C37" s="1354"/>
      <c r="D37" s="429">
        <v>0</v>
      </c>
      <c r="E37" s="429">
        <v>0</v>
      </c>
      <c r="F37" s="431">
        <v>0</v>
      </c>
      <c r="G37" s="450">
        <f>SUM(G31:G36)</f>
        <v>0</v>
      </c>
      <c r="H37" s="1359"/>
      <c r="I37" s="1360"/>
    </row>
    <row r="38" spans="1:9" ht="7.15" customHeight="1" x14ac:dyDescent="0.25">
      <c r="A38" s="241"/>
      <c r="B38" s="241"/>
      <c r="C38" s="241"/>
      <c r="D38" s="241"/>
      <c r="E38" s="241"/>
      <c r="F38" s="241"/>
      <c r="G38" s="241"/>
      <c r="H38" s="241"/>
      <c r="I38" s="241"/>
    </row>
    <row r="39" spans="1:9" x14ac:dyDescent="0.25">
      <c r="A39" s="263" t="s">
        <v>1163</v>
      </c>
      <c r="B39" s="241"/>
      <c r="C39" s="241"/>
      <c r="D39" s="241"/>
      <c r="E39" s="241"/>
      <c r="F39" s="241"/>
      <c r="G39" s="241"/>
      <c r="H39" s="241"/>
      <c r="I39" s="241"/>
    </row>
    <row r="40" spans="1:9" x14ac:dyDescent="0.25">
      <c r="A40" s="241" t="s">
        <v>908</v>
      </c>
      <c r="B40" s="241"/>
      <c r="C40" s="241"/>
      <c r="D40" s="241"/>
      <c r="E40" s="241"/>
      <c r="F40" s="241"/>
      <c r="G40" s="241"/>
      <c r="H40" s="241"/>
      <c r="I40" s="241"/>
    </row>
    <row r="41" spans="1:9" x14ac:dyDescent="0.25">
      <c r="A41" s="1348"/>
      <c r="B41" s="1348"/>
      <c r="C41" s="1348"/>
      <c r="D41" s="1348"/>
      <c r="E41" s="1348"/>
      <c r="F41" s="1348"/>
      <c r="G41" s="1348"/>
      <c r="H41" s="1348"/>
      <c r="I41" s="1348"/>
    </row>
    <row r="42" spans="1:9" x14ac:dyDescent="0.25">
      <c r="A42" s="1348"/>
      <c r="B42" s="1348"/>
      <c r="C42" s="1348"/>
      <c r="D42" s="1348"/>
      <c r="E42" s="1348"/>
      <c r="F42" s="1348"/>
      <c r="G42" s="1348"/>
      <c r="H42" s="1348"/>
      <c r="I42" s="1348"/>
    </row>
    <row r="43" spans="1:9" x14ac:dyDescent="0.25">
      <c r="A43" s="1348"/>
      <c r="B43" s="1348"/>
      <c r="C43" s="1348"/>
      <c r="D43" s="1348"/>
      <c r="E43" s="1348"/>
      <c r="F43" s="1348"/>
      <c r="G43" s="1348"/>
      <c r="H43" s="1348"/>
      <c r="I43" s="1348"/>
    </row>
    <row r="44" spans="1:9" x14ac:dyDescent="0.25">
      <c r="A44" s="1348"/>
      <c r="B44" s="1348"/>
      <c r="C44" s="1348"/>
      <c r="D44" s="1348"/>
      <c r="E44" s="1348"/>
      <c r="F44" s="1348"/>
      <c r="G44" s="1348"/>
      <c r="H44" s="1348"/>
      <c r="I44" s="1348"/>
    </row>
    <row r="45" spans="1:9" x14ac:dyDescent="0.25">
      <c r="A45" s="1348"/>
      <c r="B45" s="1348"/>
      <c r="C45" s="1348"/>
      <c r="D45" s="1348"/>
      <c r="E45" s="1348"/>
      <c r="F45" s="1348"/>
      <c r="G45" s="1348"/>
      <c r="H45" s="1348"/>
      <c r="I45" s="1348"/>
    </row>
    <row r="46" spans="1:9" x14ac:dyDescent="0.25">
      <c r="A46" s="1348"/>
      <c r="B46" s="1348"/>
      <c r="C46" s="1348"/>
      <c r="D46" s="1348"/>
      <c r="E46" s="1348"/>
      <c r="F46" s="1348"/>
      <c r="G46" s="1348"/>
      <c r="H46" s="1348"/>
      <c r="I46" s="1348"/>
    </row>
  </sheetData>
  <mergeCells count="47">
    <mergeCell ref="B2:I2"/>
    <mergeCell ref="B3:I3"/>
    <mergeCell ref="B4:I4"/>
    <mergeCell ref="B5:I5"/>
    <mergeCell ref="B6:C6"/>
    <mergeCell ref="D6:E6"/>
    <mergeCell ref="G6:H6"/>
    <mergeCell ref="B7:D7"/>
    <mergeCell ref="B8:I8"/>
    <mergeCell ref="B9:I9"/>
    <mergeCell ref="B10:D10"/>
    <mergeCell ref="E10:F10"/>
    <mergeCell ref="G10:I10"/>
    <mergeCell ref="A16:A17"/>
    <mergeCell ref="B16:C16"/>
    <mergeCell ref="E16:F16"/>
    <mergeCell ref="G16:G17"/>
    <mergeCell ref="H16:H17"/>
    <mergeCell ref="B11:D11"/>
    <mergeCell ref="E11:F11"/>
    <mergeCell ref="G11:I11"/>
    <mergeCell ref="A13:I13"/>
    <mergeCell ref="A14:I14"/>
    <mergeCell ref="B27:C27"/>
    <mergeCell ref="I16:I17"/>
    <mergeCell ref="B17:C17"/>
    <mergeCell ref="B18:C18"/>
    <mergeCell ref="B19:C19"/>
    <mergeCell ref="B20:C20"/>
    <mergeCell ref="B21:C21"/>
    <mergeCell ref="B22:C22"/>
    <mergeCell ref="B23:C23"/>
    <mergeCell ref="B24:C24"/>
    <mergeCell ref="B25:C25"/>
    <mergeCell ref="B26:C26"/>
    <mergeCell ref="B37:C37"/>
    <mergeCell ref="A41:I46"/>
    <mergeCell ref="B28:C28"/>
    <mergeCell ref="B29:C29"/>
    <mergeCell ref="B30:C30"/>
    <mergeCell ref="B31:C31"/>
    <mergeCell ref="H31:I37"/>
    <mergeCell ref="B32:C32"/>
    <mergeCell ref="B33:C33"/>
    <mergeCell ref="B34:C34"/>
    <mergeCell ref="B35:C35"/>
    <mergeCell ref="B36:C36"/>
  </mergeCells>
  <pageMargins left="0.7" right="0.7" top="0.75" bottom="0.75" header="0.3" footer="0.3"/>
  <drawing r:id="rId1"/>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4D36ED-DA3E-4D40-A13E-DA497C226A15}">
  <dimension ref="A2:H53"/>
  <sheetViews>
    <sheetView workbookViewId="0">
      <selection sqref="A1:XFD1048576"/>
    </sheetView>
  </sheetViews>
  <sheetFormatPr baseColWidth="10" defaultRowHeight="15" x14ac:dyDescent="0.25"/>
  <cols>
    <col min="1" max="1" width="33.5703125" customWidth="1"/>
    <col min="2" max="2" width="5.85546875" customWidth="1"/>
    <col min="3" max="3" width="16.28515625" customWidth="1"/>
    <col min="4" max="4" width="21.5703125" customWidth="1"/>
    <col min="5" max="5" width="12.85546875" customWidth="1"/>
    <col min="6" max="6" width="14" customWidth="1"/>
    <col min="7" max="7" width="17.5703125" customWidth="1"/>
    <col min="8" max="8" width="9.28515625" customWidth="1"/>
    <col min="9" max="9" width="17" customWidth="1"/>
    <col min="10" max="10" width="17.85546875" customWidth="1"/>
  </cols>
  <sheetData>
    <row r="2" spans="1:8" x14ac:dyDescent="0.25">
      <c r="A2" s="198" t="s">
        <v>464</v>
      </c>
      <c r="B2" s="958" t="s">
        <v>2</v>
      </c>
      <c r="C2" s="958"/>
      <c r="D2" s="958"/>
      <c r="E2" s="958"/>
      <c r="F2" s="958"/>
      <c r="G2" s="958"/>
      <c r="H2" s="958"/>
    </row>
    <row r="3" spans="1:8" x14ac:dyDescent="0.25">
      <c r="A3" s="198"/>
      <c r="B3" s="957" t="s">
        <v>4</v>
      </c>
      <c r="C3" s="957"/>
      <c r="D3" s="957"/>
      <c r="E3" s="957"/>
      <c r="F3" s="957"/>
      <c r="G3" s="957"/>
      <c r="H3" s="957"/>
    </row>
    <row r="4" spans="1:8" x14ac:dyDescent="0.25">
      <c r="A4" s="198" t="s">
        <v>362</v>
      </c>
      <c r="B4" s="957" t="s">
        <v>6</v>
      </c>
      <c r="C4" s="957"/>
      <c r="D4" s="957"/>
      <c r="E4" s="957"/>
      <c r="F4" s="957"/>
      <c r="G4" s="957"/>
      <c r="H4" s="957"/>
    </row>
    <row r="5" spans="1:8" x14ac:dyDescent="0.25">
      <c r="A5" s="198" t="s">
        <v>363</v>
      </c>
      <c r="B5" s="957">
        <v>4431</v>
      </c>
      <c r="C5" s="957"/>
      <c r="D5" s="957"/>
      <c r="E5" s="957"/>
      <c r="F5" s="957"/>
      <c r="G5" s="957"/>
      <c r="H5" s="957"/>
    </row>
    <row r="6" spans="1:8" x14ac:dyDescent="0.25">
      <c r="A6" s="198" t="s">
        <v>364</v>
      </c>
      <c r="B6" s="957" t="s">
        <v>12</v>
      </c>
      <c r="C6" s="957"/>
      <c r="D6" s="959" t="s">
        <v>365</v>
      </c>
      <c r="E6" s="959"/>
      <c r="F6" s="309">
        <v>46022</v>
      </c>
      <c r="G6" s="46" t="s">
        <v>465</v>
      </c>
      <c r="H6" s="235">
        <v>12</v>
      </c>
    </row>
    <row r="7" spans="1:8" x14ac:dyDescent="0.25">
      <c r="A7" s="200" t="s">
        <v>367</v>
      </c>
      <c r="B7" s="958" t="s">
        <v>8</v>
      </c>
      <c r="C7" s="958"/>
      <c r="D7" s="958"/>
      <c r="E7" s="199"/>
      <c r="F7" s="199"/>
      <c r="G7" s="199"/>
      <c r="H7" s="199"/>
    </row>
    <row r="8" spans="1:8" x14ac:dyDescent="0.25">
      <c r="A8" s="199" t="s">
        <v>466</v>
      </c>
      <c r="B8" s="958" t="s">
        <v>34</v>
      </c>
      <c r="C8" s="958"/>
      <c r="D8" s="958"/>
      <c r="E8" s="958"/>
      <c r="F8" s="958"/>
      <c r="G8" s="958"/>
      <c r="H8" s="958"/>
    </row>
    <row r="9" spans="1:8" x14ac:dyDescent="0.25">
      <c r="A9" s="199"/>
      <c r="B9" s="957">
        <v>555555</v>
      </c>
      <c r="C9" s="957"/>
      <c r="D9" s="957"/>
      <c r="E9" s="957"/>
      <c r="F9" s="957"/>
      <c r="G9" s="957"/>
      <c r="H9" s="957"/>
    </row>
    <row r="10" spans="1:8" x14ac:dyDescent="0.25">
      <c r="A10" s="199" t="s">
        <v>467</v>
      </c>
      <c r="B10" s="957" t="s">
        <v>38</v>
      </c>
      <c r="C10" s="957"/>
      <c r="D10" s="957"/>
      <c r="E10" s="959" t="s">
        <v>468</v>
      </c>
      <c r="F10" s="959"/>
      <c r="G10" s="957" t="s">
        <v>36</v>
      </c>
      <c r="H10" s="957"/>
    </row>
    <row r="11" spans="1:8" x14ac:dyDescent="0.25">
      <c r="A11" s="199" t="s">
        <v>469</v>
      </c>
      <c r="B11" s="954">
        <v>44713</v>
      </c>
      <c r="C11" s="954"/>
      <c r="D11" s="954"/>
      <c r="E11" s="975" t="s">
        <v>470</v>
      </c>
      <c r="F11" s="975"/>
      <c r="G11" s="954">
        <v>45991</v>
      </c>
      <c r="H11" s="954"/>
    </row>
    <row r="12" spans="1:8" ht="6" customHeight="1" x14ac:dyDescent="0.25"/>
    <row r="13" spans="1:8" x14ac:dyDescent="0.25">
      <c r="A13" s="788" t="s">
        <v>1164</v>
      </c>
      <c r="B13" s="788"/>
      <c r="C13" s="788"/>
      <c r="D13" s="788"/>
      <c r="E13" s="788"/>
      <c r="F13" s="788"/>
      <c r="G13" s="788"/>
      <c r="H13" s="788"/>
    </row>
    <row r="14" spans="1:8" x14ac:dyDescent="0.25">
      <c r="A14" s="788" t="s">
        <v>1165</v>
      </c>
      <c r="B14" s="788"/>
      <c r="C14" s="788"/>
      <c r="D14" s="788"/>
      <c r="E14" s="788"/>
      <c r="F14" s="788"/>
      <c r="G14" s="788"/>
      <c r="H14" s="788"/>
    </row>
    <row r="15" spans="1:8" ht="6" customHeight="1" x14ac:dyDescent="0.25">
      <c r="A15" s="315"/>
      <c r="B15" s="315"/>
      <c r="C15" s="315"/>
      <c r="D15" s="315"/>
      <c r="E15" s="315"/>
      <c r="F15" s="315"/>
      <c r="G15" s="315"/>
      <c r="H15" s="315"/>
    </row>
    <row r="16" spans="1:8" x14ac:dyDescent="0.25">
      <c r="A16" s="1368" t="s">
        <v>988</v>
      </c>
      <c r="B16" s="1369"/>
      <c r="C16" s="1369"/>
      <c r="D16" s="1370"/>
      <c r="E16" s="1374" t="s">
        <v>1166</v>
      </c>
      <c r="F16" s="1374"/>
      <c r="G16" s="1374" t="s">
        <v>1166</v>
      </c>
      <c r="H16" s="1374"/>
    </row>
    <row r="17" spans="1:8" x14ac:dyDescent="0.25">
      <c r="A17" s="1371"/>
      <c r="B17" s="1372"/>
      <c r="C17" s="1372"/>
      <c r="D17" s="1373"/>
      <c r="E17" s="1375">
        <v>46022</v>
      </c>
      <c r="F17" s="1376"/>
      <c r="G17" s="1375">
        <v>46022</v>
      </c>
      <c r="H17" s="1376"/>
    </row>
    <row r="18" spans="1:8" x14ac:dyDescent="0.25">
      <c r="A18" s="1362" t="s">
        <v>1167</v>
      </c>
      <c r="B18" s="1363"/>
      <c r="C18" s="1363"/>
      <c r="D18" s="1363"/>
      <c r="E18" s="1363"/>
      <c r="F18" s="1363"/>
      <c r="G18" s="1363"/>
      <c r="H18" s="1364"/>
    </row>
    <row r="19" spans="1:8" x14ac:dyDescent="0.25">
      <c r="A19" s="1321" t="s">
        <v>1168</v>
      </c>
      <c r="B19" s="1322"/>
      <c r="C19" s="1322"/>
      <c r="D19" s="1323"/>
      <c r="E19" s="1263"/>
      <c r="F19" s="1265"/>
      <c r="G19" s="1366"/>
      <c r="H19" s="1367"/>
    </row>
    <row r="20" spans="1:8" x14ac:dyDescent="0.25">
      <c r="A20" s="1321"/>
      <c r="B20" s="1322"/>
      <c r="C20" s="1322"/>
      <c r="D20" s="1323"/>
      <c r="E20" s="1259"/>
      <c r="F20" s="1268"/>
      <c r="G20" s="1268"/>
      <c r="H20" s="1268"/>
    </row>
    <row r="21" spans="1:8" x14ac:dyDescent="0.25">
      <c r="A21" s="1321"/>
      <c r="B21" s="1322"/>
      <c r="C21" s="1322"/>
      <c r="D21" s="1323"/>
      <c r="E21" s="1365"/>
      <c r="F21" s="1365"/>
      <c r="G21" s="1258"/>
      <c r="H21" s="1259"/>
    </row>
    <row r="22" spans="1:8" x14ac:dyDescent="0.25">
      <c r="A22" s="1321"/>
      <c r="B22" s="1322"/>
      <c r="C22" s="1322"/>
      <c r="D22" s="1323"/>
      <c r="E22" s="1365"/>
      <c r="F22" s="1365"/>
      <c r="G22" s="1258"/>
      <c r="H22" s="1259"/>
    </row>
    <row r="23" spans="1:8" x14ac:dyDescent="0.25">
      <c r="A23" s="1321"/>
      <c r="B23" s="1322"/>
      <c r="C23" s="1322"/>
      <c r="D23" s="1323"/>
      <c r="E23" s="1365"/>
      <c r="F23" s="1365"/>
      <c r="G23" s="1258"/>
      <c r="H23" s="1259"/>
    </row>
    <row r="24" spans="1:8" x14ac:dyDescent="0.25">
      <c r="A24" s="1321"/>
      <c r="B24" s="1322"/>
      <c r="C24" s="1322"/>
      <c r="D24" s="1323"/>
      <c r="E24" s="1365"/>
      <c r="F24" s="1365"/>
      <c r="G24" s="1258"/>
      <c r="H24" s="1259"/>
    </row>
    <row r="25" spans="1:8" x14ac:dyDescent="0.25">
      <c r="A25" s="1321"/>
      <c r="B25" s="1322"/>
      <c r="C25" s="1322"/>
      <c r="D25" s="1323"/>
      <c r="E25" s="1258"/>
      <c r="F25" s="1259"/>
      <c r="G25" s="1258"/>
      <c r="H25" s="1259"/>
    </row>
    <row r="26" spans="1:8" x14ac:dyDescent="0.25">
      <c r="A26" s="1321"/>
      <c r="B26" s="1322"/>
      <c r="C26" s="1322"/>
      <c r="D26" s="1323"/>
      <c r="E26" s="1258"/>
      <c r="F26" s="1259"/>
      <c r="G26" s="1258"/>
      <c r="H26" s="1259"/>
    </row>
    <row r="27" spans="1:8" x14ac:dyDescent="0.25">
      <c r="A27" s="1321"/>
      <c r="B27" s="1322"/>
      <c r="C27" s="1322"/>
      <c r="D27" s="1323"/>
      <c r="E27" s="1258"/>
      <c r="F27" s="1259"/>
      <c r="G27" s="1258"/>
      <c r="H27" s="1259"/>
    </row>
    <row r="28" spans="1:8" x14ac:dyDescent="0.25">
      <c r="A28" s="1321"/>
      <c r="B28" s="1322"/>
      <c r="C28" s="1322"/>
      <c r="D28" s="1323"/>
      <c r="E28" s="1258"/>
      <c r="F28" s="1259"/>
      <c r="G28" s="1258"/>
      <c r="H28" s="1259"/>
    </row>
    <row r="29" spans="1:8" x14ac:dyDescent="0.25">
      <c r="A29" s="1321"/>
      <c r="B29" s="1322"/>
      <c r="C29" s="1322"/>
      <c r="D29" s="1323"/>
      <c r="E29" s="1258"/>
      <c r="F29" s="1259"/>
      <c r="G29" s="1258"/>
      <c r="H29" s="1259"/>
    </row>
    <row r="30" spans="1:8" x14ac:dyDescent="0.25">
      <c r="A30" s="1321"/>
      <c r="B30" s="1322"/>
      <c r="C30" s="1322"/>
      <c r="D30" s="1323"/>
      <c r="E30" s="1258"/>
      <c r="F30" s="1259"/>
      <c r="G30" s="1258"/>
      <c r="H30" s="1259"/>
    </row>
    <row r="31" spans="1:8" x14ac:dyDescent="0.25">
      <c r="A31" s="453"/>
      <c r="B31" s="453"/>
      <c r="C31" s="453"/>
      <c r="D31" s="453"/>
      <c r="E31" s="480"/>
      <c r="F31" s="480"/>
      <c r="G31" s="480"/>
      <c r="H31" s="480"/>
    </row>
    <row r="32" spans="1:8" x14ac:dyDescent="0.25">
      <c r="A32" s="1362" t="s">
        <v>1169</v>
      </c>
      <c r="B32" s="1363"/>
      <c r="C32" s="1363"/>
      <c r="D32" s="1363"/>
      <c r="E32" s="1363"/>
      <c r="F32" s="1363"/>
      <c r="G32" s="1363"/>
      <c r="H32" s="1364"/>
    </row>
    <row r="33" spans="1:8" x14ac:dyDescent="0.25">
      <c r="A33" s="1266" t="s">
        <v>1168</v>
      </c>
      <c r="B33" s="1266"/>
      <c r="C33" s="1266"/>
      <c r="D33" s="1263"/>
      <c r="E33" s="1263"/>
      <c r="F33" s="1265"/>
      <c r="G33" s="1263"/>
      <c r="H33" s="1265"/>
    </row>
    <row r="34" spans="1:8" x14ac:dyDescent="0.25">
      <c r="A34" s="1263"/>
      <c r="B34" s="1264"/>
      <c r="C34" s="1264"/>
      <c r="D34" s="1265"/>
      <c r="E34" s="1263"/>
      <c r="F34" s="1265"/>
      <c r="G34" s="1263"/>
      <c r="H34" s="1265"/>
    </row>
    <row r="35" spans="1:8" x14ac:dyDescent="0.25">
      <c r="A35" s="1263"/>
      <c r="B35" s="1264"/>
      <c r="C35" s="1264"/>
      <c r="D35" s="1265"/>
      <c r="E35" s="1263"/>
      <c r="F35" s="1265"/>
      <c r="G35" s="1263"/>
      <c r="H35" s="1265"/>
    </row>
    <row r="36" spans="1:8" x14ac:dyDescent="0.25">
      <c r="A36" s="1263"/>
      <c r="B36" s="1264"/>
      <c r="C36" s="1264"/>
      <c r="D36" s="1265"/>
      <c r="E36" s="1263"/>
      <c r="F36" s="1265"/>
      <c r="G36" s="1263"/>
      <c r="H36" s="1265"/>
    </row>
    <row r="37" spans="1:8" x14ac:dyDescent="0.25">
      <c r="A37" s="1263"/>
      <c r="B37" s="1264"/>
      <c r="C37" s="1264"/>
      <c r="D37" s="1265"/>
      <c r="E37" s="1263"/>
      <c r="F37" s="1265"/>
      <c r="G37" s="1263"/>
      <c r="H37" s="1265"/>
    </row>
    <row r="38" spans="1:8" x14ac:dyDescent="0.25">
      <c r="A38" s="1263"/>
      <c r="B38" s="1264"/>
      <c r="C38" s="1264"/>
      <c r="D38" s="1265"/>
      <c r="E38" s="1263"/>
      <c r="F38" s="1265"/>
      <c r="G38" s="1263"/>
      <c r="H38" s="1265"/>
    </row>
    <row r="39" spans="1:8" x14ac:dyDescent="0.25">
      <c r="A39" s="1263"/>
      <c r="B39" s="1264"/>
      <c r="C39" s="1264"/>
      <c r="D39" s="1265"/>
      <c r="E39" s="1263"/>
      <c r="F39" s="1265"/>
      <c r="G39" s="1263"/>
      <c r="H39" s="1265"/>
    </row>
    <row r="40" spans="1:8" x14ac:dyDescent="0.25">
      <c r="A40" s="1263"/>
      <c r="B40" s="1264"/>
      <c r="C40" s="1264"/>
      <c r="D40" s="1265"/>
      <c r="E40" s="1263"/>
      <c r="F40" s="1265"/>
      <c r="G40" s="1263"/>
      <c r="H40" s="1265"/>
    </row>
    <row r="41" spans="1:8" x14ac:dyDescent="0.25">
      <c r="A41" s="1263"/>
      <c r="B41" s="1264"/>
      <c r="C41" s="1264"/>
      <c r="D41" s="1265"/>
      <c r="E41" s="1263"/>
      <c r="F41" s="1265"/>
      <c r="G41" s="1263"/>
      <c r="H41" s="1265"/>
    </row>
    <row r="42" spans="1:8" x14ac:dyDescent="0.25">
      <c r="A42" s="1263"/>
      <c r="B42" s="1264"/>
      <c r="C42" s="1264"/>
      <c r="D42" s="1265"/>
      <c r="E42" s="1263"/>
      <c r="F42" s="1265"/>
      <c r="G42" s="1263"/>
      <c r="H42" s="1265"/>
    </row>
    <row r="43" spans="1:8" x14ac:dyDescent="0.25">
      <c r="A43" s="1263"/>
      <c r="B43" s="1264"/>
      <c r="C43" s="1264"/>
      <c r="D43" s="1265"/>
      <c r="E43" s="1263"/>
      <c r="F43" s="1265"/>
      <c r="G43" s="1263"/>
      <c r="H43" s="1265"/>
    </row>
    <row r="44" spans="1:8" x14ac:dyDescent="0.25">
      <c r="A44" s="1320"/>
      <c r="B44" s="1320"/>
      <c r="C44" s="1320"/>
      <c r="D44" s="1321"/>
      <c r="E44" s="1268"/>
      <c r="F44" s="1268"/>
      <c r="G44" s="1268"/>
      <c r="H44" s="1268"/>
    </row>
    <row r="45" spans="1:8" ht="7.9" customHeight="1" x14ac:dyDescent="0.25">
      <c r="A45" s="315"/>
      <c r="B45" s="315"/>
      <c r="C45" s="315"/>
      <c r="D45" s="315"/>
      <c r="E45" s="1361"/>
      <c r="F45" s="1361"/>
      <c r="G45" s="1361"/>
      <c r="H45" s="1361"/>
    </row>
    <row r="46" spans="1:8" x14ac:dyDescent="0.25">
      <c r="A46" s="315" t="s">
        <v>908</v>
      </c>
      <c r="B46" s="315"/>
      <c r="C46" s="315"/>
      <c r="D46" s="315"/>
      <c r="E46" s="315"/>
      <c r="F46" s="315"/>
      <c r="G46" s="315"/>
      <c r="H46" s="315"/>
    </row>
    <row r="47" spans="1:8" x14ac:dyDescent="0.25">
      <c r="A47" s="1348"/>
      <c r="B47" s="1348"/>
      <c r="C47" s="1348"/>
      <c r="D47" s="1348"/>
      <c r="E47" s="1348"/>
      <c r="F47" s="1348"/>
      <c r="G47" s="1348"/>
      <c r="H47" s="1348"/>
    </row>
    <row r="48" spans="1:8" x14ac:dyDescent="0.25">
      <c r="A48" s="1348"/>
      <c r="B48" s="1348"/>
      <c r="C48" s="1348"/>
      <c r="D48" s="1348"/>
      <c r="E48" s="1348"/>
      <c r="F48" s="1348"/>
      <c r="G48" s="1348"/>
      <c r="H48" s="1348"/>
    </row>
    <row r="49" spans="1:8" x14ac:dyDescent="0.25">
      <c r="A49" s="1348"/>
      <c r="B49" s="1348"/>
      <c r="C49" s="1348"/>
      <c r="D49" s="1348"/>
      <c r="E49" s="1348"/>
      <c r="F49" s="1348"/>
      <c r="G49" s="1348"/>
      <c r="H49" s="1348"/>
    </row>
    <row r="50" spans="1:8" x14ac:dyDescent="0.25">
      <c r="A50" s="1348"/>
      <c r="B50" s="1348"/>
      <c r="C50" s="1348"/>
      <c r="D50" s="1348"/>
      <c r="E50" s="1348"/>
      <c r="F50" s="1348"/>
      <c r="G50" s="1348"/>
      <c r="H50" s="1348"/>
    </row>
    <row r="51" spans="1:8" x14ac:dyDescent="0.25">
      <c r="A51" s="1348"/>
      <c r="B51" s="1348"/>
      <c r="C51" s="1348"/>
      <c r="D51" s="1348"/>
      <c r="E51" s="1348"/>
      <c r="F51" s="1348"/>
      <c r="G51" s="1348"/>
      <c r="H51" s="1348"/>
    </row>
    <row r="52" spans="1:8" x14ac:dyDescent="0.25">
      <c r="A52" s="1348"/>
      <c r="B52" s="1348"/>
      <c r="C52" s="1348"/>
      <c r="D52" s="1348"/>
      <c r="E52" s="1348"/>
      <c r="F52" s="1348"/>
      <c r="G52" s="1348"/>
      <c r="H52" s="1348"/>
    </row>
    <row r="53" spans="1:8" x14ac:dyDescent="0.25">
      <c r="A53" s="481"/>
      <c r="B53" s="481"/>
      <c r="C53" s="481"/>
      <c r="D53" s="481"/>
      <c r="E53" s="481"/>
      <c r="F53" s="481"/>
      <c r="G53" s="481"/>
      <c r="H53" s="481"/>
    </row>
  </sheetData>
  <mergeCells count="99">
    <mergeCell ref="B2:H2"/>
    <mergeCell ref="B3:H3"/>
    <mergeCell ref="B4:H4"/>
    <mergeCell ref="B5:H5"/>
    <mergeCell ref="B6:C6"/>
    <mergeCell ref="D6:E6"/>
    <mergeCell ref="B7:D7"/>
    <mergeCell ref="B8:H8"/>
    <mergeCell ref="B9:H9"/>
    <mergeCell ref="B10:D10"/>
    <mergeCell ref="E10:F10"/>
    <mergeCell ref="G10:H10"/>
    <mergeCell ref="A16:D17"/>
    <mergeCell ref="E16:F16"/>
    <mergeCell ref="G16:H16"/>
    <mergeCell ref="E17:F17"/>
    <mergeCell ref="G17:H17"/>
    <mergeCell ref="B11:D11"/>
    <mergeCell ref="E11:F11"/>
    <mergeCell ref="G11:H11"/>
    <mergeCell ref="A13:H13"/>
    <mergeCell ref="A14:H14"/>
    <mergeCell ref="A18:H18"/>
    <mergeCell ref="A19:D19"/>
    <mergeCell ref="E19:F19"/>
    <mergeCell ref="G19:H19"/>
    <mergeCell ref="A20:D20"/>
    <mergeCell ref="E20:F20"/>
    <mergeCell ref="G20:H20"/>
    <mergeCell ref="A21:D21"/>
    <mergeCell ref="E21:F21"/>
    <mergeCell ref="G21:H21"/>
    <mergeCell ref="A22:D22"/>
    <mergeCell ref="E22:F22"/>
    <mergeCell ref="G22:H22"/>
    <mergeCell ref="A23:D23"/>
    <mergeCell ref="E23:F23"/>
    <mergeCell ref="G23:H23"/>
    <mergeCell ref="A24:D24"/>
    <mergeCell ref="E24:F24"/>
    <mergeCell ref="G24:H24"/>
    <mergeCell ref="A25:D25"/>
    <mergeCell ref="E25:F25"/>
    <mergeCell ref="G25:H25"/>
    <mergeCell ref="A26:D26"/>
    <mergeCell ref="E26:F26"/>
    <mergeCell ref="G26:H26"/>
    <mergeCell ref="A27:D27"/>
    <mergeCell ref="E27:F27"/>
    <mergeCell ref="G27:H27"/>
    <mergeCell ref="A28:D28"/>
    <mergeCell ref="E28:F28"/>
    <mergeCell ref="G28:H28"/>
    <mergeCell ref="A29:D29"/>
    <mergeCell ref="E29:F29"/>
    <mergeCell ref="G29:H29"/>
    <mergeCell ref="A30:D30"/>
    <mergeCell ref="E30:F30"/>
    <mergeCell ref="G30:H30"/>
    <mergeCell ref="A32:H32"/>
    <mergeCell ref="A33:D33"/>
    <mergeCell ref="E33:F33"/>
    <mergeCell ref="G33:H33"/>
    <mergeCell ref="A34:D34"/>
    <mergeCell ref="E34:F34"/>
    <mergeCell ref="G34:H34"/>
    <mergeCell ref="A35:D35"/>
    <mergeCell ref="E35:F35"/>
    <mergeCell ref="G35:H35"/>
    <mergeCell ref="A36:D36"/>
    <mergeCell ref="E36:F36"/>
    <mergeCell ref="G36:H36"/>
    <mergeCell ref="A37:D37"/>
    <mergeCell ref="E37:F37"/>
    <mergeCell ref="G37:H37"/>
    <mergeCell ref="A38:D38"/>
    <mergeCell ref="E38:F38"/>
    <mergeCell ref="G38:H38"/>
    <mergeCell ref="A39:D39"/>
    <mergeCell ref="E39:F39"/>
    <mergeCell ref="G39:H39"/>
    <mergeCell ref="A40:D40"/>
    <mergeCell ref="E40:F40"/>
    <mergeCell ref="G40:H40"/>
    <mergeCell ref="A41:D41"/>
    <mergeCell ref="E41:F41"/>
    <mergeCell ref="G41:H41"/>
    <mergeCell ref="A42:D42"/>
    <mergeCell ref="E42:F42"/>
    <mergeCell ref="G42:H42"/>
    <mergeCell ref="E45:F45"/>
    <mergeCell ref="G45:H45"/>
    <mergeCell ref="A47:H52"/>
    <mergeCell ref="A43:D43"/>
    <mergeCell ref="E43:F43"/>
    <mergeCell ref="G43:H43"/>
    <mergeCell ref="A44:D44"/>
    <mergeCell ref="E44:F44"/>
    <mergeCell ref="G44:H44"/>
  </mergeCells>
  <pageMargins left="0.7" right="0.7" top="0.75" bottom="0.75" header="0.3" footer="0.3"/>
  <drawing r:id="rId1"/>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1CE5E2-2D1C-45B0-BB0F-B4AECFB6CE4F}">
  <dimension ref="A2:I36"/>
  <sheetViews>
    <sheetView workbookViewId="0">
      <selection sqref="A1:XFD1048576"/>
    </sheetView>
  </sheetViews>
  <sheetFormatPr baseColWidth="10" defaultRowHeight="15" x14ac:dyDescent="0.25"/>
  <cols>
    <col min="1" max="1" width="41.42578125" customWidth="1"/>
    <col min="2" max="2" width="4.28515625" customWidth="1"/>
    <col min="3" max="3" width="16.28515625" customWidth="1"/>
    <col min="4" max="4" width="19.7109375" customWidth="1"/>
    <col min="5" max="5" width="18.28515625" customWidth="1"/>
    <col min="6" max="6" width="14" customWidth="1"/>
    <col min="7" max="9" width="17.5703125" customWidth="1"/>
  </cols>
  <sheetData>
    <row r="2" spans="1:9" x14ac:dyDescent="0.25">
      <c r="A2" s="237" t="s">
        <v>464</v>
      </c>
      <c r="B2" s="958" t="s">
        <v>2</v>
      </c>
      <c r="C2" s="958"/>
      <c r="D2" s="958"/>
      <c r="E2" s="958"/>
      <c r="F2" s="958"/>
      <c r="G2" s="958"/>
      <c r="H2" s="958"/>
      <c r="I2" s="958"/>
    </row>
    <row r="3" spans="1:9" x14ac:dyDescent="0.25">
      <c r="A3" s="237"/>
      <c r="B3" s="957" t="s">
        <v>4</v>
      </c>
      <c r="C3" s="957"/>
      <c r="D3" s="957"/>
      <c r="E3" s="957"/>
      <c r="F3" s="957"/>
      <c r="G3" s="957"/>
      <c r="H3" s="957"/>
      <c r="I3" s="957"/>
    </row>
    <row r="4" spans="1:9" x14ac:dyDescent="0.25">
      <c r="A4" s="237" t="s">
        <v>362</v>
      </c>
      <c r="B4" s="957" t="s">
        <v>6</v>
      </c>
      <c r="C4" s="957"/>
      <c r="D4" s="957"/>
      <c r="E4" s="957"/>
      <c r="F4" s="957"/>
      <c r="G4" s="957"/>
      <c r="H4" s="957"/>
      <c r="I4" s="957"/>
    </row>
    <row r="5" spans="1:9" x14ac:dyDescent="0.25">
      <c r="A5" s="237" t="s">
        <v>363</v>
      </c>
      <c r="B5" s="957">
        <v>4431</v>
      </c>
      <c r="C5" s="957"/>
      <c r="D5" s="957"/>
      <c r="E5" s="957"/>
      <c r="F5" s="957"/>
      <c r="G5" s="957"/>
      <c r="H5" s="957"/>
      <c r="I5" s="957"/>
    </row>
    <row r="6" spans="1:9" x14ac:dyDescent="0.25">
      <c r="A6" s="237" t="s">
        <v>364</v>
      </c>
      <c r="B6" s="957" t="s">
        <v>12</v>
      </c>
      <c r="C6" s="957"/>
      <c r="D6" s="959" t="s">
        <v>365</v>
      </c>
      <c r="E6" s="959"/>
      <c r="F6" s="309">
        <v>46022</v>
      </c>
      <c r="G6" s="46" t="s">
        <v>465</v>
      </c>
      <c r="H6" s="1141">
        <v>12</v>
      </c>
      <c r="I6" s="1141"/>
    </row>
    <row r="7" spans="1:9" x14ac:dyDescent="0.25">
      <c r="A7" s="311" t="s">
        <v>367</v>
      </c>
      <c r="B7" s="958" t="s">
        <v>8</v>
      </c>
      <c r="C7" s="958"/>
      <c r="D7" s="958"/>
      <c r="E7" s="199"/>
      <c r="F7" s="199"/>
      <c r="G7" s="199"/>
      <c r="H7" s="199"/>
      <c r="I7" s="196"/>
    </row>
    <row r="8" spans="1:9" x14ac:dyDescent="0.25">
      <c r="A8" s="238" t="s">
        <v>466</v>
      </c>
      <c r="B8" s="958" t="s">
        <v>34</v>
      </c>
      <c r="C8" s="958"/>
      <c r="D8" s="958"/>
      <c r="E8" s="958"/>
      <c r="F8" s="958"/>
      <c r="G8" s="958"/>
      <c r="H8" s="958"/>
      <c r="I8" s="958"/>
    </row>
    <row r="9" spans="1:9" x14ac:dyDescent="0.25">
      <c r="A9" s="238"/>
      <c r="B9" s="957">
        <v>555555</v>
      </c>
      <c r="C9" s="957"/>
      <c r="D9" s="957"/>
      <c r="E9" s="957"/>
      <c r="F9" s="957"/>
      <c r="G9" s="957"/>
      <c r="H9" s="957"/>
      <c r="I9" s="957"/>
    </row>
    <row r="10" spans="1:9" x14ac:dyDescent="0.25">
      <c r="A10" s="238" t="s">
        <v>467</v>
      </c>
      <c r="B10" s="957" t="s">
        <v>38</v>
      </c>
      <c r="C10" s="957"/>
      <c r="D10" s="957"/>
      <c r="E10" s="959" t="s">
        <v>468</v>
      </c>
      <c r="F10" s="959"/>
      <c r="G10" s="957" t="s">
        <v>36</v>
      </c>
      <c r="H10" s="957"/>
      <c r="I10" s="957"/>
    </row>
    <row r="11" spans="1:9" x14ac:dyDescent="0.25">
      <c r="A11" s="238" t="s">
        <v>469</v>
      </c>
      <c r="B11" s="954">
        <v>44713</v>
      </c>
      <c r="C11" s="954"/>
      <c r="D11" s="954"/>
      <c r="E11" s="975" t="s">
        <v>470</v>
      </c>
      <c r="F11" s="975"/>
      <c r="G11" s="954">
        <v>45991</v>
      </c>
      <c r="H11" s="954"/>
      <c r="I11" s="954"/>
    </row>
    <row r="12" spans="1:9" ht="7.9" customHeight="1" x14ac:dyDescent="0.25"/>
    <row r="13" spans="1:9" x14ac:dyDescent="0.25">
      <c r="A13" s="788" t="s">
        <v>1170</v>
      </c>
      <c r="B13" s="788"/>
      <c r="C13" s="788"/>
      <c r="D13" s="788"/>
      <c r="E13" s="788"/>
      <c r="F13" s="788"/>
      <c r="G13" s="788"/>
      <c r="H13" s="788"/>
      <c r="I13" s="788"/>
    </row>
    <row r="14" spans="1:9" x14ac:dyDescent="0.25">
      <c r="A14" s="788" t="s">
        <v>1171</v>
      </c>
      <c r="B14" s="788"/>
      <c r="C14" s="788"/>
      <c r="D14" s="788"/>
      <c r="E14" s="788"/>
      <c r="F14" s="788"/>
      <c r="G14" s="788"/>
      <c r="H14" s="788"/>
      <c r="I14" s="788"/>
    </row>
    <row r="15" spans="1:9" ht="7.9" customHeight="1" x14ac:dyDescent="0.25">
      <c r="A15" s="315"/>
      <c r="B15" s="315"/>
      <c r="C15" s="315"/>
      <c r="D15" s="315"/>
      <c r="E15" s="315"/>
      <c r="F15" s="315"/>
      <c r="G15" s="315"/>
      <c r="H15" s="315"/>
      <c r="I15" s="315"/>
    </row>
    <row r="16" spans="1:9" ht="25.9" customHeight="1" x14ac:dyDescent="0.25">
      <c r="A16" s="1285" t="s">
        <v>988</v>
      </c>
      <c r="B16" s="1287" t="s">
        <v>989</v>
      </c>
      <c r="C16" s="1288"/>
      <c r="D16" s="415" t="s">
        <v>989</v>
      </c>
      <c r="E16" s="1282" t="s">
        <v>1056</v>
      </c>
      <c r="F16" s="1282"/>
      <c r="G16" s="1282" t="s">
        <v>1142</v>
      </c>
      <c r="H16" s="1282" t="s">
        <v>1143</v>
      </c>
      <c r="I16" s="1318" t="s">
        <v>1144</v>
      </c>
    </row>
    <row r="17" spans="1:9" ht="16.149999999999999" customHeight="1" x14ac:dyDescent="0.25">
      <c r="A17" s="1286"/>
      <c r="B17" s="1283">
        <v>46022</v>
      </c>
      <c r="C17" s="1284"/>
      <c r="D17" s="417">
        <v>46022</v>
      </c>
      <c r="E17" s="416" t="s">
        <v>1009</v>
      </c>
      <c r="F17" s="416" t="s">
        <v>1034</v>
      </c>
      <c r="G17" s="1282"/>
      <c r="H17" s="1282"/>
      <c r="I17" s="1319"/>
    </row>
    <row r="18" spans="1:9" x14ac:dyDescent="0.25">
      <c r="A18" s="438" t="s">
        <v>1172</v>
      </c>
      <c r="B18" s="1292">
        <v>0</v>
      </c>
      <c r="C18" s="1292"/>
      <c r="D18" s="425">
        <v>0</v>
      </c>
      <c r="E18" s="439">
        <v>0</v>
      </c>
      <c r="F18" s="434">
        <v>0</v>
      </c>
      <c r="G18" s="448"/>
      <c r="H18" s="448"/>
      <c r="I18" s="448"/>
    </row>
    <row r="19" spans="1:9" x14ac:dyDescent="0.25">
      <c r="A19" s="438" t="s">
        <v>1173</v>
      </c>
      <c r="B19" s="1292">
        <v>0</v>
      </c>
      <c r="C19" s="1292"/>
      <c r="D19" s="425">
        <v>0</v>
      </c>
      <c r="E19" s="439">
        <v>0</v>
      </c>
      <c r="F19" s="434">
        <v>0</v>
      </c>
      <c r="G19" s="448"/>
      <c r="H19" s="448"/>
      <c r="I19" s="448"/>
    </row>
    <row r="20" spans="1:9" x14ac:dyDescent="0.25">
      <c r="A20" s="438" t="s">
        <v>1174</v>
      </c>
      <c r="B20" s="1292">
        <v>0</v>
      </c>
      <c r="C20" s="1292"/>
      <c r="D20" s="425">
        <v>0</v>
      </c>
      <c r="E20" s="439">
        <v>0</v>
      </c>
      <c r="F20" s="434">
        <v>0</v>
      </c>
      <c r="G20" s="448"/>
      <c r="H20" s="448"/>
      <c r="I20" s="448"/>
    </row>
    <row r="21" spans="1:9" x14ac:dyDescent="0.25">
      <c r="A21" s="438" t="s">
        <v>1175</v>
      </c>
      <c r="B21" s="1292">
        <v>0</v>
      </c>
      <c r="C21" s="1292"/>
      <c r="D21" s="425">
        <v>0</v>
      </c>
      <c r="E21" s="439">
        <v>0</v>
      </c>
      <c r="F21" s="434">
        <v>0</v>
      </c>
      <c r="G21" s="448"/>
      <c r="H21" s="448"/>
      <c r="I21" s="448"/>
    </row>
    <row r="22" spans="1:9" x14ac:dyDescent="0.25">
      <c r="A22" s="438" t="s">
        <v>1176</v>
      </c>
      <c r="B22" s="1292">
        <v>0</v>
      </c>
      <c r="C22" s="1292"/>
      <c r="D22" s="425">
        <v>0</v>
      </c>
      <c r="E22" s="439">
        <v>0</v>
      </c>
      <c r="F22" s="434">
        <v>0</v>
      </c>
      <c r="G22" s="448"/>
      <c r="H22" s="448"/>
      <c r="I22" s="448"/>
    </row>
    <row r="23" spans="1:9" x14ac:dyDescent="0.25">
      <c r="A23" s="406" t="s">
        <v>1177</v>
      </c>
      <c r="B23" s="1290">
        <v>0</v>
      </c>
      <c r="C23" s="1290"/>
      <c r="D23" s="429">
        <v>0</v>
      </c>
      <c r="E23" s="429">
        <v>0</v>
      </c>
      <c r="F23" s="468">
        <v>0</v>
      </c>
      <c r="G23" s="450">
        <f>SUM(G18:G22)</f>
        <v>0</v>
      </c>
      <c r="H23" s="450">
        <f>SUM(H18:H22)</f>
        <v>0</v>
      </c>
      <c r="I23" s="450">
        <f>SUM(I18:I22)</f>
        <v>0</v>
      </c>
    </row>
    <row r="24" spans="1:9" x14ac:dyDescent="0.25">
      <c r="A24" s="438" t="s">
        <v>1178</v>
      </c>
      <c r="B24" s="1292">
        <v>0</v>
      </c>
      <c r="C24" s="1292"/>
      <c r="D24" s="425">
        <v>0</v>
      </c>
      <c r="E24" s="439">
        <v>0</v>
      </c>
      <c r="F24" s="434">
        <v>0</v>
      </c>
      <c r="G24" s="448"/>
      <c r="H24" s="448"/>
      <c r="I24" s="448"/>
    </row>
    <row r="25" spans="1:9" x14ac:dyDescent="0.25">
      <c r="A25" s="438" t="s">
        <v>1179</v>
      </c>
      <c r="B25" s="1293">
        <v>0</v>
      </c>
      <c r="C25" s="1294"/>
      <c r="D25" s="425">
        <v>0</v>
      </c>
      <c r="E25" s="439">
        <v>0</v>
      </c>
      <c r="F25" s="434">
        <v>0</v>
      </c>
      <c r="G25" s="448"/>
      <c r="H25" s="448"/>
      <c r="I25" s="448"/>
    </row>
    <row r="26" spans="1:9" x14ac:dyDescent="0.25">
      <c r="A26" s="438" t="s">
        <v>1180</v>
      </c>
      <c r="B26" s="1293">
        <v>0</v>
      </c>
      <c r="C26" s="1294"/>
      <c r="D26" s="425">
        <v>0</v>
      </c>
      <c r="E26" s="439">
        <v>0</v>
      </c>
      <c r="F26" s="434">
        <v>0</v>
      </c>
      <c r="G26" s="448"/>
      <c r="H26" s="448"/>
      <c r="I26" s="448"/>
    </row>
    <row r="27" spans="1:9" x14ac:dyDescent="0.25">
      <c r="A27" s="406" t="s">
        <v>1181</v>
      </c>
      <c r="B27" s="1290">
        <v>0</v>
      </c>
      <c r="C27" s="1290"/>
      <c r="D27" s="429">
        <v>0</v>
      </c>
      <c r="E27" s="429">
        <v>0</v>
      </c>
      <c r="F27" s="468">
        <v>0</v>
      </c>
      <c r="G27" s="450">
        <f>SUM(G24:G26)</f>
        <v>0</v>
      </c>
      <c r="H27" s="450">
        <f>SUM(H24:H26)</f>
        <v>0</v>
      </c>
      <c r="I27" s="450">
        <f>SUM(I24:I26)</f>
        <v>0</v>
      </c>
    </row>
    <row r="28" spans="1:9" ht="9.6" customHeight="1" x14ac:dyDescent="0.25">
      <c r="A28" s="241"/>
      <c r="B28" s="241"/>
      <c r="C28" s="241"/>
      <c r="D28" s="241"/>
      <c r="E28" s="241"/>
      <c r="F28" s="241"/>
      <c r="G28" s="241"/>
      <c r="H28" s="241"/>
      <c r="I28" s="241"/>
    </row>
    <row r="29" spans="1:9" x14ac:dyDescent="0.25">
      <c r="A29" s="241" t="s">
        <v>908</v>
      </c>
      <c r="B29" s="241"/>
      <c r="C29" s="241"/>
      <c r="D29" s="241"/>
      <c r="E29" s="241"/>
      <c r="F29" s="241"/>
      <c r="G29" s="241"/>
      <c r="H29" s="241"/>
      <c r="I29" s="241"/>
    </row>
    <row r="30" spans="1:9" x14ac:dyDescent="0.25">
      <c r="A30" s="1103"/>
      <c r="B30" s="1104"/>
      <c r="C30" s="1104"/>
      <c r="D30" s="1104"/>
      <c r="E30" s="1104"/>
      <c r="F30" s="1104"/>
      <c r="G30" s="1104"/>
      <c r="H30" s="1104"/>
      <c r="I30" s="1105"/>
    </row>
    <row r="31" spans="1:9" x14ac:dyDescent="0.25">
      <c r="A31" s="1106"/>
      <c r="B31" s="1107"/>
      <c r="C31" s="1107"/>
      <c r="D31" s="1107"/>
      <c r="E31" s="1107"/>
      <c r="F31" s="1107"/>
      <c r="G31" s="1107"/>
      <c r="H31" s="1107"/>
      <c r="I31" s="1108"/>
    </row>
    <row r="32" spans="1:9" x14ac:dyDescent="0.25">
      <c r="A32" s="1106"/>
      <c r="B32" s="1107"/>
      <c r="C32" s="1107"/>
      <c r="D32" s="1107"/>
      <c r="E32" s="1107"/>
      <c r="F32" s="1107"/>
      <c r="G32" s="1107"/>
      <c r="H32" s="1107"/>
      <c r="I32" s="1108"/>
    </row>
    <row r="33" spans="1:9" x14ac:dyDescent="0.25">
      <c r="A33" s="1106"/>
      <c r="B33" s="1107"/>
      <c r="C33" s="1107"/>
      <c r="D33" s="1107"/>
      <c r="E33" s="1107"/>
      <c r="F33" s="1107"/>
      <c r="G33" s="1107"/>
      <c r="H33" s="1107"/>
      <c r="I33" s="1108"/>
    </row>
    <row r="34" spans="1:9" x14ac:dyDescent="0.25">
      <c r="A34" s="1106"/>
      <c r="B34" s="1107"/>
      <c r="C34" s="1107"/>
      <c r="D34" s="1107"/>
      <c r="E34" s="1107"/>
      <c r="F34" s="1107"/>
      <c r="G34" s="1107"/>
      <c r="H34" s="1107"/>
      <c r="I34" s="1108"/>
    </row>
    <row r="35" spans="1:9" x14ac:dyDescent="0.25">
      <c r="A35" s="1106"/>
      <c r="B35" s="1107"/>
      <c r="C35" s="1107"/>
      <c r="D35" s="1107"/>
      <c r="E35" s="1107"/>
      <c r="F35" s="1107"/>
      <c r="G35" s="1107"/>
      <c r="H35" s="1107"/>
      <c r="I35" s="1108"/>
    </row>
    <row r="36" spans="1:9" x14ac:dyDescent="0.25">
      <c r="A36" s="1109"/>
      <c r="B36" s="1110"/>
      <c r="C36" s="1110"/>
      <c r="D36" s="1110"/>
      <c r="E36" s="1110"/>
      <c r="F36" s="1110"/>
      <c r="G36" s="1110"/>
      <c r="H36" s="1110"/>
      <c r="I36" s="1111"/>
    </row>
  </sheetData>
  <mergeCells count="36">
    <mergeCell ref="B2:I2"/>
    <mergeCell ref="B3:I3"/>
    <mergeCell ref="B4:I4"/>
    <mergeCell ref="B5:I5"/>
    <mergeCell ref="B6:C6"/>
    <mergeCell ref="D6:E6"/>
    <mergeCell ref="H6:I6"/>
    <mergeCell ref="B7:D7"/>
    <mergeCell ref="B8:I8"/>
    <mergeCell ref="B9:I9"/>
    <mergeCell ref="B10:D10"/>
    <mergeCell ref="E10:F10"/>
    <mergeCell ref="G10:I10"/>
    <mergeCell ref="B21:C21"/>
    <mergeCell ref="B11:D11"/>
    <mergeCell ref="E11:F11"/>
    <mergeCell ref="G11:I11"/>
    <mergeCell ref="A13:I13"/>
    <mergeCell ref="A14:I14"/>
    <mergeCell ref="A16:A17"/>
    <mergeCell ref="B16:C16"/>
    <mergeCell ref="E16:F16"/>
    <mergeCell ref="G16:G17"/>
    <mergeCell ref="H16:H17"/>
    <mergeCell ref="I16:I17"/>
    <mergeCell ref="B17:C17"/>
    <mergeCell ref="B18:C18"/>
    <mergeCell ref="B19:C19"/>
    <mergeCell ref="B20:C20"/>
    <mergeCell ref="A30:I36"/>
    <mergeCell ref="B22:C22"/>
    <mergeCell ref="B23:C23"/>
    <mergeCell ref="B24:C24"/>
    <mergeCell ref="B25:C25"/>
    <mergeCell ref="B26:C26"/>
    <mergeCell ref="B27:C27"/>
  </mergeCells>
  <pageMargins left="0.7" right="0.7" top="0.75" bottom="0.75" header="0.3" footer="0.3"/>
  <drawing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E9A69C-8D31-47EC-A4F5-0BFDFEA8D452}">
  <dimension ref="A2:I42"/>
  <sheetViews>
    <sheetView workbookViewId="0">
      <selection activeCell="D13" sqref="A1:XFD1048576"/>
    </sheetView>
  </sheetViews>
  <sheetFormatPr baseColWidth="10" defaultRowHeight="15" x14ac:dyDescent="0.25"/>
  <cols>
    <col min="1" max="1" width="37.140625" customWidth="1"/>
    <col min="2" max="2" width="5.85546875" customWidth="1"/>
    <col min="3" max="3" width="16.28515625" customWidth="1"/>
    <col min="4" max="4" width="21.5703125" customWidth="1"/>
    <col min="5" max="5" width="18.28515625" customWidth="1"/>
    <col min="6" max="6" width="14" customWidth="1"/>
    <col min="7" max="9" width="17.5703125" customWidth="1"/>
  </cols>
  <sheetData>
    <row r="2" spans="1:9" x14ac:dyDescent="0.25">
      <c r="A2" s="237" t="s">
        <v>464</v>
      </c>
      <c r="B2" s="958" t="s">
        <v>2</v>
      </c>
      <c r="C2" s="958"/>
      <c r="D2" s="958"/>
      <c r="E2" s="958"/>
      <c r="F2" s="958"/>
      <c r="G2" s="958"/>
      <c r="H2" s="958"/>
      <c r="I2" s="958"/>
    </row>
    <row r="3" spans="1:9" x14ac:dyDescent="0.25">
      <c r="A3" s="237"/>
      <c r="B3" s="957" t="s">
        <v>4</v>
      </c>
      <c r="C3" s="957"/>
      <c r="D3" s="957"/>
      <c r="E3" s="957"/>
      <c r="F3" s="957"/>
      <c r="G3" s="957"/>
      <c r="H3" s="957"/>
      <c r="I3" s="957"/>
    </row>
    <row r="4" spans="1:9" x14ac:dyDescent="0.25">
      <c r="A4" s="237" t="s">
        <v>362</v>
      </c>
      <c r="B4" s="957" t="s">
        <v>6</v>
      </c>
      <c r="C4" s="957"/>
      <c r="D4" s="957"/>
      <c r="E4" s="957"/>
      <c r="F4" s="957"/>
      <c r="G4" s="957"/>
      <c r="H4" s="957"/>
      <c r="I4" s="957"/>
    </row>
    <row r="5" spans="1:9" x14ac:dyDescent="0.25">
      <c r="A5" s="237" t="s">
        <v>363</v>
      </c>
      <c r="B5" s="957">
        <v>4431</v>
      </c>
      <c r="C5" s="957"/>
      <c r="D5" s="957"/>
      <c r="E5" s="957"/>
      <c r="F5" s="957"/>
      <c r="G5" s="957"/>
      <c r="H5" s="957"/>
      <c r="I5" s="957"/>
    </row>
    <row r="6" spans="1:9" x14ac:dyDescent="0.25">
      <c r="A6" s="237" t="s">
        <v>364</v>
      </c>
      <c r="B6" s="957" t="s">
        <v>12</v>
      </c>
      <c r="C6" s="957"/>
      <c r="D6" s="959" t="s">
        <v>365</v>
      </c>
      <c r="E6" s="959"/>
      <c r="F6" s="309">
        <v>46022</v>
      </c>
      <c r="G6" s="46" t="s">
        <v>465</v>
      </c>
      <c r="H6" s="1141">
        <v>12</v>
      </c>
      <c r="I6" s="1141"/>
    </row>
    <row r="7" spans="1:9" x14ac:dyDescent="0.25">
      <c r="A7" s="311" t="s">
        <v>367</v>
      </c>
      <c r="B7" s="958" t="s">
        <v>8</v>
      </c>
      <c r="C7" s="958"/>
      <c r="D7" s="958"/>
      <c r="E7" s="199"/>
      <c r="F7" s="199"/>
      <c r="G7" s="199"/>
      <c r="H7" s="199"/>
      <c r="I7" s="196"/>
    </row>
    <row r="8" spans="1:9" x14ac:dyDescent="0.25">
      <c r="A8" s="238" t="s">
        <v>466</v>
      </c>
      <c r="B8" s="958" t="s">
        <v>34</v>
      </c>
      <c r="C8" s="958"/>
      <c r="D8" s="958"/>
      <c r="E8" s="958"/>
      <c r="F8" s="958"/>
      <c r="G8" s="958"/>
      <c r="H8" s="958"/>
      <c r="I8" s="958"/>
    </row>
    <row r="9" spans="1:9" x14ac:dyDescent="0.25">
      <c r="A9" s="238"/>
      <c r="B9" s="957">
        <v>555555</v>
      </c>
      <c r="C9" s="957"/>
      <c r="D9" s="957"/>
      <c r="E9" s="957"/>
      <c r="F9" s="957"/>
      <c r="G9" s="957"/>
      <c r="H9" s="957"/>
      <c r="I9" s="957"/>
    </row>
    <row r="10" spans="1:9" x14ac:dyDescent="0.25">
      <c r="A10" s="238" t="s">
        <v>467</v>
      </c>
      <c r="B10" s="957" t="s">
        <v>38</v>
      </c>
      <c r="C10" s="957"/>
      <c r="D10" s="957"/>
      <c r="E10" s="959" t="s">
        <v>468</v>
      </c>
      <c r="F10" s="959"/>
      <c r="G10" s="957" t="s">
        <v>36</v>
      </c>
      <c r="H10" s="957"/>
      <c r="I10" s="957"/>
    </row>
    <row r="11" spans="1:9" x14ac:dyDescent="0.25">
      <c r="A11" s="238" t="s">
        <v>469</v>
      </c>
      <c r="B11" s="954">
        <v>44713</v>
      </c>
      <c r="C11" s="954"/>
      <c r="D11" s="954"/>
      <c r="E11" s="975" t="s">
        <v>470</v>
      </c>
      <c r="F11" s="975"/>
      <c r="G11" s="954">
        <v>45991</v>
      </c>
      <c r="H11" s="954"/>
      <c r="I11" s="954"/>
    </row>
    <row r="12" spans="1:9" ht="6.6" customHeight="1" x14ac:dyDescent="0.25"/>
    <row r="13" spans="1:9" x14ac:dyDescent="0.25">
      <c r="A13" s="788" t="s">
        <v>1182</v>
      </c>
      <c r="B13" s="788"/>
      <c r="C13" s="788"/>
      <c r="D13" s="788"/>
      <c r="E13" s="788"/>
      <c r="F13" s="788"/>
      <c r="G13" s="788"/>
      <c r="H13" s="788"/>
      <c r="I13" s="788"/>
    </row>
    <row r="14" spans="1:9" x14ac:dyDescent="0.25">
      <c r="A14" s="788" t="s">
        <v>1183</v>
      </c>
      <c r="B14" s="788"/>
      <c r="C14" s="788"/>
      <c r="D14" s="788"/>
      <c r="E14" s="788"/>
      <c r="F14" s="788"/>
      <c r="G14" s="788"/>
      <c r="H14" s="788"/>
      <c r="I14" s="788"/>
    </row>
    <row r="15" spans="1:9" ht="8.4499999999999993" customHeight="1" x14ac:dyDescent="0.25">
      <c r="A15" s="315"/>
      <c r="B15" s="315"/>
      <c r="C15" s="315"/>
      <c r="D15" s="315"/>
      <c r="E15" s="315"/>
      <c r="F15" s="315"/>
      <c r="G15" s="315"/>
      <c r="H15" s="315"/>
      <c r="I15" s="315"/>
    </row>
    <row r="16" spans="1:9" ht="21.6" customHeight="1" x14ac:dyDescent="0.25">
      <c r="A16" s="1285" t="s">
        <v>988</v>
      </c>
      <c r="B16" s="1287" t="s">
        <v>989</v>
      </c>
      <c r="C16" s="1288"/>
      <c r="D16" s="415" t="s">
        <v>989</v>
      </c>
      <c r="E16" s="1282" t="s">
        <v>1008</v>
      </c>
      <c r="F16" s="1282"/>
      <c r="G16" s="1282" t="s">
        <v>1142</v>
      </c>
      <c r="H16" s="1282" t="s">
        <v>1143</v>
      </c>
      <c r="I16" s="1282" t="s">
        <v>1144</v>
      </c>
    </row>
    <row r="17" spans="1:9" ht="21.6" customHeight="1" x14ac:dyDescent="0.25">
      <c r="A17" s="1286"/>
      <c r="B17" s="1283">
        <v>46022</v>
      </c>
      <c r="C17" s="1284"/>
      <c r="D17" s="417">
        <v>46022</v>
      </c>
      <c r="E17" s="416" t="s">
        <v>1009</v>
      </c>
      <c r="F17" s="416" t="s">
        <v>1034</v>
      </c>
      <c r="G17" s="1282"/>
      <c r="H17" s="1282"/>
      <c r="I17" s="1282"/>
    </row>
    <row r="18" spans="1:9" x14ac:dyDescent="0.25">
      <c r="A18" s="438" t="s">
        <v>1184</v>
      </c>
      <c r="B18" s="1293">
        <v>0</v>
      </c>
      <c r="C18" s="1294"/>
      <c r="D18" s="425">
        <v>0</v>
      </c>
      <c r="E18" s="425">
        <v>0</v>
      </c>
      <c r="F18" s="434">
        <v>0</v>
      </c>
      <c r="G18" s="448"/>
      <c r="H18" s="448"/>
      <c r="I18" s="448"/>
    </row>
    <row r="19" spans="1:9" x14ac:dyDescent="0.25">
      <c r="A19" s="438" t="s">
        <v>1185</v>
      </c>
      <c r="B19" s="1293">
        <v>0</v>
      </c>
      <c r="C19" s="1294"/>
      <c r="D19" s="425">
        <v>0</v>
      </c>
      <c r="E19" s="425">
        <v>0</v>
      </c>
      <c r="F19" s="434">
        <v>0</v>
      </c>
      <c r="G19" s="448"/>
      <c r="H19" s="448"/>
      <c r="I19" s="448"/>
    </row>
    <row r="20" spans="1:9" x14ac:dyDescent="0.25">
      <c r="A20" s="438" t="s">
        <v>1186</v>
      </c>
      <c r="B20" s="1292">
        <v>0</v>
      </c>
      <c r="C20" s="1292"/>
      <c r="D20" s="425">
        <v>0</v>
      </c>
      <c r="E20" s="425">
        <v>0</v>
      </c>
      <c r="F20" s="434">
        <v>0</v>
      </c>
      <c r="G20" s="448"/>
      <c r="H20" s="448"/>
      <c r="I20" s="448"/>
    </row>
    <row r="21" spans="1:9" x14ac:dyDescent="0.25">
      <c r="A21" s="438" t="s">
        <v>1187</v>
      </c>
      <c r="B21" s="1292">
        <v>0</v>
      </c>
      <c r="C21" s="1292"/>
      <c r="D21" s="425">
        <v>0</v>
      </c>
      <c r="E21" s="425">
        <v>0</v>
      </c>
      <c r="F21" s="434">
        <v>0</v>
      </c>
      <c r="G21" s="448"/>
      <c r="H21" s="448"/>
      <c r="I21" s="448"/>
    </row>
    <row r="22" spans="1:9" x14ac:dyDescent="0.25">
      <c r="A22" s="438" t="s">
        <v>1188</v>
      </c>
      <c r="B22" s="1293">
        <v>0</v>
      </c>
      <c r="C22" s="1294"/>
      <c r="D22" s="425">
        <v>0</v>
      </c>
      <c r="E22" s="425">
        <v>0</v>
      </c>
      <c r="F22" s="434">
        <v>0</v>
      </c>
      <c r="G22" s="448"/>
      <c r="H22" s="448"/>
      <c r="I22" s="448"/>
    </row>
    <row r="23" spans="1:9" x14ac:dyDescent="0.25">
      <c r="A23" s="438" t="s">
        <v>1189</v>
      </c>
      <c r="B23" s="1293">
        <v>0</v>
      </c>
      <c r="C23" s="1294"/>
      <c r="D23" s="425">
        <v>0</v>
      </c>
      <c r="E23" s="425">
        <v>0</v>
      </c>
      <c r="F23" s="434">
        <v>0</v>
      </c>
      <c r="G23" s="448"/>
      <c r="H23" s="448"/>
      <c r="I23" s="448"/>
    </row>
    <row r="24" spans="1:9" x14ac:dyDescent="0.25">
      <c r="A24" s="438" t="s">
        <v>1190</v>
      </c>
      <c r="B24" s="1293">
        <v>0</v>
      </c>
      <c r="C24" s="1294"/>
      <c r="D24" s="425">
        <v>0</v>
      </c>
      <c r="E24" s="425">
        <v>0</v>
      </c>
      <c r="F24" s="434">
        <v>0</v>
      </c>
      <c r="G24" s="448"/>
      <c r="H24" s="448"/>
      <c r="I24" s="448"/>
    </row>
    <row r="25" spans="1:9" x14ac:dyDescent="0.25">
      <c r="A25" s="438" t="s">
        <v>1191</v>
      </c>
      <c r="B25" s="1293">
        <v>0</v>
      </c>
      <c r="C25" s="1294"/>
      <c r="D25" s="425">
        <v>0</v>
      </c>
      <c r="E25" s="425">
        <v>0</v>
      </c>
      <c r="F25" s="434">
        <v>0</v>
      </c>
      <c r="G25" s="448"/>
      <c r="H25" s="448"/>
      <c r="I25" s="448"/>
    </row>
    <row r="26" spans="1:9" x14ac:dyDescent="0.25">
      <c r="A26" s="438" t="s">
        <v>1192</v>
      </c>
      <c r="B26" s="1293">
        <v>0</v>
      </c>
      <c r="C26" s="1294"/>
      <c r="D26" s="425">
        <v>0</v>
      </c>
      <c r="E26" s="425">
        <v>0</v>
      </c>
      <c r="F26" s="434">
        <v>0</v>
      </c>
      <c r="G26" s="448"/>
      <c r="H26" s="448"/>
      <c r="I26" s="448"/>
    </row>
    <row r="27" spans="1:9" x14ac:dyDescent="0.25">
      <c r="A27" s="438" t="s">
        <v>1193</v>
      </c>
      <c r="B27" s="1293">
        <v>0</v>
      </c>
      <c r="C27" s="1294"/>
      <c r="D27" s="425">
        <v>0</v>
      </c>
      <c r="E27" s="425">
        <v>0</v>
      </c>
      <c r="F27" s="434">
        <v>0</v>
      </c>
      <c r="G27" s="448"/>
      <c r="H27" s="448"/>
      <c r="I27" s="448"/>
    </row>
    <row r="28" spans="1:9" x14ac:dyDescent="0.25">
      <c r="A28" s="406" t="s">
        <v>1194</v>
      </c>
      <c r="B28" s="1290">
        <v>0</v>
      </c>
      <c r="C28" s="1290"/>
      <c r="D28" s="429">
        <v>0</v>
      </c>
      <c r="E28" s="429">
        <v>0</v>
      </c>
      <c r="F28" s="468">
        <v>0</v>
      </c>
      <c r="G28" s="450">
        <f>SUM(G18:G27)</f>
        <v>0</v>
      </c>
      <c r="H28" s="450">
        <f t="shared" ref="H28:I28" si="0">SUM(H18:H27)</f>
        <v>0</v>
      </c>
      <c r="I28" s="450">
        <f t="shared" si="0"/>
        <v>0</v>
      </c>
    </row>
    <row r="29" spans="1:9" x14ac:dyDescent="0.25">
      <c r="A29" s="438" t="s">
        <v>1195</v>
      </c>
      <c r="B29" s="1292">
        <v>0</v>
      </c>
      <c r="C29" s="1292"/>
      <c r="D29" s="425">
        <v>0</v>
      </c>
      <c r="E29" s="425">
        <v>0</v>
      </c>
      <c r="F29" s="434">
        <v>0</v>
      </c>
      <c r="G29" s="448"/>
      <c r="H29" s="448"/>
      <c r="I29" s="448"/>
    </row>
    <row r="30" spans="1:9" x14ac:dyDescent="0.25">
      <c r="A30" s="438" t="s">
        <v>1196</v>
      </c>
      <c r="B30" s="1293">
        <v>0</v>
      </c>
      <c r="C30" s="1294"/>
      <c r="D30" s="425">
        <v>0</v>
      </c>
      <c r="E30" s="425">
        <v>0</v>
      </c>
      <c r="F30" s="434">
        <v>0</v>
      </c>
      <c r="G30" s="448"/>
      <c r="H30" s="448"/>
      <c r="I30" s="448"/>
    </row>
    <row r="31" spans="1:9" x14ac:dyDescent="0.25">
      <c r="A31" s="438" t="s">
        <v>1197</v>
      </c>
      <c r="B31" s="1293">
        <v>0</v>
      </c>
      <c r="C31" s="1294"/>
      <c r="D31" s="425">
        <v>0</v>
      </c>
      <c r="E31" s="425">
        <v>0</v>
      </c>
      <c r="F31" s="434">
        <v>0</v>
      </c>
      <c r="G31" s="448"/>
      <c r="H31" s="448"/>
      <c r="I31" s="448"/>
    </row>
    <row r="32" spans="1:9" x14ac:dyDescent="0.25">
      <c r="A32" s="438" t="s">
        <v>1198</v>
      </c>
      <c r="B32" s="1293">
        <v>0</v>
      </c>
      <c r="C32" s="1294"/>
      <c r="D32" s="425">
        <v>0</v>
      </c>
      <c r="E32" s="425">
        <v>0</v>
      </c>
      <c r="F32" s="434">
        <v>0</v>
      </c>
      <c r="G32" s="448"/>
      <c r="H32" s="448"/>
      <c r="I32" s="448"/>
    </row>
    <row r="33" spans="1:9" x14ac:dyDescent="0.25">
      <c r="A33" s="406" t="s">
        <v>1199</v>
      </c>
      <c r="B33" s="1353">
        <v>0</v>
      </c>
      <c r="C33" s="1354"/>
      <c r="D33" s="429">
        <v>0</v>
      </c>
      <c r="E33" s="429">
        <v>0</v>
      </c>
      <c r="F33" s="468">
        <v>0</v>
      </c>
      <c r="G33" s="450">
        <f>SUM(G29:G32)</f>
        <v>0</v>
      </c>
      <c r="H33" s="450">
        <f t="shared" ref="H33:I33" si="1">SUM(H29:H32)</f>
        <v>0</v>
      </c>
      <c r="I33" s="450">
        <f t="shared" si="1"/>
        <v>0</v>
      </c>
    </row>
    <row r="34" spans="1:9" x14ac:dyDescent="0.25">
      <c r="A34" s="406" t="s">
        <v>1200</v>
      </c>
      <c r="B34" s="1290">
        <v>0</v>
      </c>
      <c r="C34" s="1290"/>
      <c r="D34" s="429">
        <v>0</v>
      </c>
      <c r="E34" s="429">
        <v>0</v>
      </c>
      <c r="F34" s="468">
        <v>0</v>
      </c>
      <c r="G34" s="450">
        <f>G28+G33</f>
        <v>0</v>
      </c>
      <c r="H34" s="450">
        <f>H28+H33</f>
        <v>0</v>
      </c>
      <c r="I34" s="450">
        <f>I28+I33</f>
        <v>0</v>
      </c>
    </row>
    <row r="35" spans="1:9" ht="9.6" customHeight="1" x14ac:dyDescent="0.25">
      <c r="A35" s="241"/>
      <c r="B35" s="241"/>
      <c r="C35" s="241"/>
      <c r="D35" s="241"/>
      <c r="E35" s="241"/>
      <c r="F35" s="241"/>
      <c r="G35" s="241"/>
      <c r="H35" s="241"/>
      <c r="I35" s="241"/>
    </row>
    <row r="36" spans="1:9" x14ac:dyDescent="0.25">
      <c r="A36" s="241" t="s">
        <v>908</v>
      </c>
      <c r="B36" s="241"/>
      <c r="C36" s="241"/>
      <c r="D36" s="241"/>
      <c r="E36" s="241"/>
      <c r="F36" s="241"/>
      <c r="G36" s="241"/>
      <c r="H36" s="241"/>
      <c r="I36" s="241"/>
    </row>
    <row r="37" spans="1:9" x14ac:dyDescent="0.25">
      <c r="A37" s="1103"/>
      <c r="B37" s="1104"/>
      <c r="C37" s="1104"/>
      <c r="D37" s="1104"/>
      <c r="E37" s="1104"/>
      <c r="F37" s="1104"/>
      <c r="G37" s="1104"/>
      <c r="H37" s="1104"/>
      <c r="I37" s="1105"/>
    </row>
    <row r="38" spans="1:9" x14ac:dyDescent="0.25">
      <c r="A38" s="1106"/>
      <c r="B38" s="1107"/>
      <c r="C38" s="1107"/>
      <c r="D38" s="1107"/>
      <c r="E38" s="1107"/>
      <c r="F38" s="1107"/>
      <c r="G38" s="1107"/>
      <c r="H38" s="1107"/>
      <c r="I38" s="1108"/>
    </row>
    <row r="39" spans="1:9" x14ac:dyDescent="0.25">
      <c r="A39" s="1106"/>
      <c r="B39" s="1107"/>
      <c r="C39" s="1107"/>
      <c r="D39" s="1107"/>
      <c r="E39" s="1107"/>
      <c r="F39" s="1107"/>
      <c r="G39" s="1107"/>
      <c r="H39" s="1107"/>
      <c r="I39" s="1108"/>
    </row>
    <row r="40" spans="1:9" x14ac:dyDescent="0.25">
      <c r="A40" s="1106"/>
      <c r="B40" s="1107"/>
      <c r="C40" s="1107"/>
      <c r="D40" s="1107"/>
      <c r="E40" s="1107"/>
      <c r="F40" s="1107"/>
      <c r="G40" s="1107"/>
      <c r="H40" s="1107"/>
      <c r="I40" s="1108"/>
    </row>
    <row r="41" spans="1:9" x14ac:dyDescent="0.25">
      <c r="A41" s="1106"/>
      <c r="B41" s="1107"/>
      <c r="C41" s="1107"/>
      <c r="D41" s="1107"/>
      <c r="E41" s="1107"/>
      <c r="F41" s="1107"/>
      <c r="G41" s="1107"/>
      <c r="H41" s="1107"/>
      <c r="I41" s="1108"/>
    </row>
    <row r="42" spans="1:9" x14ac:dyDescent="0.25">
      <c r="A42" s="1109"/>
      <c r="B42" s="1110"/>
      <c r="C42" s="1110"/>
      <c r="D42" s="1110"/>
      <c r="E42" s="1110"/>
      <c r="F42" s="1110"/>
      <c r="G42" s="1110"/>
      <c r="H42" s="1110"/>
      <c r="I42" s="1111"/>
    </row>
  </sheetData>
  <mergeCells count="43">
    <mergeCell ref="B2:I2"/>
    <mergeCell ref="B3:I3"/>
    <mergeCell ref="B4:I4"/>
    <mergeCell ref="B5:I5"/>
    <mergeCell ref="B6:C6"/>
    <mergeCell ref="D6:E6"/>
    <mergeCell ref="H6:I6"/>
    <mergeCell ref="B7:D7"/>
    <mergeCell ref="B8:I8"/>
    <mergeCell ref="B9:I9"/>
    <mergeCell ref="B10:D10"/>
    <mergeCell ref="E10:F10"/>
    <mergeCell ref="G10:I10"/>
    <mergeCell ref="A16:A17"/>
    <mergeCell ref="B16:C16"/>
    <mergeCell ref="E16:F16"/>
    <mergeCell ref="G16:G17"/>
    <mergeCell ref="H16:H17"/>
    <mergeCell ref="B11:D11"/>
    <mergeCell ref="E11:F11"/>
    <mergeCell ref="G11:I11"/>
    <mergeCell ref="A13:I13"/>
    <mergeCell ref="A14:I14"/>
    <mergeCell ref="B27:C27"/>
    <mergeCell ref="I16:I17"/>
    <mergeCell ref="B17:C17"/>
    <mergeCell ref="B18:C18"/>
    <mergeCell ref="B19:C19"/>
    <mergeCell ref="B20:C20"/>
    <mergeCell ref="B21:C21"/>
    <mergeCell ref="B22:C22"/>
    <mergeCell ref="B23:C23"/>
    <mergeCell ref="B24:C24"/>
    <mergeCell ref="B25:C25"/>
    <mergeCell ref="B26:C26"/>
    <mergeCell ref="B34:C34"/>
    <mergeCell ref="A37:I42"/>
    <mergeCell ref="B28:C28"/>
    <mergeCell ref="B29:C29"/>
    <mergeCell ref="B30:C30"/>
    <mergeCell ref="B31:C31"/>
    <mergeCell ref="B32:C32"/>
    <mergeCell ref="B33:C33"/>
  </mergeCells>
  <pageMargins left="0.7" right="0.7" top="0.75" bottom="0.75" header="0.3" footer="0.3"/>
  <drawing r:id="rId1"/>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DE2E7B-7810-4474-83A6-83F8A6CA2C33}">
  <dimension ref="A2:I38"/>
  <sheetViews>
    <sheetView workbookViewId="0">
      <selection activeCell="C18" sqref="A1:XFD1048576"/>
    </sheetView>
  </sheetViews>
  <sheetFormatPr baseColWidth="10" defaultRowHeight="15" x14ac:dyDescent="0.25"/>
  <cols>
    <col min="1" max="1" width="37.140625" customWidth="1"/>
    <col min="2" max="2" width="5.85546875" customWidth="1"/>
    <col min="3" max="3" width="16.28515625" customWidth="1"/>
    <col min="4" max="4" width="21.5703125" customWidth="1"/>
    <col min="5" max="5" width="17.28515625" customWidth="1"/>
    <col min="6" max="6" width="14" customWidth="1"/>
    <col min="7" max="9" width="17.5703125" customWidth="1"/>
  </cols>
  <sheetData>
    <row r="2" spans="1:9" x14ac:dyDescent="0.25">
      <c r="A2" s="237" t="s">
        <v>464</v>
      </c>
      <c r="B2" s="958" t="s">
        <v>2</v>
      </c>
      <c r="C2" s="958"/>
      <c r="D2" s="958"/>
      <c r="E2" s="958"/>
      <c r="F2" s="958"/>
      <c r="G2" s="958"/>
      <c r="H2" s="958"/>
      <c r="I2" s="958"/>
    </row>
    <row r="3" spans="1:9" x14ac:dyDescent="0.25">
      <c r="A3" s="237"/>
      <c r="B3" s="957" t="s">
        <v>4</v>
      </c>
      <c r="C3" s="957"/>
      <c r="D3" s="957"/>
      <c r="E3" s="957"/>
      <c r="F3" s="957"/>
      <c r="G3" s="957"/>
      <c r="H3" s="957"/>
      <c r="I3" s="957"/>
    </row>
    <row r="4" spans="1:9" x14ac:dyDescent="0.25">
      <c r="A4" s="237" t="s">
        <v>362</v>
      </c>
      <c r="B4" s="957" t="s">
        <v>6</v>
      </c>
      <c r="C4" s="957"/>
      <c r="D4" s="957"/>
      <c r="E4" s="957"/>
      <c r="F4" s="957"/>
      <c r="G4" s="957"/>
      <c r="H4" s="957"/>
      <c r="I4" s="957"/>
    </row>
    <row r="5" spans="1:9" x14ac:dyDescent="0.25">
      <c r="A5" s="237" t="s">
        <v>363</v>
      </c>
      <c r="B5" s="957">
        <v>4431</v>
      </c>
      <c r="C5" s="957"/>
      <c r="D5" s="957"/>
      <c r="E5" s="957"/>
      <c r="F5" s="957"/>
      <c r="G5" s="957"/>
      <c r="H5" s="957"/>
      <c r="I5" s="957"/>
    </row>
    <row r="6" spans="1:9" x14ac:dyDescent="0.25">
      <c r="A6" s="237" t="s">
        <v>364</v>
      </c>
      <c r="B6" s="957" t="s">
        <v>12</v>
      </c>
      <c r="C6" s="957"/>
      <c r="D6" s="959" t="s">
        <v>365</v>
      </c>
      <c r="E6" s="959"/>
      <c r="F6" s="309">
        <v>46022</v>
      </c>
      <c r="G6" s="46" t="s">
        <v>465</v>
      </c>
      <c r="H6" s="1141">
        <v>12</v>
      </c>
      <c r="I6" s="1141"/>
    </row>
    <row r="7" spans="1:9" x14ac:dyDescent="0.25">
      <c r="A7" s="311" t="s">
        <v>367</v>
      </c>
      <c r="B7" s="958" t="s">
        <v>8</v>
      </c>
      <c r="C7" s="958"/>
      <c r="D7" s="958"/>
      <c r="E7" s="199"/>
      <c r="F7" s="199"/>
      <c r="G7" s="199"/>
      <c r="H7" s="199"/>
      <c r="I7" s="196"/>
    </row>
    <row r="8" spans="1:9" x14ac:dyDescent="0.25">
      <c r="A8" s="238" t="s">
        <v>466</v>
      </c>
      <c r="B8" s="958" t="s">
        <v>34</v>
      </c>
      <c r="C8" s="958"/>
      <c r="D8" s="958"/>
      <c r="E8" s="958"/>
      <c r="F8" s="958"/>
      <c r="G8" s="958"/>
      <c r="H8" s="958"/>
      <c r="I8" s="958"/>
    </row>
    <row r="9" spans="1:9" x14ac:dyDescent="0.25">
      <c r="A9" s="238"/>
      <c r="B9" s="957">
        <v>555555</v>
      </c>
      <c r="C9" s="957"/>
      <c r="D9" s="957"/>
      <c r="E9" s="957"/>
      <c r="F9" s="957"/>
      <c r="G9" s="957"/>
      <c r="H9" s="957"/>
      <c r="I9" s="957"/>
    </row>
    <row r="10" spans="1:9" x14ac:dyDescent="0.25">
      <c r="A10" s="238" t="s">
        <v>467</v>
      </c>
      <c r="B10" s="957" t="s">
        <v>38</v>
      </c>
      <c r="C10" s="957"/>
      <c r="D10" s="957"/>
      <c r="E10" s="959" t="s">
        <v>468</v>
      </c>
      <c r="F10" s="959"/>
      <c r="G10" s="957" t="s">
        <v>36</v>
      </c>
      <c r="H10" s="957"/>
      <c r="I10" s="957"/>
    </row>
    <row r="11" spans="1:9" x14ac:dyDescent="0.25">
      <c r="A11" s="238" t="s">
        <v>469</v>
      </c>
      <c r="B11" s="954">
        <v>44713</v>
      </c>
      <c r="C11" s="954"/>
      <c r="D11" s="954"/>
      <c r="E11" s="975" t="s">
        <v>470</v>
      </c>
      <c r="F11" s="975"/>
      <c r="G11" s="954">
        <v>45991</v>
      </c>
      <c r="H11" s="954"/>
      <c r="I11" s="954"/>
    </row>
    <row r="12" spans="1:9" ht="7.15" customHeight="1" x14ac:dyDescent="0.25"/>
    <row r="13" spans="1:9" x14ac:dyDescent="0.25">
      <c r="A13" s="788" t="s">
        <v>1201</v>
      </c>
      <c r="B13" s="788"/>
      <c r="C13" s="788"/>
      <c r="D13" s="788"/>
      <c r="E13" s="788"/>
      <c r="F13" s="788"/>
      <c r="G13" s="788"/>
      <c r="H13" s="788"/>
      <c r="I13" s="788"/>
    </row>
    <row r="14" spans="1:9" x14ac:dyDescent="0.25">
      <c r="A14" s="788" t="s">
        <v>1202</v>
      </c>
      <c r="B14" s="788"/>
      <c r="C14" s="788"/>
      <c r="D14" s="788"/>
      <c r="E14" s="788"/>
      <c r="F14" s="788"/>
      <c r="G14" s="788"/>
      <c r="H14" s="788"/>
      <c r="I14" s="788"/>
    </row>
    <row r="15" spans="1:9" ht="7.15" customHeight="1" x14ac:dyDescent="0.25">
      <c r="A15" s="315"/>
      <c r="B15" s="315"/>
      <c r="C15" s="315"/>
      <c r="D15" s="315"/>
      <c r="E15" s="315"/>
      <c r="F15" s="315"/>
      <c r="G15" s="315"/>
      <c r="H15" s="315"/>
      <c r="I15" s="315"/>
    </row>
    <row r="16" spans="1:9" ht="21.6" customHeight="1" x14ac:dyDescent="0.25">
      <c r="A16" s="1285" t="s">
        <v>988</v>
      </c>
      <c r="B16" s="1287" t="s">
        <v>989</v>
      </c>
      <c r="C16" s="1288"/>
      <c r="D16" s="415" t="s">
        <v>989</v>
      </c>
      <c r="E16" s="1316" t="s">
        <v>1008</v>
      </c>
      <c r="F16" s="1344"/>
      <c r="G16" s="1282" t="s">
        <v>1142</v>
      </c>
      <c r="H16" s="1282" t="s">
        <v>1143</v>
      </c>
      <c r="I16" s="1282" t="s">
        <v>1144</v>
      </c>
    </row>
    <row r="17" spans="1:9" ht="21.6" customHeight="1" x14ac:dyDescent="0.25">
      <c r="A17" s="1286"/>
      <c r="B17" s="1283">
        <v>46022</v>
      </c>
      <c r="C17" s="1284"/>
      <c r="D17" s="417">
        <v>46022</v>
      </c>
      <c r="E17" s="482" t="s">
        <v>1009</v>
      </c>
      <c r="F17" s="483" t="s">
        <v>1034</v>
      </c>
      <c r="G17" s="1282"/>
      <c r="H17" s="1282"/>
      <c r="I17" s="1282"/>
    </row>
    <row r="18" spans="1:9" x14ac:dyDescent="0.25">
      <c r="A18" s="438" t="s">
        <v>1050</v>
      </c>
      <c r="B18" s="1292">
        <v>0</v>
      </c>
      <c r="C18" s="1292"/>
      <c r="D18" s="425">
        <v>0</v>
      </c>
      <c r="E18" s="425">
        <v>0</v>
      </c>
      <c r="F18" s="434">
        <v>0</v>
      </c>
      <c r="G18" s="448"/>
      <c r="H18" s="448"/>
      <c r="I18" s="448"/>
    </row>
    <row r="19" spans="1:9" x14ac:dyDescent="0.25">
      <c r="A19" s="438" t="s">
        <v>1203</v>
      </c>
      <c r="B19" s="1292">
        <v>0</v>
      </c>
      <c r="C19" s="1292"/>
      <c r="D19" s="425">
        <v>0</v>
      </c>
      <c r="E19" s="425">
        <v>0</v>
      </c>
      <c r="F19" s="434">
        <v>0</v>
      </c>
      <c r="G19" s="448"/>
      <c r="H19" s="448"/>
      <c r="I19" s="448"/>
    </row>
    <row r="20" spans="1:9" x14ac:dyDescent="0.25">
      <c r="A20" s="438" t="s">
        <v>1204</v>
      </c>
      <c r="B20" s="1292">
        <v>0</v>
      </c>
      <c r="C20" s="1292"/>
      <c r="D20" s="425">
        <v>0</v>
      </c>
      <c r="E20" s="425">
        <v>0</v>
      </c>
      <c r="F20" s="434">
        <v>0</v>
      </c>
      <c r="G20" s="448"/>
      <c r="H20" s="448"/>
      <c r="I20" s="448"/>
    </row>
    <row r="21" spans="1:9" x14ac:dyDescent="0.25">
      <c r="A21" s="438" t="s">
        <v>1205</v>
      </c>
      <c r="B21" s="1292">
        <v>0</v>
      </c>
      <c r="C21" s="1292"/>
      <c r="D21" s="425">
        <v>0</v>
      </c>
      <c r="E21" s="425">
        <v>0</v>
      </c>
      <c r="F21" s="434">
        <v>0</v>
      </c>
      <c r="G21" s="448"/>
      <c r="H21" s="448"/>
      <c r="I21" s="448"/>
    </row>
    <row r="22" spans="1:9" ht="25.5" x14ac:dyDescent="0.25">
      <c r="A22" s="442" t="s">
        <v>1206</v>
      </c>
      <c r="B22" s="1290">
        <v>0</v>
      </c>
      <c r="C22" s="1290"/>
      <c r="D22" s="429">
        <v>0</v>
      </c>
      <c r="E22" s="429">
        <v>0</v>
      </c>
      <c r="F22" s="468">
        <v>0</v>
      </c>
      <c r="G22" s="450">
        <f>SUM(G18:G21)</f>
        <v>0</v>
      </c>
      <c r="H22" s="450">
        <f>SUM(H18:H21)</f>
        <v>0</v>
      </c>
      <c r="I22" s="450">
        <f>SUM(I18:I21)</f>
        <v>0</v>
      </c>
    </row>
    <row r="23" spans="1:9" x14ac:dyDescent="0.25">
      <c r="A23" s="438" t="s">
        <v>839</v>
      </c>
      <c r="B23" s="1292">
        <v>0</v>
      </c>
      <c r="C23" s="1292"/>
      <c r="D23" s="425">
        <v>0</v>
      </c>
      <c r="E23" s="425">
        <v>0</v>
      </c>
      <c r="F23" s="434">
        <v>0</v>
      </c>
      <c r="G23" s="448"/>
      <c r="H23" s="448"/>
      <c r="I23" s="448"/>
    </row>
    <row r="24" spans="1:9" ht="25.5" x14ac:dyDescent="0.25">
      <c r="A24" s="441" t="s">
        <v>1207</v>
      </c>
      <c r="B24" s="1293">
        <v>0</v>
      </c>
      <c r="C24" s="1294"/>
      <c r="D24" s="425">
        <v>0</v>
      </c>
      <c r="E24" s="425">
        <v>0</v>
      </c>
      <c r="F24" s="434">
        <v>0</v>
      </c>
      <c r="G24" s="448"/>
      <c r="H24" s="448"/>
      <c r="I24" s="448"/>
    </row>
    <row r="25" spans="1:9" ht="25.5" x14ac:dyDescent="0.25">
      <c r="A25" s="441" t="s">
        <v>1208</v>
      </c>
      <c r="B25" s="1293">
        <v>0</v>
      </c>
      <c r="C25" s="1294"/>
      <c r="D25" s="425">
        <v>0</v>
      </c>
      <c r="E25" s="425">
        <v>0</v>
      </c>
      <c r="F25" s="434">
        <v>0</v>
      </c>
      <c r="G25" s="448"/>
      <c r="H25" s="448"/>
      <c r="I25" s="448"/>
    </row>
    <row r="26" spans="1:9" x14ac:dyDescent="0.25">
      <c r="A26" s="441" t="s">
        <v>1209</v>
      </c>
      <c r="B26" s="1293">
        <v>0</v>
      </c>
      <c r="C26" s="1294"/>
      <c r="D26" s="425">
        <v>0</v>
      </c>
      <c r="E26" s="425">
        <v>0</v>
      </c>
      <c r="F26" s="434">
        <v>0</v>
      </c>
      <c r="G26" s="448"/>
      <c r="H26" s="448"/>
      <c r="I26" s="448"/>
    </row>
    <row r="27" spans="1:9" x14ac:dyDescent="0.25">
      <c r="A27" s="438" t="s">
        <v>1210</v>
      </c>
      <c r="B27" s="1293">
        <v>0</v>
      </c>
      <c r="C27" s="1294"/>
      <c r="D27" s="425">
        <v>0</v>
      </c>
      <c r="E27" s="425">
        <v>0</v>
      </c>
      <c r="F27" s="434">
        <v>0</v>
      </c>
      <c r="G27" s="448"/>
      <c r="H27" s="448"/>
      <c r="I27" s="448"/>
    </row>
    <row r="28" spans="1:9" x14ac:dyDescent="0.25">
      <c r="A28" s="406" t="s">
        <v>1211</v>
      </c>
      <c r="B28" s="1353">
        <v>0</v>
      </c>
      <c r="C28" s="1354"/>
      <c r="D28" s="429">
        <v>0</v>
      </c>
      <c r="E28" s="429">
        <v>0</v>
      </c>
      <c r="F28" s="468">
        <v>0</v>
      </c>
      <c r="G28" s="450">
        <f>SUM(G23:G27)</f>
        <v>0</v>
      </c>
      <c r="H28" s="450">
        <f>SUM(H23:H27)</f>
        <v>0</v>
      </c>
      <c r="I28" s="450">
        <f>SUM(I23:I27)</f>
        <v>0</v>
      </c>
    </row>
    <row r="29" spans="1:9" x14ac:dyDescent="0.25">
      <c r="A29" s="406" t="s">
        <v>1212</v>
      </c>
      <c r="B29" s="1290">
        <v>0</v>
      </c>
      <c r="C29" s="1290"/>
      <c r="D29" s="429">
        <v>0</v>
      </c>
      <c r="E29" s="429">
        <v>0</v>
      </c>
      <c r="F29" s="468">
        <v>0</v>
      </c>
      <c r="G29" s="450">
        <f>G22+G28</f>
        <v>0</v>
      </c>
      <c r="H29" s="450">
        <f>H22+H28</f>
        <v>0</v>
      </c>
      <c r="I29" s="450">
        <f>I22+I28</f>
        <v>0</v>
      </c>
    </row>
    <row r="30" spans="1:9" ht="5.45" customHeight="1" x14ac:dyDescent="0.25">
      <c r="A30" s="241"/>
      <c r="B30" s="241"/>
      <c r="C30" s="241"/>
      <c r="D30" s="241"/>
      <c r="E30" s="241"/>
      <c r="F30" s="241"/>
      <c r="G30" s="241"/>
      <c r="H30" s="241"/>
      <c r="I30" s="241"/>
    </row>
    <row r="31" spans="1:9" x14ac:dyDescent="0.25">
      <c r="A31" s="241" t="s">
        <v>908</v>
      </c>
      <c r="B31" s="241"/>
      <c r="C31" s="241"/>
      <c r="D31" s="241"/>
      <c r="E31" s="241"/>
      <c r="F31" s="241"/>
      <c r="G31" s="241"/>
      <c r="H31" s="241"/>
      <c r="I31" s="241"/>
    </row>
    <row r="32" spans="1:9" x14ac:dyDescent="0.25">
      <c r="A32" s="1103"/>
      <c r="B32" s="1104"/>
      <c r="C32" s="1104"/>
      <c r="D32" s="1104"/>
      <c r="E32" s="1104"/>
      <c r="F32" s="1104"/>
      <c r="G32" s="1104"/>
      <c r="H32" s="1104"/>
      <c r="I32" s="1105"/>
    </row>
    <row r="33" spans="1:9" x14ac:dyDescent="0.25">
      <c r="A33" s="1106"/>
      <c r="B33" s="1107"/>
      <c r="C33" s="1107"/>
      <c r="D33" s="1107"/>
      <c r="E33" s="1107"/>
      <c r="F33" s="1107"/>
      <c r="G33" s="1107"/>
      <c r="H33" s="1107"/>
      <c r="I33" s="1108"/>
    </row>
    <row r="34" spans="1:9" x14ac:dyDescent="0.25">
      <c r="A34" s="1106"/>
      <c r="B34" s="1107"/>
      <c r="C34" s="1107"/>
      <c r="D34" s="1107"/>
      <c r="E34" s="1107"/>
      <c r="F34" s="1107"/>
      <c r="G34" s="1107"/>
      <c r="H34" s="1107"/>
      <c r="I34" s="1108"/>
    </row>
    <row r="35" spans="1:9" x14ac:dyDescent="0.25">
      <c r="A35" s="1106"/>
      <c r="B35" s="1107"/>
      <c r="C35" s="1107"/>
      <c r="D35" s="1107"/>
      <c r="E35" s="1107"/>
      <c r="F35" s="1107"/>
      <c r="G35" s="1107"/>
      <c r="H35" s="1107"/>
      <c r="I35" s="1108"/>
    </row>
    <row r="36" spans="1:9" x14ac:dyDescent="0.25">
      <c r="A36" s="1106"/>
      <c r="B36" s="1107"/>
      <c r="C36" s="1107"/>
      <c r="D36" s="1107"/>
      <c r="E36" s="1107"/>
      <c r="F36" s="1107"/>
      <c r="G36" s="1107"/>
      <c r="H36" s="1107"/>
      <c r="I36" s="1108"/>
    </row>
    <row r="37" spans="1:9" x14ac:dyDescent="0.25">
      <c r="A37" s="1106"/>
      <c r="B37" s="1107"/>
      <c r="C37" s="1107"/>
      <c r="D37" s="1107"/>
      <c r="E37" s="1107"/>
      <c r="F37" s="1107"/>
      <c r="G37" s="1107"/>
      <c r="H37" s="1107"/>
      <c r="I37" s="1108"/>
    </row>
    <row r="38" spans="1:9" x14ac:dyDescent="0.25">
      <c r="A38" s="1109"/>
      <c r="B38" s="1110"/>
      <c r="C38" s="1110"/>
      <c r="D38" s="1110"/>
      <c r="E38" s="1110"/>
      <c r="F38" s="1110"/>
      <c r="G38" s="1110"/>
      <c r="H38" s="1110"/>
      <c r="I38" s="1111"/>
    </row>
  </sheetData>
  <mergeCells count="38">
    <mergeCell ref="B2:I2"/>
    <mergeCell ref="B3:I3"/>
    <mergeCell ref="B4:I4"/>
    <mergeCell ref="B5:I5"/>
    <mergeCell ref="B6:C6"/>
    <mergeCell ref="D6:E6"/>
    <mergeCell ref="H6:I6"/>
    <mergeCell ref="B7:D7"/>
    <mergeCell ref="B8:I8"/>
    <mergeCell ref="B9:I9"/>
    <mergeCell ref="B10:D10"/>
    <mergeCell ref="E10:F10"/>
    <mergeCell ref="G10:I10"/>
    <mergeCell ref="B21:C21"/>
    <mergeCell ref="B11:D11"/>
    <mergeCell ref="E11:F11"/>
    <mergeCell ref="G11:I11"/>
    <mergeCell ref="A13:I13"/>
    <mergeCell ref="A14:I14"/>
    <mergeCell ref="A16:A17"/>
    <mergeCell ref="B16:C16"/>
    <mergeCell ref="E16:F16"/>
    <mergeCell ref="G16:G17"/>
    <mergeCell ref="H16:H17"/>
    <mergeCell ref="I16:I17"/>
    <mergeCell ref="B17:C17"/>
    <mergeCell ref="B18:C18"/>
    <mergeCell ref="B19:C19"/>
    <mergeCell ref="B20:C20"/>
    <mergeCell ref="B28:C28"/>
    <mergeCell ref="B29:C29"/>
    <mergeCell ref="A32:I38"/>
    <mergeCell ref="B22:C22"/>
    <mergeCell ref="B23:C23"/>
    <mergeCell ref="B24:C24"/>
    <mergeCell ref="B25:C25"/>
    <mergeCell ref="B26:C26"/>
    <mergeCell ref="B27:C27"/>
  </mergeCells>
  <pageMargins left="0.7" right="0.7" top="0.75" bottom="0.75" header="0.3" footer="0.3"/>
  <drawing r:id="rId1"/>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6EA59A-EDD4-40A4-9007-90418770E2E4}">
  <dimension ref="A2:H33"/>
  <sheetViews>
    <sheetView workbookViewId="0">
      <selection sqref="A1:XFD1048576"/>
    </sheetView>
  </sheetViews>
  <sheetFormatPr baseColWidth="10" defaultRowHeight="15" x14ac:dyDescent="0.25"/>
  <cols>
    <col min="1" max="1" width="37.140625" customWidth="1"/>
    <col min="2" max="2" width="5.85546875" customWidth="1"/>
    <col min="3" max="3" width="16.28515625" customWidth="1"/>
    <col min="4" max="4" width="17.140625" customWidth="1"/>
    <col min="5" max="5" width="17.28515625" customWidth="1"/>
    <col min="6" max="6" width="14" customWidth="1"/>
    <col min="7" max="7" width="17.5703125" customWidth="1"/>
    <col min="8" max="8" width="7.85546875" customWidth="1"/>
  </cols>
  <sheetData>
    <row r="2" spans="1:8" x14ac:dyDescent="0.25">
      <c r="A2" s="237" t="s">
        <v>464</v>
      </c>
      <c r="B2" s="958" t="s">
        <v>2</v>
      </c>
      <c r="C2" s="958"/>
      <c r="D2" s="958"/>
      <c r="E2" s="958"/>
      <c r="F2" s="958"/>
      <c r="G2" s="958"/>
      <c r="H2" s="958"/>
    </row>
    <row r="3" spans="1:8" x14ac:dyDescent="0.25">
      <c r="A3" s="237"/>
      <c r="B3" s="957" t="s">
        <v>4</v>
      </c>
      <c r="C3" s="957"/>
      <c r="D3" s="957"/>
      <c r="E3" s="957"/>
      <c r="F3" s="957"/>
      <c r="G3" s="957"/>
      <c r="H3" s="957"/>
    </row>
    <row r="4" spans="1:8" x14ac:dyDescent="0.25">
      <c r="A4" s="237" t="s">
        <v>362</v>
      </c>
      <c r="B4" s="957" t="s">
        <v>6</v>
      </c>
      <c r="C4" s="957"/>
      <c r="D4" s="957"/>
      <c r="E4" s="957"/>
      <c r="F4" s="957"/>
      <c r="G4" s="957"/>
      <c r="H4" s="957"/>
    </row>
    <row r="5" spans="1:8" x14ac:dyDescent="0.25">
      <c r="A5" s="237" t="s">
        <v>363</v>
      </c>
      <c r="B5" s="957">
        <v>4431</v>
      </c>
      <c r="C5" s="957"/>
      <c r="D5" s="957"/>
      <c r="E5" s="957"/>
      <c r="F5" s="957"/>
      <c r="G5" s="957"/>
      <c r="H5" s="957"/>
    </row>
    <row r="6" spans="1:8" x14ac:dyDescent="0.25">
      <c r="A6" s="237" t="s">
        <v>364</v>
      </c>
      <c r="B6" s="957" t="s">
        <v>12</v>
      </c>
      <c r="C6" s="957"/>
      <c r="D6" s="959" t="s">
        <v>365</v>
      </c>
      <c r="E6" s="959"/>
      <c r="F6" s="309">
        <v>46022</v>
      </c>
      <c r="G6" s="46" t="s">
        <v>465</v>
      </c>
      <c r="H6" s="235">
        <v>12</v>
      </c>
    </row>
    <row r="7" spans="1:8" x14ac:dyDescent="0.25">
      <c r="A7" s="311" t="s">
        <v>367</v>
      </c>
      <c r="B7" s="958" t="s">
        <v>8</v>
      </c>
      <c r="C7" s="958"/>
      <c r="D7" s="958"/>
      <c r="E7" s="199"/>
      <c r="F7" s="199"/>
      <c r="G7" s="199"/>
      <c r="H7" s="199"/>
    </row>
    <row r="8" spans="1:8" x14ac:dyDescent="0.25">
      <c r="A8" s="238" t="s">
        <v>466</v>
      </c>
      <c r="B8" s="958" t="s">
        <v>34</v>
      </c>
      <c r="C8" s="958"/>
      <c r="D8" s="958"/>
      <c r="E8" s="958"/>
      <c r="F8" s="958"/>
      <c r="G8" s="958"/>
      <c r="H8" s="958"/>
    </row>
    <row r="9" spans="1:8" x14ac:dyDescent="0.25">
      <c r="A9" s="238"/>
      <c r="B9" s="957">
        <v>555555</v>
      </c>
      <c r="C9" s="957"/>
      <c r="D9" s="957"/>
      <c r="E9" s="957"/>
      <c r="F9" s="957"/>
      <c r="G9" s="957"/>
      <c r="H9" s="957"/>
    </row>
    <row r="10" spans="1:8" x14ac:dyDescent="0.25">
      <c r="A10" s="238" t="s">
        <v>467</v>
      </c>
      <c r="B10" s="957" t="s">
        <v>38</v>
      </c>
      <c r="C10" s="957"/>
      <c r="D10" s="957"/>
      <c r="E10" s="959" t="s">
        <v>468</v>
      </c>
      <c r="F10" s="959"/>
      <c r="G10" s="957" t="s">
        <v>36</v>
      </c>
      <c r="H10" s="957"/>
    </row>
    <row r="11" spans="1:8" x14ac:dyDescent="0.25">
      <c r="A11" s="238" t="s">
        <v>469</v>
      </c>
      <c r="B11" s="954">
        <v>44713</v>
      </c>
      <c r="C11" s="954"/>
      <c r="D11" s="954"/>
      <c r="E11" s="975" t="s">
        <v>470</v>
      </c>
      <c r="F11" s="975"/>
      <c r="G11" s="954">
        <v>45991</v>
      </c>
      <c r="H11" s="954"/>
    </row>
    <row r="12" spans="1:8" ht="8.4499999999999993" customHeight="1" x14ac:dyDescent="0.25"/>
    <row r="13" spans="1:8" ht="16.899999999999999" customHeight="1" x14ac:dyDescent="0.25">
      <c r="A13" s="788" t="s">
        <v>1213</v>
      </c>
      <c r="B13" s="788"/>
      <c r="C13" s="788"/>
      <c r="D13" s="788"/>
      <c r="E13" s="788"/>
      <c r="F13" s="788"/>
      <c r="G13" s="788"/>
      <c r="H13" s="788"/>
    </row>
    <row r="14" spans="1:8" x14ac:dyDescent="0.25">
      <c r="A14" s="788" t="s">
        <v>1214</v>
      </c>
      <c r="B14" s="788"/>
      <c r="C14" s="788"/>
      <c r="D14" s="788"/>
      <c r="E14" s="788"/>
      <c r="F14" s="788"/>
      <c r="G14" s="788"/>
      <c r="H14" s="788"/>
    </row>
    <row r="15" spans="1:8" ht="8.4499999999999993" customHeight="1" x14ac:dyDescent="0.25">
      <c r="A15" s="484"/>
      <c r="B15" s="484"/>
      <c r="C15" s="484"/>
      <c r="D15" s="484"/>
      <c r="E15" s="484"/>
      <c r="F15" s="484"/>
      <c r="G15" s="484"/>
      <c r="H15" s="484"/>
    </row>
    <row r="16" spans="1:8" x14ac:dyDescent="0.25">
      <c r="A16" s="1379" t="s">
        <v>988</v>
      </c>
      <c r="B16" s="1379"/>
      <c r="C16" s="988" t="s">
        <v>989</v>
      </c>
      <c r="D16" s="988"/>
      <c r="E16" s="988" t="s">
        <v>989</v>
      </c>
      <c r="F16" s="988"/>
      <c r="G16" s="1144" t="s">
        <v>1008</v>
      </c>
      <c r="H16" s="1146"/>
    </row>
    <row r="17" spans="1:8" x14ac:dyDescent="0.25">
      <c r="A17" s="1379"/>
      <c r="B17" s="1379"/>
      <c r="C17" s="1378">
        <v>46022</v>
      </c>
      <c r="D17" s="1378"/>
      <c r="E17" s="1378">
        <v>46022</v>
      </c>
      <c r="F17" s="1378"/>
      <c r="G17" s="485" t="s">
        <v>1009</v>
      </c>
      <c r="H17" s="485" t="s">
        <v>1034</v>
      </c>
    </row>
    <row r="18" spans="1:8" x14ac:dyDescent="0.25">
      <c r="A18" s="1263" t="s">
        <v>1073</v>
      </c>
      <c r="B18" s="1265"/>
      <c r="C18" s="1293">
        <v>0</v>
      </c>
      <c r="D18" s="1294"/>
      <c r="E18" s="1293">
        <v>0</v>
      </c>
      <c r="F18" s="1294"/>
      <c r="G18" s="426">
        <v>0</v>
      </c>
      <c r="H18" s="434">
        <v>0</v>
      </c>
    </row>
    <row r="19" spans="1:8" x14ac:dyDescent="0.25">
      <c r="A19" s="1263" t="s">
        <v>1215</v>
      </c>
      <c r="B19" s="1265"/>
      <c r="C19" s="1293">
        <v>0</v>
      </c>
      <c r="D19" s="1294"/>
      <c r="E19" s="1293">
        <v>0</v>
      </c>
      <c r="F19" s="1294"/>
      <c r="G19" s="426">
        <v>0</v>
      </c>
      <c r="H19" s="434">
        <v>0</v>
      </c>
    </row>
    <row r="20" spans="1:8" x14ac:dyDescent="0.25">
      <c r="A20" s="1263" t="s">
        <v>1216</v>
      </c>
      <c r="B20" s="1265"/>
      <c r="C20" s="1293">
        <v>0</v>
      </c>
      <c r="D20" s="1294"/>
      <c r="E20" s="1293">
        <v>0</v>
      </c>
      <c r="F20" s="1294"/>
      <c r="G20" s="426">
        <v>0</v>
      </c>
      <c r="H20" s="434">
        <v>0</v>
      </c>
    </row>
    <row r="21" spans="1:8" x14ac:dyDescent="0.25">
      <c r="A21" s="1350" t="s">
        <v>1078</v>
      </c>
      <c r="B21" s="1351"/>
      <c r="C21" s="1293">
        <v>0</v>
      </c>
      <c r="D21" s="1294"/>
      <c r="E21" s="1293">
        <v>0</v>
      </c>
      <c r="F21" s="1294"/>
      <c r="G21" s="426">
        <v>0</v>
      </c>
      <c r="H21" s="434">
        <v>0</v>
      </c>
    </row>
    <row r="22" spans="1:8" x14ac:dyDescent="0.25">
      <c r="A22" s="1263" t="s">
        <v>1217</v>
      </c>
      <c r="B22" s="1265"/>
      <c r="C22" s="1293">
        <v>0</v>
      </c>
      <c r="D22" s="1294"/>
      <c r="E22" s="1293">
        <v>0</v>
      </c>
      <c r="F22" s="1294"/>
      <c r="G22" s="426">
        <v>0</v>
      </c>
      <c r="H22" s="434">
        <v>0</v>
      </c>
    </row>
    <row r="23" spans="1:8" x14ac:dyDescent="0.25">
      <c r="A23" s="1345" t="s">
        <v>1218</v>
      </c>
      <c r="B23" s="1346"/>
      <c r="C23" s="1353">
        <v>0</v>
      </c>
      <c r="D23" s="1354"/>
      <c r="E23" s="1353">
        <v>0</v>
      </c>
      <c r="F23" s="1354"/>
      <c r="G23" s="479">
        <v>0</v>
      </c>
      <c r="H23" s="468">
        <v>0</v>
      </c>
    </row>
    <row r="24" spans="1:8" ht="6.6" customHeight="1" x14ac:dyDescent="0.25">
      <c r="A24" s="241"/>
      <c r="B24" s="241"/>
      <c r="C24" s="241"/>
      <c r="D24" s="241"/>
      <c r="E24" s="241"/>
      <c r="F24" s="241"/>
      <c r="G24" s="241"/>
      <c r="H24" s="241"/>
    </row>
    <row r="25" spans="1:8" x14ac:dyDescent="0.25">
      <c r="A25" s="241" t="s">
        <v>908</v>
      </c>
      <c r="B25" s="241"/>
      <c r="C25" s="241"/>
      <c r="D25" s="241"/>
      <c r="E25" s="241"/>
      <c r="F25" s="241"/>
      <c r="G25" s="241"/>
      <c r="H25" s="241"/>
    </row>
    <row r="26" spans="1:8" x14ac:dyDescent="0.25">
      <c r="A26" s="1103"/>
      <c r="B26" s="1104"/>
      <c r="C26" s="1104"/>
      <c r="D26" s="1104"/>
      <c r="E26" s="1104"/>
      <c r="F26" s="1104"/>
      <c r="G26" s="1104"/>
      <c r="H26" s="1105"/>
    </row>
    <row r="27" spans="1:8" x14ac:dyDescent="0.25">
      <c r="A27" s="1106"/>
      <c r="B27" s="1107"/>
      <c r="C27" s="1107"/>
      <c r="D27" s="1107"/>
      <c r="E27" s="1107"/>
      <c r="F27" s="1107"/>
      <c r="G27" s="1107"/>
      <c r="H27" s="1108"/>
    </row>
    <row r="28" spans="1:8" x14ac:dyDescent="0.25">
      <c r="A28" s="1106"/>
      <c r="B28" s="1107"/>
      <c r="C28" s="1107"/>
      <c r="D28" s="1107"/>
      <c r="E28" s="1107"/>
      <c r="F28" s="1107"/>
      <c r="G28" s="1107"/>
      <c r="H28" s="1108"/>
    </row>
    <row r="29" spans="1:8" x14ac:dyDescent="0.25">
      <c r="A29" s="1106"/>
      <c r="B29" s="1107"/>
      <c r="C29" s="1107"/>
      <c r="D29" s="1107"/>
      <c r="E29" s="1107"/>
      <c r="F29" s="1107"/>
      <c r="G29" s="1107"/>
      <c r="H29" s="1108"/>
    </row>
    <row r="30" spans="1:8" x14ac:dyDescent="0.25">
      <c r="A30" s="1106"/>
      <c r="B30" s="1107"/>
      <c r="C30" s="1107"/>
      <c r="D30" s="1107"/>
      <c r="E30" s="1107"/>
      <c r="F30" s="1107"/>
      <c r="G30" s="1107"/>
      <c r="H30" s="1108"/>
    </row>
    <row r="31" spans="1:8" x14ac:dyDescent="0.25">
      <c r="A31" s="1109"/>
      <c r="B31" s="1110"/>
      <c r="C31" s="1110"/>
      <c r="D31" s="1110"/>
      <c r="E31" s="1110"/>
      <c r="F31" s="1110"/>
      <c r="G31" s="1110"/>
      <c r="H31" s="1111"/>
    </row>
    <row r="32" spans="1:8" ht="9.6" customHeight="1" x14ac:dyDescent="0.25">
      <c r="A32" s="241"/>
      <c r="B32" s="241"/>
      <c r="C32" s="241"/>
      <c r="D32" s="241"/>
      <c r="E32" s="241"/>
      <c r="F32" s="241"/>
      <c r="G32" s="241"/>
      <c r="H32" s="241"/>
    </row>
    <row r="33" spans="1:8" x14ac:dyDescent="0.25">
      <c r="A33" s="1377" t="s">
        <v>1219</v>
      </c>
      <c r="B33" s="1377"/>
      <c r="C33" s="1377"/>
      <c r="D33" s="1377"/>
      <c r="E33" s="1377"/>
      <c r="F33" s="1377"/>
      <c r="G33" s="1377"/>
      <c r="H33" s="1377"/>
    </row>
  </sheetData>
  <mergeCells count="43">
    <mergeCell ref="B2:H2"/>
    <mergeCell ref="B3:H3"/>
    <mergeCell ref="B4:H4"/>
    <mergeCell ref="B5:H5"/>
    <mergeCell ref="B6:C6"/>
    <mergeCell ref="D6:E6"/>
    <mergeCell ref="G16:H16"/>
    <mergeCell ref="C17:D17"/>
    <mergeCell ref="B7:D7"/>
    <mergeCell ref="B8:H8"/>
    <mergeCell ref="B9:H9"/>
    <mergeCell ref="B10:D10"/>
    <mergeCell ref="E10:F10"/>
    <mergeCell ref="G10:H10"/>
    <mergeCell ref="B11:D11"/>
    <mergeCell ref="E11:F11"/>
    <mergeCell ref="G11:H11"/>
    <mergeCell ref="A13:H13"/>
    <mergeCell ref="A14:H14"/>
    <mergeCell ref="E17:F17"/>
    <mergeCell ref="A16:B17"/>
    <mergeCell ref="C16:D16"/>
    <mergeCell ref="E16:F16"/>
    <mergeCell ref="A20:B20"/>
    <mergeCell ref="C20:D20"/>
    <mergeCell ref="E20:F20"/>
    <mergeCell ref="A21:B21"/>
    <mergeCell ref="C21:D21"/>
    <mergeCell ref="E21:F21"/>
    <mergeCell ref="A18:B18"/>
    <mergeCell ref="C18:D18"/>
    <mergeCell ref="E18:F18"/>
    <mergeCell ref="A19:B19"/>
    <mergeCell ref="C19:D19"/>
    <mergeCell ref="E19:F19"/>
    <mergeCell ref="A26:H31"/>
    <mergeCell ref="A33:H33"/>
    <mergeCell ref="A22:B22"/>
    <mergeCell ref="C22:D22"/>
    <mergeCell ref="E22:F22"/>
    <mergeCell ref="A23:B23"/>
    <mergeCell ref="C23:D23"/>
    <mergeCell ref="E23:F23"/>
  </mergeCells>
  <pageMargins left="0.7" right="0.7" top="0.75" bottom="0.75" header="0.3" footer="0.3"/>
  <drawing r:id="rId1"/>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603263-09FD-41F5-B0CD-15AEE4B710BE}">
  <dimension ref="A2:H35"/>
  <sheetViews>
    <sheetView workbookViewId="0">
      <selection sqref="A1:XFD1048576"/>
    </sheetView>
  </sheetViews>
  <sheetFormatPr baseColWidth="10" defaultRowHeight="15" x14ac:dyDescent="0.25"/>
  <cols>
    <col min="1" max="1" width="37.140625" customWidth="1"/>
    <col min="2" max="2" width="10.7109375" customWidth="1"/>
    <col min="3" max="3" width="13.42578125" customWidth="1"/>
    <col min="4" max="5" width="11.28515625" customWidth="1"/>
    <col min="6" max="6" width="15.28515625" customWidth="1"/>
    <col min="7" max="7" width="17.5703125" customWidth="1"/>
    <col min="8" max="8" width="7.85546875" customWidth="1"/>
  </cols>
  <sheetData>
    <row r="2" spans="1:8" x14ac:dyDescent="0.25">
      <c r="A2" s="237" t="s">
        <v>464</v>
      </c>
      <c r="B2" s="958" t="s">
        <v>2</v>
      </c>
      <c r="C2" s="958"/>
      <c r="D2" s="958"/>
      <c r="E2" s="958"/>
      <c r="F2" s="958"/>
      <c r="G2" s="958"/>
      <c r="H2" s="958"/>
    </row>
    <row r="3" spans="1:8" x14ac:dyDescent="0.25">
      <c r="A3" s="237"/>
      <c r="B3" s="957" t="s">
        <v>4</v>
      </c>
      <c r="C3" s="957"/>
      <c r="D3" s="957"/>
      <c r="E3" s="957"/>
      <c r="F3" s="957"/>
      <c r="G3" s="957"/>
      <c r="H3" s="957"/>
    </row>
    <row r="4" spans="1:8" x14ac:dyDescent="0.25">
      <c r="A4" s="237" t="s">
        <v>362</v>
      </c>
      <c r="B4" s="957" t="s">
        <v>6</v>
      </c>
      <c r="C4" s="957"/>
      <c r="D4" s="957"/>
      <c r="E4" s="957"/>
      <c r="F4" s="957"/>
      <c r="G4" s="957"/>
      <c r="H4" s="957"/>
    </row>
    <row r="5" spans="1:8" x14ac:dyDescent="0.25">
      <c r="A5" s="237" t="s">
        <v>363</v>
      </c>
      <c r="B5" s="957">
        <v>4431</v>
      </c>
      <c r="C5" s="957"/>
      <c r="D5" s="957"/>
      <c r="E5" s="957"/>
      <c r="F5" s="957"/>
      <c r="G5" s="957"/>
      <c r="H5" s="957"/>
    </row>
    <row r="6" spans="1:8" x14ac:dyDescent="0.25">
      <c r="A6" s="237" t="s">
        <v>364</v>
      </c>
      <c r="B6" s="957" t="s">
        <v>12</v>
      </c>
      <c r="C6" s="957"/>
      <c r="D6" s="959" t="s">
        <v>365</v>
      </c>
      <c r="E6" s="959"/>
      <c r="F6" s="309">
        <v>46022</v>
      </c>
      <c r="G6" s="46" t="s">
        <v>465</v>
      </c>
      <c r="H6" s="235">
        <v>12</v>
      </c>
    </row>
    <row r="7" spans="1:8" x14ac:dyDescent="0.25">
      <c r="A7" s="311" t="s">
        <v>367</v>
      </c>
      <c r="B7" s="958" t="s">
        <v>8</v>
      </c>
      <c r="C7" s="958"/>
      <c r="D7" s="958"/>
      <c r="E7" s="199"/>
      <c r="F7" s="199"/>
      <c r="G7" s="199"/>
      <c r="H7" s="199"/>
    </row>
    <row r="8" spans="1:8" x14ac:dyDescent="0.25">
      <c r="A8" s="238" t="s">
        <v>466</v>
      </c>
      <c r="B8" s="958" t="s">
        <v>34</v>
      </c>
      <c r="C8" s="958"/>
      <c r="D8" s="958"/>
      <c r="E8" s="958"/>
      <c r="F8" s="958"/>
      <c r="G8" s="958"/>
      <c r="H8" s="958"/>
    </row>
    <row r="9" spans="1:8" x14ac:dyDescent="0.25">
      <c r="A9" s="238"/>
      <c r="B9" s="957">
        <v>555555</v>
      </c>
      <c r="C9" s="957"/>
      <c r="D9" s="957"/>
      <c r="E9" s="957"/>
      <c r="F9" s="957"/>
      <c r="G9" s="957"/>
      <c r="H9" s="957"/>
    </row>
    <row r="10" spans="1:8" x14ac:dyDescent="0.25">
      <c r="A10" s="238" t="s">
        <v>467</v>
      </c>
      <c r="B10" s="957" t="s">
        <v>38</v>
      </c>
      <c r="C10" s="957"/>
      <c r="D10" s="957"/>
      <c r="E10" s="959" t="s">
        <v>468</v>
      </c>
      <c r="F10" s="959"/>
      <c r="G10" s="957" t="s">
        <v>36</v>
      </c>
      <c r="H10" s="957"/>
    </row>
    <row r="11" spans="1:8" x14ac:dyDescent="0.25">
      <c r="A11" s="238" t="s">
        <v>469</v>
      </c>
      <c r="B11" s="954">
        <v>44713</v>
      </c>
      <c r="C11" s="954"/>
      <c r="D11" s="954"/>
      <c r="E11" s="975" t="s">
        <v>470</v>
      </c>
      <c r="F11" s="975"/>
      <c r="G11" s="954">
        <v>45991</v>
      </c>
      <c r="H11" s="954"/>
    </row>
    <row r="12" spans="1:8" ht="7.9" customHeight="1" x14ac:dyDescent="0.25"/>
    <row r="13" spans="1:8" x14ac:dyDescent="0.25">
      <c r="A13" s="788" t="s">
        <v>1220</v>
      </c>
      <c r="B13" s="788"/>
      <c r="C13" s="788"/>
      <c r="D13" s="788"/>
      <c r="E13" s="788"/>
      <c r="F13" s="788"/>
      <c r="G13" s="788"/>
      <c r="H13" s="788"/>
    </row>
    <row r="14" spans="1:8" x14ac:dyDescent="0.25">
      <c r="A14" s="788" t="s">
        <v>1221</v>
      </c>
      <c r="B14" s="788"/>
      <c r="C14" s="788"/>
      <c r="D14" s="788"/>
      <c r="E14" s="788"/>
      <c r="F14" s="788"/>
      <c r="G14" s="788"/>
      <c r="H14" s="788"/>
    </row>
    <row r="15" spans="1:8" ht="7.9" customHeight="1" x14ac:dyDescent="0.25">
      <c r="A15" s="484"/>
      <c r="B15" s="484"/>
      <c r="C15" s="484"/>
      <c r="D15" s="484"/>
      <c r="E15" s="484"/>
      <c r="F15" s="484"/>
      <c r="G15" s="484"/>
      <c r="H15" s="484"/>
    </row>
    <row r="16" spans="1:8" x14ac:dyDescent="0.25">
      <c r="A16" s="1379" t="s">
        <v>988</v>
      </c>
      <c r="B16" s="1379"/>
      <c r="C16" s="988" t="s">
        <v>989</v>
      </c>
      <c r="D16" s="988"/>
      <c r="E16" s="988" t="s">
        <v>989</v>
      </c>
      <c r="F16" s="988"/>
      <c r="G16" s="1144" t="s">
        <v>1008</v>
      </c>
      <c r="H16" s="1146"/>
    </row>
    <row r="17" spans="1:8" x14ac:dyDescent="0.25">
      <c r="A17" s="1379"/>
      <c r="B17" s="1379"/>
      <c r="C17" s="1378">
        <v>46022</v>
      </c>
      <c r="D17" s="1378"/>
      <c r="E17" s="1378">
        <v>46022</v>
      </c>
      <c r="F17" s="1378"/>
      <c r="G17" s="485" t="s">
        <v>1009</v>
      </c>
      <c r="H17" s="485" t="s">
        <v>1034</v>
      </c>
    </row>
    <row r="18" spans="1:8" x14ac:dyDescent="0.25">
      <c r="A18" s="1263" t="s">
        <v>1222</v>
      </c>
      <c r="B18" s="1265"/>
      <c r="C18" s="1293">
        <v>0</v>
      </c>
      <c r="D18" s="1294"/>
      <c r="E18" s="1293">
        <v>0</v>
      </c>
      <c r="F18" s="1294"/>
      <c r="G18" s="426">
        <v>0</v>
      </c>
      <c r="H18" s="434">
        <v>0</v>
      </c>
    </row>
    <row r="19" spans="1:8" x14ac:dyDescent="0.25">
      <c r="A19" s="1263" t="s">
        <v>1223</v>
      </c>
      <c r="B19" s="1265"/>
      <c r="C19" s="1293">
        <v>0</v>
      </c>
      <c r="D19" s="1294"/>
      <c r="E19" s="1293">
        <v>0</v>
      </c>
      <c r="F19" s="1294"/>
      <c r="G19" s="426">
        <v>0</v>
      </c>
      <c r="H19" s="434">
        <v>0</v>
      </c>
    </row>
    <row r="20" spans="1:8" x14ac:dyDescent="0.25">
      <c r="A20" s="1263" t="s">
        <v>610</v>
      </c>
      <c r="B20" s="1265"/>
      <c r="C20" s="1293">
        <v>0</v>
      </c>
      <c r="D20" s="1294"/>
      <c r="E20" s="1293">
        <v>0</v>
      </c>
      <c r="F20" s="1294"/>
      <c r="G20" s="426">
        <v>0</v>
      </c>
      <c r="H20" s="434">
        <v>0</v>
      </c>
    </row>
    <row r="21" spans="1:8" x14ac:dyDescent="0.25">
      <c r="A21" s="1350" t="s">
        <v>1224</v>
      </c>
      <c r="B21" s="1351"/>
      <c r="C21" s="1293">
        <v>0</v>
      </c>
      <c r="D21" s="1294"/>
      <c r="E21" s="1293">
        <v>0</v>
      </c>
      <c r="F21" s="1294"/>
      <c r="G21" s="426">
        <v>0</v>
      </c>
      <c r="H21" s="434">
        <v>0</v>
      </c>
    </row>
    <row r="22" spans="1:8" x14ac:dyDescent="0.25">
      <c r="A22" s="1350" t="s">
        <v>1225</v>
      </c>
      <c r="B22" s="1351"/>
      <c r="C22" s="1293">
        <v>0</v>
      </c>
      <c r="D22" s="1294"/>
      <c r="E22" s="1293">
        <v>0</v>
      </c>
      <c r="F22" s="1294"/>
      <c r="G22" s="426">
        <v>0</v>
      </c>
      <c r="H22" s="434">
        <v>0</v>
      </c>
    </row>
    <row r="23" spans="1:8" x14ac:dyDescent="0.25">
      <c r="A23" s="1350" t="s">
        <v>1226</v>
      </c>
      <c r="B23" s="1351"/>
      <c r="C23" s="1293">
        <v>0</v>
      </c>
      <c r="D23" s="1294"/>
      <c r="E23" s="1293">
        <v>0</v>
      </c>
      <c r="F23" s="1294"/>
      <c r="G23" s="426">
        <v>0</v>
      </c>
      <c r="H23" s="434">
        <v>0</v>
      </c>
    </row>
    <row r="24" spans="1:8" x14ac:dyDescent="0.25">
      <c r="A24" s="1345" t="s">
        <v>1227</v>
      </c>
      <c r="B24" s="1346"/>
      <c r="C24" s="1353">
        <v>0</v>
      </c>
      <c r="D24" s="1354"/>
      <c r="E24" s="1353">
        <v>0</v>
      </c>
      <c r="F24" s="1354"/>
      <c r="G24" s="479">
        <v>0</v>
      </c>
      <c r="H24" s="468">
        <v>0</v>
      </c>
    </row>
    <row r="25" spans="1:8" x14ac:dyDescent="0.25">
      <c r="A25" s="1381" t="s">
        <v>616</v>
      </c>
      <c r="B25" s="1381"/>
      <c r="C25" s="1382">
        <v>0</v>
      </c>
      <c r="D25" s="1383"/>
      <c r="E25" s="1382">
        <v>0</v>
      </c>
      <c r="F25" s="1383"/>
      <c r="G25" s="426">
        <v>0</v>
      </c>
      <c r="H25" s="434">
        <v>0</v>
      </c>
    </row>
    <row r="26" spans="1:8" x14ac:dyDescent="0.25">
      <c r="A26" s="1381" t="s">
        <v>1228</v>
      </c>
      <c r="B26" s="1381"/>
      <c r="C26" s="1382">
        <v>0</v>
      </c>
      <c r="D26" s="1383"/>
      <c r="E26" s="1382">
        <v>0</v>
      </c>
      <c r="F26" s="1383"/>
      <c r="G26" s="426">
        <v>0</v>
      </c>
      <c r="H26" s="434">
        <v>0</v>
      </c>
    </row>
    <row r="27" spans="1:8" ht="27" customHeight="1" x14ac:dyDescent="0.25">
      <c r="A27" s="1345" t="s">
        <v>1229</v>
      </c>
      <c r="B27" s="1346"/>
      <c r="C27" s="1353">
        <v>0</v>
      </c>
      <c r="D27" s="1354"/>
      <c r="E27" s="1353">
        <v>0</v>
      </c>
      <c r="F27" s="1354"/>
      <c r="G27" s="479">
        <v>0</v>
      </c>
      <c r="H27" s="468">
        <v>0</v>
      </c>
    </row>
    <row r="28" spans="1:8" ht="9.6" customHeight="1" x14ac:dyDescent="0.25">
      <c r="A28" s="1380"/>
      <c r="B28" s="1380"/>
      <c r="C28" s="486"/>
      <c r="D28" s="486"/>
      <c r="E28" s="486"/>
      <c r="F28" s="486"/>
      <c r="G28" s="487"/>
      <c r="H28" s="488"/>
    </row>
    <row r="29" spans="1:8" x14ac:dyDescent="0.25">
      <c r="A29" s="241" t="s">
        <v>908</v>
      </c>
      <c r="B29" s="241"/>
      <c r="C29" s="241"/>
      <c r="D29" s="241"/>
      <c r="E29" s="241"/>
      <c r="F29" s="241"/>
      <c r="G29" s="241"/>
      <c r="H29" s="241"/>
    </row>
    <row r="30" spans="1:8" x14ac:dyDescent="0.25">
      <c r="A30" s="1103"/>
      <c r="B30" s="1104"/>
      <c r="C30" s="1104"/>
      <c r="D30" s="1104"/>
      <c r="E30" s="1104"/>
      <c r="F30" s="1104"/>
      <c r="G30" s="1104"/>
      <c r="H30" s="1105"/>
    </row>
    <row r="31" spans="1:8" x14ac:dyDescent="0.25">
      <c r="A31" s="1106"/>
      <c r="B31" s="1107"/>
      <c r="C31" s="1107"/>
      <c r="D31" s="1107"/>
      <c r="E31" s="1107"/>
      <c r="F31" s="1107"/>
      <c r="G31" s="1107"/>
      <c r="H31" s="1108"/>
    </row>
    <row r="32" spans="1:8" x14ac:dyDescent="0.25">
      <c r="A32" s="1106"/>
      <c r="B32" s="1107"/>
      <c r="C32" s="1107"/>
      <c r="D32" s="1107"/>
      <c r="E32" s="1107"/>
      <c r="F32" s="1107"/>
      <c r="G32" s="1107"/>
      <c r="H32" s="1108"/>
    </row>
    <row r="33" spans="1:8" x14ac:dyDescent="0.25">
      <c r="A33" s="1106"/>
      <c r="B33" s="1107"/>
      <c r="C33" s="1107"/>
      <c r="D33" s="1107"/>
      <c r="E33" s="1107"/>
      <c r="F33" s="1107"/>
      <c r="G33" s="1107"/>
      <c r="H33" s="1108"/>
    </row>
    <row r="34" spans="1:8" x14ac:dyDescent="0.25">
      <c r="A34" s="1106"/>
      <c r="B34" s="1107"/>
      <c r="C34" s="1107"/>
      <c r="D34" s="1107"/>
      <c r="E34" s="1107"/>
      <c r="F34" s="1107"/>
      <c r="G34" s="1107"/>
      <c r="H34" s="1108"/>
    </row>
    <row r="35" spans="1:8" x14ac:dyDescent="0.25">
      <c r="A35" s="1109"/>
      <c r="B35" s="1110"/>
      <c r="C35" s="1110"/>
      <c r="D35" s="1110"/>
      <c r="E35" s="1110"/>
      <c r="F35" s="1110"/>
      <c r="G35" s="1110"/>
      <c r="H35" s="1111"/>
    </row>
  </sheetData>
  <mergeCells count="55">
    <mergeCell ref="B2:H2"/>
    <mergeCell ref="B3:H3"/>
    <mergeCell ref="B4:H4"/>
    <mergeCell ref="B5:H5"/>
    <mergeCell ref="B6:C6"/>
    <mergeCell ref="D6:E6"/>
    <mergeCell ref="G16:H16"/>
    <mergeCell ref="C17:D17"/>
    <mergeCell ref="B7:D7"/>
    <mergeCell ref="B8:H8"/>
    <mergeCell ref="B9:H9"/>
    <mergeCell ref="B10:D10"/>
    <mergeCell ref="E10:F10"/>
    <mergeCell ref="G10:H10"/>
    <mergeCell ref="B11:D11"/>
    <mergeCell ref="E11:F11"/>
    <mergeCell ref="G11:H11"/>
    <mergeCell ref="A13:H13"/>
    <mergeCell ref="A14:H14"/>
    <mergeCell ref="E17:F17"/>
    <mergeCell ref="A16:B17"/>
    <mergeCell ref="C16:D16"/>
    <mergeCell ref="E16:F16"/>
    <mergeCell ref="A20:B20"/>
    <mergeCell ref="C20:D20"/>
    <mergeCell ref="E20:F20"/>
    <mergeCell ref="A21:B21"/>
    <mergeCell ref="C21:D21"/>
    <mergeCell ref="E21:F21"/>
    <mergeCell ref="A18:B18"/>
    <mergeCell ref="C18:D18"/>
    <mergeCell ref="E18:F18"/>
    <mergeCell ref="A19:B19"/>
    <mergeCell ref="C19:D19"/>
    <mergeCell ref="E19:F19"/>
    <mergeCell ref="A22:B22"/>
    <mergeCell ref="C22:D22"/>
    <mergeCell ref="E22:F22"/>
    <mergeCell ref="A23:B23"/>
    <mergeCell ref="C23:D23"/>
    <mergeCell ref="E23:F23"/>
    <mergeCell ref="A24:B24"/>
    <mergeCell ref="C24:D24"/>
    <mergeCell ref="E24:F24"/>
    <mergeCell ref="A25:B25"/>
    <mergeCell ref="C25:D25"/>
    <mergeCell ref="E25:F25"/>
    <mergeCell ref="A28:B28"/>
    <mergeCell ref="A30:H35"/>
    <mergeCell ref="A26:B26"/>
    <mergeCell ref="C26:D26"/>
    <mergeCell ref="E26:F26"/>
    <mergeCell ref="A27:B27"/>
    <mergeCell ref="C27:D27"/>
    <mergeCell ref="E27:F27"/>
  </mergeCells>
  <pageMargins left="0.7" right="0.7" top="0.75" bottom="0.75" header="0.3" footer="0.3"/>
  <drawing r:id="rId1"/>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B0E360-F02A-409F-B15D-B2A33E79B5C0}">
  <dimension ref="A2:H48"/>
  <sheetViews>
    <sheetView workbookViewId="0">
      <selection sqref="A1:XFD1048576"/>
    </sheetView>
  </sheetViews>
  <sheetFormatPr baseColWidth="10" defaultRowHeight="15" x14ac:dyDescent="0.25"/>
  <cols>
    <col min="1" max="1" width="33.42578125" customWidth="1"/>
    <col min="2" max="2" width="19.85546875" customWidth="1"/>
    <col min="3" max="3" width="8.7109375" customWidth="1"/>
    <col min="4" max="4" width="11.28515625" customWidth="1"/>
    <col min="5" max="5" width="7.140625" customWidth="1"/>
    <col min="6" max="6" width="20.140625" customWidth="1"/>
    <col min="7" max="7" width="17.5703125" customWidth="1"/>
    <col min="8" max="8" width="7.85546875" customWidth="1"/>
  </cols>
  <sheetData>
    <row r="2" spans="1:8" x14ac:dyDescent="0.25">
      <c r="A2" s="237" t="s">
        <v>464</v>
      </c>
      <c r="B2" s="958" t="s">
        <v>2</v>
      </c>
      <c r="C2" s="958"/>
      <c r="D2" s="958"/>
      <c r="E2" s="958"/>
      <c r="F2" s="958"/>
      <c r="G2" s="958"/>
      <c r="H2" s="958"/>
    </row>
    <row r="3" spans="1:8" x14ac:dyDescent="0.25">
      <c r="A3" s="237"/>
      <c r="B3" s="957" t="s">
        <v>4</v>
      </c>
      <c r="C3" s="957"/>
      <c r="D3" s="957"/>
      <c r="E3" s="957"/>
      <c r="F3" s="957"/>
      <c r="G3" s="957"/>
      <c r="H3" s="957"/>
    </row>
    <row r="4" spans="1:8" x14ac:dyDescent="0.25">
      <c r="A4" s="237" t="s">
        <v>362</v>
      </c>
      <c r="B4" s="957" t="s">
        <v>6</v>
      </c>
      <c r="C4" s="957"/>
      <c r="D4" s="957"/>
      <c r="E4" s="957"/>
      <c r="F4" s="957"/>
      <c r="G4" s="957"/>
      <c r="H4" s="957"/>
    </row>
    <row r="5" spans="1:8" x14ac:dyDescent="0.25">
      <c r="A5" s="237" t="s">
        <v>363</v>
      </c>
      <c r="B5" s="957">
        <v>4431</v>
      </c>
      <c r="C5" s="957"/>
      <c r="D5" s="957"/>
      <c r="E5" s="957"/>
      <c r="F5" s="957"/>
      <c r="G5" s="957"/>
      <c r="H5" s="957"/>
    </row>
    <row r="6" spans="1:8" x14ac:dyDescent="0.25">
      <c r="A6" s="237" t="s">
        <v>364</v>
      </c>
      <c r="B6" s="957" t="s">
        <v>12</v>
      </c>
      <c r="C6" s="957"/>
      <c r="D6" s="959" t="s">
        <v>365</v>
      </c>
      <c r="E6" s="959"/>
      <c r="F6" s="309">
        <v>46022</v>
      </c>
      <c r="G6" s="46" t="s">
        <v>465</v>
      </c>
      <c r="H6" s="235">
        <v>12</v>
      </c>
    </row>
    <row r="7" spans="1:8" x14ac:dyDescent="0.25">
      <c r="A7" s="311" t="s">
        <v>367</v>
      </c>
      <c r="B7" s="958" t="s">
        <v>8</v>
      </c>
      <c r="C7" s="958"/>
      <c r="D7" s="958"/>
      <c r="E7" s="199"/>
      <c r="F7" s="199"/>
      <c r="G7" s="199"/>
      <c r="H7" s="199"/>
    </row>
    <row r="8" spans="1:8" x14ac:dyDescent="0.25">
      <c r="A8" s="238" t="s">
        <v>466</v>
      </c>
      <c r="B8" s="958" t="s">
        <v>34</v>
      </c>
      <c r="C8" s="958"/>
      <c r="D8" s="958"/>
      <c r="E8" s="958"/>
      <c r="F8" s="958"/>
      <c r="G8" s="958"/>
      <c r="H8" s="958"/>
    </row>
    <row r="9" spans="1:8" x14ac:dyDescent="0.25">
      <c r="A9" s="238"/>
      <c r="B9" s="957">
        <v>555555</v>
      </c>
      <c r="C9" s="957"/>
      <c r="D9" s="957"/>
      <c r="E9" s="957"/>
      <c r="F9" s="957"/>
      <c r="G9" s="957"/>
      <c r="H9" s="957"/>
    </row>
    <row r="10" spans="1:8" x14ac:dyDescent="0.25">
      <c r="A10" s="238" t="s">
        <v>467</v>
      </c>
      <c r="B10" s="957" t="s">
        <v>38</v>
      </c>
      <c r="C10" s="957"/>
      <c r="D10" s="957"/>
      <c r="E10" s="959" t="s">
        <v>468</v>
      </c>
      <c r="F10" s="959"/>
      <c r="G10" s="957" t="s">
        <v>36</v>
      </c>
      <c r="H10" s="957"/>
    </row>
    <row r="11" spans="1:8" x14ac:dyDescent="0.25">
      <c r="A11" s="238" t="s">
        <v>469</v>
      </c>
      <c r="B11" s="954">
        <v>44713</v>
      </c>
      <c r="C11" s="954"/>
      <c r="D11" s="954"/>
      <c r="E11" s="975" t="s">
        <v>470</v>
      </c>
      <c r="F11" s="975"/>
      <c r="G11" s="954">
        <v>45991</v>
      </c>
      <c r="H11" s="954"/>
    </row>
    <row r="12" spans="1:8" ht="8.4499999999999993" customHeight="1" x14ac:dyDescent="0.25"/>
    <row r="13" spans="1:8" x14ac:dyDescent="0.25">
      <c r="A13" s="788" t="s">
        <v>1230</v>
      </c>
      <c r="B13" s="788"/>
      <c r="C13" s="788"/>
      <c r="D13" s="788"/>
      <c r="E13" s="788"/>
      <c r="F13" s="788"/>
      <c r="G13" s="788"/>
      <c r="H13" s="788"/>
    </row>
    <row r="14" spans="1:8" x14ac:dyDescent="0.25">
      <c r="A14" s="788" t="s">
        <v>1231</v>
      </c>
      <c r="B14" s="788"/>
      <c r="C14" s="788"/>
      <c r="D14" s="788"/>
      <c r="E14" s="788"/>
      <c r="F14" s="788"/>
      <c r="G14" s="788"/>
      <c r="H14" s="788"/>
    </row>
    <row r="15" spans="1:8" ht="8.4499999999999993" customHeight="1" x14ac:dyDescent="0.25">
      <c r="A15" s="484"/>
      <c r="B15" s="484"/>
      <c r="C15" s="484"/>
      <c r="D15" s="484"/>
      <c r="E15" s="484"/>
      <c r="F15" s="484"/>
      <c r="G15" s="484"/>
      <c r="H15" s="484"/>
    </row>
    <row r="16" spans="1:8" ht="21" customHeight="1" x14ac:dyDescent="0.25">
      <c r="A16" s="1379" t="s">
        <v>988</v>
      </c>
      <c r="B16" s="1379"/>
      <c r="C16" s="988" t="s">
        <v>989</v>
      </c>
      <c r="D16" s="988"/>
      <c r="E16" s="988" t="s">
        <v>989</v>
      </c>
      <c r="F16" s="988"/>
      <c r="G16" s="1144" t="s">
        <v>1008</v>
      </c>
      <c r="H16" s="1146"/>
    </row>
    <row r="17" spans="1:8" ht="21" customHeight="1" x14ac:dyDescent="0.25">
      <c r="A17" s="1379"/>
      <c r="B17" s="1379"/>
      <c r="C17" s="1378">
        <v>46022</v>
      </c>
      <c r="D17" s="1378"/>
      <c r="E17" s="1378">
        <v>46022</v>
      </c>
      <c r="F17" s="1378"/>
      <c r="G17" s="485" t="s">
        <v>1009</v>
      </c>
      <c r="H17" s="485" t="s">
        <v>1010</v>
      </c>
    </row>
    <row r="18" spans="1:8" x14ac:dyDescent="0.25">
      <c r="A18" s="1387" t="s">
        <v>1232</v>
      </c>
      <c r="B18" s="1388"/>
      <c r="C18" s="1293">
        <v>0</v>
      </c>
      <c r="D18" s="1294"/>
      <c r="E18" s="1293">
        <v>0</v>
      </c>
      <c r="F18" s="1294"/>
      <c r="G18" s="426">
        <v>0</v>
      </c>
      <c r="H18" s="434">
        <v>0</v>
      </c>
    </row>
    <row r="19" spans="1:8" ht="29.45" customHeight="1" x14ac:dyDescent="0.25">
      <c r="A19" s="1387" t="s">
        <v>1233</v>
      </c>
      <c r="B19" s="1388"/>
      <c r="C19" s="1293">
        <v>0</v>
      </c>
      <c r="D19" s="1294"/>
      <c r="E19" s="1293">
        <v>0</v>
      </c>
      <c r="F19" s="1294"/>
      <c r="G19" s="426">
        <v>0</v>
      </c>
      <c r="H19" s="434">
        <v>0</v>
      </c>
    </row>
    <row r="20" spans="1:8" x14ac:dyDescent="0.25">
      <c r="A20" s="1387" t="s">
        <v>1234</v>
      </c>
      <c r="B20" s="1388"/>
      <c r="C20" s="1293">
        <v>0</v>
      </c>
      <c r="D20" s="1294"/>
      <c r="E20" s="1293">
        <v>0</v>
      </c>
      <c r="F20" s="1294"/>
      <c r="G20" s="426">
        <v>0</v>
      </c>
      <c r="H20" s="434">
        <v>0</v>
      </c>
    </row>
    <row r="21" spans="1:8" x14ac:dyDescent="0.25">
      <c r="A21" s="1391" t="s">
        <v>1235</v>
      </c>
      <c r="B21" s="1392"/>
      <c r="C21" s="1353">
        <v>0</v>
      </c>
      <c r="D21" s="1354"/>
      <c r="E21" s="1353">
        <v>0</v>
      </c>
      <c r="F21" s="1354"/>
      <c r="G21" s="479">
        <v>0</v>
      </c>
      <c r="H21" s="468">
        <v>0</v>
      </c>
    </row>
    <row r="22" spans="1:8" x14ac:dyDescent="0.25">
      <c r="A22" s="1387" t="s">
        <v>1236</v>
      </c>
      <c r="B22" s="1388"/>
      <c r="C22" s="1293">
        <v>0</v>
      </c>
      <c r="D22" s="1294"/>
      <c r="E22" s="1293">
        <v>0</v>
      </c>
      <c r="F22" s="1294"/>
      <c r="G22" s="426">
        <v>0</v>
      </c>
      <c r="H22" s="434">
        <v>0</v>
      </c>
    </row>
    <row r="23" spans="1:8" ht="32.450000000000003" customHeight="1" x14ac:dyDescent="0.25">
      <c r="A23" s="1387" t="s">
        <v>1237</v>
      </c>
      <c r="B23" s="1388"/>
      <c r="C23" s="1389">
        <v>0</v>
      </c>
      <c r="D23" s="1390"/>
      <c r="E23" s="1389">
        <v>0</v>
      </c>
      <c r="F23" s="1390"/>
      <c r="G23" s="426">
        <v>0</v>
      </c>
      <c r="H23" s="434">
        <v>0</v>
      </c>
    </row>
    <row r="24" spans="1:8" x14ac:dyDescent="0.25">
      <c r="A24" s="1387" t="s">
        <v>1238</v>
      </c>
      <c r="B24" s="1388"/>
      <c r="C24" s="1293">
        <v>0</v>
      </c>
      <c r="D24" s="1294"/>
      <c r="E24" s="1293">
        <v>0</v>
      </c>
      <c r="F24" s="1294"/>
      <c r="G24" s="426">
        <v>0</v>
      </c>
      <c r="H24" s="434">
        <v>0</v>
      </c>
    </row>
    <row r="25" spans="1:8" ht="26.45" customHeight="1" x14ac:dyDescent="0.25">
      <c r="A25" s="1345" t="s">
        <v>1239</v>
      </c>
      <c r="B25" s="1346"/>
      <c r="C25" s="1353">
        <v>0</v>
      </c>
      <c r="D25" s="1354"/>
      <c r="E25" s="1353">
        <v>0</v>
      </c>
      <c r="F25" s="1354"/>
      <c r="G25" s="479">
        <v>0</v>
      </c>
      <c r="H25" s="468">
        <v>0</v>
      </c>
    </row>
    <row r="26" spans="1:8" x14ac:dyDescent="0.25">
      <c r="A26" s="1387" t="s">
        <v>1240</v>
      </c>
      <c r="B26" s="1388"/>
      <c r="C26" s="1293">
        <v>0</v>
      </c>
      <c r="D26" s="1294"/>
      <c r="E26" s="1293">
        <v>0</v>
      </c>
      <c r="F26" s="1294"/>
      <c r="G26" s="426">
        <v>0</v>
      </c>
      <c r="H26" s="434">
        <v>0</v>
      </c>
    </row>
    <row r="27" spans="1:8" x14ac:dyDescent="0.25">
      <c r="A27" s="1387" t="s">
        <v>1241</v>
      </c>
      <c r="B27" s="1388"/>
      <c r="C27" s="1293">
        <v>0</v>
      </c>
      <c r="D27" s="1294"/>
      <c r="E27" s="1293">
        <v>0</v>
      </c>
      <c r="F27" s="1294"/>
      <c r="G27" s="426">
        <v>0</v>
      </c>
      <c r="H27" s="434">
        <v>0</v>
      </c>
    </row>
    <row r="28" spans="1:8" x14ac:dyDescent="0.25">
      <c r="A28" s="1387" t="s">
        <v>1242</v>
      </c>
      <c r="B28" s="1388"/>
      <c r="C28" s="1293">
        <v>0</v>
      </c>
      <c r="D28" s="1294"/>
      <c r="E28" s="1293">
        <v>0</v>
      </c>
      <c r="F28" s="1294"/>
      <c r="G28" s="426">
        <v>0</v>
      </c>
      <c r="H28" s="434">
        <v>0</v>
      </c>
    </row>
    <row r="29" spans="1:8" x14ac:dyDescent="0.25">
      <c r="A29" s="1387" t="s">
        <v>1243</v>
      </c>
      <c r="B29" s="1388"/>
      <c r="C29" s="1293">
        <v>0</v>
      </c>
      <c r="D29" s="1294"/>
      <c r="E29" s="1293">
        <v>0</v>
      </c>
      <c r="F29" s="1294"/>
      <c r="G29" s="426">
        <v>0</v>
      </c>
      <c r="H29" s="434">
        <v>0</v>
      </c>
    </row>
    <row r="30" spans="1:8" x14ac:dyDescent="0.25">
      <c r="A30" s="1387" t="s">
        <v>1244</v>
      </c>
      <c r="B30" s="1388"/>
      <c r="C30" s="1293">
        <v>0</v>
      </c>
      <c r="D30" s="1294"/>
      <c r="E30" s="1293">
        <v>0</v>
      </c>
      <c r="F30" s="1294"/>
      <c r="G30" s="426">
        <v>0</v>
      </c>
      <c r="H30" s="434">
        <v>0</v>
      </c>
    </row>
    <row r="31" spans="1:8" x14ac:dyDescent="0.25">
      <c r="A31" s="1387" t="s">
        <v>1245</v>
      </c>
      <c r="B31" s="1388"/>
      <c r="C31" s="1293">
        <v>0</v>
      </c>
      <c r="D31" s="1294"/>
      <c r="E31" s="1293">
        <v>0</v>
      </c>
      <c r="F31" s="1294"/>
      <c r="G31" s="426">
        <v>0</v>
      </c>
      <c r="H31" s="434">
        <v>0</v>
      </c>
    </row>
    <row r="32" spans="1:8" x14ac:dyDescent="0.25">
      <c r="A32" s="1387" t="s">
        <v>1246</v>
      </c>
      <c r="B32" s="1388"/>
      <c r="C32" s="1293">
        <v>0</v>
      </c>
      <c r="D32" s="1294"/>
      <c r="E32" s="1293">
        <v>0</v>
      </c>
      <c r="F32" s="1294"/>
      <c r="G32" s="426">
        <v>0</v>
      </c>
      <c r="H32" s="434">
        <v>0</v>
      </c>
    </row>
    <row r="33" spans="1:8" x14ac:dyDescent="0.25">
      <c r="A33" s="1387" t="s">
        <v>1247</v>
      </c>
      <c r="B33" s="1388"/>
      <c r="C33" s="1293">
        <v>0</v>
      </c>
      <c r="D33" s="1294"/>
      <c r="E33" s="1293">
        <v>0</v>
      </c>
      <c r="F33" s="1294"/>
      <c r="G33" s="426">
        <v>0</v>
      </c>
      <c r="H33" s="434">
        <v>0</v>
      </c>
    </row>
    <row r="34" spans="1:8" x14ac:dyDescent="0.25">
      <c r="A34" s="1387" t="s">
        <v>1248</v>
      </c>
      <c r="B34" s="1388"/>
      <c r="C34" s="1293">
        <v>0</v>
      </c>
      <c r="D34" s="1294"/>
      <c r="E34" s="1293">
        <v>0</v>
      </c>
      <c r="F34" s="1294"/>
      <c r="G34" s="426">
        <v>0</v>
      </c>
      <c r="H34" s="434">
        <v>0</v>
      </c>
    </row>
    <row r="35" spans="1:8" x14ac:dyDescent="0.25">
      <c r="A35" s="1387" t="s">
        <v>1249</v>
      </c>
      <c r="B35" s="1388"/>
      <c r="C35" s="1293">
        <v>0</v>
      </c>
      <c r="D35" s="1294"/>
      <c r="E35" s="1293">
        <v>0</v>
      </c>
      <c r="F35" s="1294"/>
      <c r="G35" s="426">
        <v>0</v>
      </c>
      <c r="H35" s="434">
        <v>0</v>
      </c>
    </row>
    <row r="36" spans="1:8" x14ac:dyDescent="0.25">
      <c r="A36" s="1094" t="s">
        <v>1250</v>
      </c>
      <c r="B36" s="1096"/>
      <c r="C36" s="1293">
        <v>0</v>
      </c>
      <c r="D36" s="1294"/>
      <c r="E36" s="1389">
        <v>0</v>
      </c>
      <c r="F36" s="1390"/>
      <c r="G36" s="426">
        <v>0</v>
      </c>
      <c r="H36" s="434">
        <v>0</v>
      </c>
    </row>
    <row r="37" spans="1:8" ht="32.450000000000003" customHeight="1" x14ac:dyDescent="0.25">
      <c r="A37" s="1387" t="s">
        <v>1251</v>
      </c>
      <c r="B37" s="1388"/>
      <c r="C37" s="1293">
        <v>0</v>
      </c>
      <c r="D37" s="1294"/>
      <c r="E37" s="1293">
        <v>0</v>
      </c>
      <c r="F37" s="1294"/>
      <c r="G37" s="426">
        <v>0</v>
      </c>
      <c r="H37" s="434">
        <v>0</v>
      </c>
    </row>
    <row r="38" spans="1:8" x14ac:dyDescent="0.25">
      <c r="A38" s="1387" t="s">
        <v>1252</v>
      </c>
      <c r="B38" s="1388"/>
      <c r="C38" s="1293">
        <v>0</v>
      </c>
      <c r="D38" s="1294"/>
      <c r="E38" s="1293">
        <v>0</v>
      </c>
      <c r="F38" s="1294"/>
      <c r="G38" s="426">
        <v>0</v>
      </c>
      <c r="H38" s="434">
        <v>0</v>
      </c>
    </row>
    <row r="39" spans="1:8" x14ac:dyDescent="0.25">
      <c r="A39" s="1387" t="s">
        <v>1253</v>
      </c>
      <c r="B39" s="1388"/>
      <c r="C39" s="1293">
        <v>0</v>
      </c>
      <c r="D39" s="1294"/>
      <c r="E39" s="1293">
        <v>0</v>
      </c>
      <c r="F39" s="1294"/>
      <c r="G39" s="426">
        <v>0</v>
      </c>
      <c r="H39" s="434">
        <v>0</v>
      </c>
    </row>
    <row r="40" spans="1:8" x14ac:dyDescent="0.25">
      <c r="A40" s="1326" t="s">
        <v>1254</v>
      </c>
      <c r="B40" s="1328"/>
      <c r="C40" s="1293">
        <v>0</v>
      </c>
      <c r="D40" s="1294"/>
      <c r="E40" s="1293">
        <v>0</v>
      </c>
      <c r="F40" s="1294"/>
      <c r="G40" s="426">
        <v>0</v>
      </c>
      <c r="H40" s="434">
        <v>0</v>
      </c>
    </row>
    <row r="41" spans="1:8" x14ac:dyDescent="0.25">
      <c r="A41" s="1386" t="s">
        <v>1255</v>
      </c>
      <c r="B41" s="1386"/>
      <c r="C41" s="1290">
        <v>0</v>
      </c>
      <c r="D41" s="1290"/>
      <c r="E41" s="1290">
        <v>0</v>
      </c>
      <c r="F41" s="1290"/>
      <c r="G41" s="479">
        <v>0</v>
      </c>
      <c r="H41" s="468">
        <v>0</v>
      </c>
    </row>
    <row r="42" spans="1:8" ht="6.6" customHeight="1" x14ac:dyDescent="0.25">
      <c r="A42" s="1384"/>
      <c r="B42" s="1384"/>
      <c r="C42" s="1385"/>
      <c r="D42" s="1385"/>
      <c r="E42" s="1385"/>
      <c r="F42" s="1385"/>
      <c r="G42" s="1385"/>
      <c r="H42" s="1385"/>
    </row>
    <row r="43" spans="1:8" x14ac:dyDescent="0.25">
      <c r="A43" s="241" t="s">
        <v>908</v>
      </c>
      <c r="B43" s="241"/>
      <c r="C43" s="241"/>
      <c r="D43" s="241"/>
      <c r="E43" s="241"/>
      <c r="F43" s="241"/>
      <c r="G43" s="241"/>
      <c r="H43" s="241"/>
    </row>
    <row r="44" spans="1:8" x14ac:dyDescent="0.25">
      <c r="A44" s="1115"/>
      <c r="B44" s="1116"/>
      <c r="C44" s="1116"/>
      <c r="D44" s="1116"/>
      <c r="E44" s="1116"/>
      <c r="F44" s="1116"/>
      <c r="G44" s="1116"/>
      <c r="H44" s="1117"/>
    </row>
    <row r="45" spans="1:8" x14ac:dyDescent="0.25">
      <c r="A45" s="1118"/>
      <c r="B45" s="1119"/>
      <c r="C45" s="1119"/>
      <c r="D45" s="1119"/>
      <c r="E45" s="1119"/>
      <c r="F45" s="1119"/>
      <c r="G45" s="1119"/>
      <c r="H45" s="1120"/>
    </row>
    <row r="46" spans="1:8" x14ac:dyDescent="0.25">
      <c r="A46" s="1118"/>
      <c r="B46" s="1119"/>
      <c r="C46" s="1119"/>
      <c r="D46" s="1119"/>
      <c r="E46" s="1119"/>
      <c r="F46" s="1119"/>
      <c r="G46" s="1119"/>
      <c r="H46" s="1120"/>
    </row>
    <row r="47" spans="1:8" x14ac:dyDescent="0.25">
      <c r="A47" s="1118"/>
      <c r="B47" s="1119"/>
      <c r="C47" s="1119"/>
      <c r="D47" s="1119"/>
      <c r="E47" s="1119"/>
      <c r="F47" s="1119"/>
      <c r="G47" s="1119"/>
      <c r="H47" s="1120"/>
    </row>
    <row r="48" spans="1:8" x14ac:dyDescent="0.25">
      <c r="A48" s="1121"/>
      <c r="B48" s="1122"/>
      <c r="C48" s="1122"/>
      <c r="D48" s="1122"/>
      <c r="E48" s="1122"/>
      <c r="F48" s="1122"/>
      <c r="G48" s="1122"/>
      <c r="H48" s="1123"/>
    </row>
  </sheetData>
  <mergeCells count="100">
    <mergeCell ref="B2:H2"/>
    <mergeCell ref="B3:H3"/>
    <mergeCell ref="B4:H4"/>
    <mergeCell ref="B5:H5"/>
    <mergeCell ref="B6:C6"/>
    <mergeCell ref="D6:E6"/>
    <mergeCell ref="G16:H16"/>
    <mergeCell ref="C17:D17"/>
    <mergeCell ref="B7:D7"/>
    <mergeCell ref="B8:H8"/>
    <mergeCell ref="B9:H9"/>
    <mergeCell ref="B10:D10"/>
    <mergeCell ref="E10:F10"/>
    <mergeCell ref="G10:H10"/>
    <mergeCell ref="B11:D11"/>
    <mergeCell ref="E11:F11"/>
    <mergeCell ref="G11:H11"/>
    <mergeCell ref="A13:H13"/>
    <mergeCell ref="A14:H14"/>
    <mergeCell ref="E17:F17"/>
    <mergeCell ref="A16:B17"/>
    <mergeCell ref="C16:D16"/>
    <mergeCell ref="E16:F16"/>
    <mergeCell ref="A20:B20"/>
    <mergeCell ref="C20:D20"/>
    <mergeCell ref="E20:F20"/>
    <mergeCell ref="A21:B21"/>
    <mergeCell ref="C21:D21"/>
    <mergeCell ref="E21:F21"/>
    <mergeCell ref="A18:B18"/>
    <mergeCell ref="C18:D18"/>
    <mergeCell ref="E18:F18"/>
    <mergeCell ref="A19:B19"/>
    <mergeCell ref="C19:D19"/>
    <mergeCell ref="E19:F19"/>
    <mergeCell ref="A22:B22"/>
    <mergeCell ref="C22:D22"/>
    <mergeCell ref="E22:F22"/>
    <mergeCell ref="A23:B23"/>
    <mergeCell ref="C23:D23"/>
    <mergeCell ref="E23:F23"/>
    <mergeCell ref="A24:B24"/>
    <mergeCell ref="C24:D24"/>
    <mergeCell ref="E24:F24"/>
    <mergeCell ref="A25:B25"/>
    <mergeCell ref="C25:D25"/>
    <mergeCell ref="E25:F25"/>
    <mergeCell ref="A26:B26"/>
    <mergeCell ref="C26:D26"/>
    <mergeCell ref="E26:F26"/>
    <mergeCell ref="A27:B27"/>
    <mergeCell ref="C27:D27"/>
    <mergeCell ref="E27:F27"/>
    <mergeCell ref="A28:B28"/>
    <mergeCell ref="C28:D28"/>
    <mergeCell ref="E28:F28"/>
    <mergeCell ref="A29:B29"/>
    <mergeCell ref="C29:D29"/>
    <mergeCell ref="E29:F29"/>
    <mergeCell ref="A30:B30"/>
    <mergeCell ref="C30:D30"/>
    <mergeCell ref="E30:F30"/>
    <mergeCell ref="A31:B31"/>
    <mergeCell ref="C31:D31"/>
    <mergeCell ref="E31:F31"/>
    <mergeCell ref="A32:B32"/>
    <mergeCell ref="C32:D32"/>
    <mergeCell ref="E32:F32"/>
    <mergeCell ref="A33:B33"/>
    <mergeCell ref="C33:D33"/>
    <mergeCell ref="E33:F33"/>
    <mergeCell ref="A34:B34"/>
    <mergeCell ref="C34:D34"/>
    <mergeCell ref="E34:F34"/>
    <mergeCell ref="A35:B35"/>
    <mergeCell ref="C35:D35"/>
    <mergeCell ref="E35:F35"/>
    <mergeCell ref="A36:B36"/>
    <mergeCell ref="C36:D36"/>
    <mergeCell ref="E36:F36"/>
    <mergeCell ref="A37:B37"/>
    <mergeCell ref="C37:D37"/>
    <mergeCell ref="E37:F37"/>
    <mergeCell ref="A38:B38"/>
    <mergeCell ref="C38:D38"/>
    <mergeCell ref="E38:F38"/>
    <mergeCell ref="A39:B39"/>
    <mergeCell ref="C39:D39"/>
    <mergeCell ref="E39:F39"/>
    <mergeCell ref="A40:B40"/>
    <mergeCell ref="C40:D40"/>
    <mergeCell ref="E40:F40"/>
    <mergeCell ref="A41:B41"/>
    <mergeCell ref="C41:D41"/>
    <mergeCell ref="E41:F41"/>
    <mergeCell ref="A42:B42"/>
    <mergeCell ref="C42:D42"/>
    <mergeCell ref="E42:F42"/>
    <mergeCell ref="G42:H42"/>
    <mergeCell ref="A44:H48"/>
  </mergeCells>
  <pageMargins left="0.7" right="0.7" top="0.75" bottom="0.75" header="0.3" footer="0.3"/>
  <drawing r:id="rId1"/>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D3687B-4BA9-47E1-87A0-A02C16F8F98D}">
  <dimension ref="A2:H33"/>
  <sheetViews>
    <sheetView workbookViewId="0">
      <selection activeCell="F16" sqref="A1:XFD1048576"/>
    </sheetView>
  </sheetViews>
  <sheetFormatPr baseColWidth="10" defaultRowHeight="15" x14ac:dyDescent="0.25"/>
  <cols>
    <col min="1" max="1" width="29.7109375" customWidth="1"/>
    <col min="2" max="2" width="4.5703125" customWidth="1"/>
    <col min="3" max="3" width="8.7109375" customWidth="1"/>
    <col min="4" max="4" width="11.28515625" customWidth="1"/>
    <col min="5" max="5" width="8" customWidth="1"/>
    <col min="6" max="6" width="13.85546875" customWidth="1"/>
    <col min="7" max="7" width="17.5703125" customWidth="1"/>
    <col min="8" max="8" width="8" customWidth="1"/>
  </cols>
  <sheetData>
    <row r="2" spans="1:8" x14ac:dyDescent="0.25">
      <c r="A2" s="237" t="s">
        <v>464</v>
      </c>
      <c r="B2" s="958" t="s">
        <v>2</v>
      </c>
      <c r="C2" s="958"/>
      <c r="D2" s="958"/>
      <c r="E2" s="958"/>
      <c r="F2" s="958"/>
      <c r="G2" s="958"/>
      <c r="H2" s="958"/>
    </row>
    <row r="3" spans="1:8" x14ac:dyDescent="0.25">
      <c r="A3" s="237"/>
      <c r="B3" s="957" t="s">
        <v>4</v>
      </c>
      <c r="C3" s="957"/>
      <c r="D3" s="957"/>
      <c r="E3" s="957"/>
      <c r="F3" s="957"/>
      <c r="G3" s="957"/>
      <c r="H3" s="957"/>
    </row>
    <row r="4" spans="1:8" x14ac:dyDescent="0.25">
      <c r="A4" s="237" t="s">
        <v>362</v>
      </c>
      <c r="B4" s="957" t="s">
        <v>6</v>
      </c>
      <c r="C4" s="957"/>
      <c r="D4" s="957"/>
      <c r="E4" s="957"/>
      <c r="F4" s="957"/>
      <c r="G4" s="957"/>
      <c r="H4" s="957"/>
    </row>
    <row r="5" spans="1:8" x14ac:dyDescent="0.25">
      <c r="A5" s="237" t="s">
        <v>363</v>
      </c>
      <c r="B5" s="957">
        <v>4431</v>
      </c>
      <c r="C5" s="957"/>
      <c r="D5" s="957"/>
      <c r="E5" s="957"/>
      <c r="F5" s="957"/>
      <c r="G5" s="957"/>
      <c r="H5" s="957"/>
    </row>
    <row r="6" spans="1:8" x14ac:dyDescent="0.25">
      <c r="A6" s="237" t="s">
        <v>364</v>
      </c>
      <c r="B6" s="957" t="s">
        <v>12</v>
      </c>
      <c r="C6" s="957"/>
      <c r="D6" s="959" t="s">
        <v>365</v>
      </c>
      <c r="E6" s="959"/>
      <c r="F6" s="309">
        <v>46022</v>
      </c>
      <c r="G6" s="46" t="s">
        <v>465</v>
      </c>
      <c r="H6" s="235">
        <v>12</v>
      </c>
    </row>
    <row r="7" spans="1:8" x14ac:dyDescent="0.25">
      <c r="A7" s="311" t="s">
        <v>367</v>
      </c>
      <c r="B7" s="958" t="s">
        <v>8</v>
      </c>
      <c r="C7" s="958"/>
      <c r="D7" s="958"/>
      <c r="E7" s="199"/>
      <c r="F7" s="199"/>
      <c r="G7" s="199"/>
      <c r="H7" s="199"/>
    </row>
    <row r="8" spans="1:8" x14ac:dyDescent="0.25">
      <c r="A8" s="238" t="s">
        <v>466</v>
      </c>
      <c r="B8" s="958" t="s">
        <v>34</v>
      </c>
      <c r="C8" s="958"/>
      <c r="D8" s="958"/>
      <c r="E8" s="958"/>
      <c r="F8" s="958"/>
      <c r="G8" s="958"/>
      <c r="H8" s="958"/>
    </row>
    <row r="9" spans="1:8" x14ac:dyDescent="0.25">
      <c r="A9" s="238"/>
      <c r="B9" s="957">
        <v>555555</v>
      </c>
      <c r="C9" s="957"/>
      <c r="D9" s="957"/>
      <c r="E9" s="957"/>
      <c r="F9" s="957"/>
      <c r="G9" s="957"/>
      <c r="H9" s="957"/>
    </row>
    <row r="10" spans="1:8" x14ac:dyDescent="0.25">
      <c r="A10" s="238" t="s">
        <v>467</v>
      </c>
      <c r="B10" s="957" t="s">
        <v>38</v>
      </c>
      <c r="C10" s="957"/>
      <c r="D10" s="957"/>
      <c r="E10" s="959" t="s">
        <v>468</v>
      </c>
      <c r="F10" s="959"/>
      <c r="G10" s="957" t="s">
        <v>36</v>
      </c>
      <c r="H10" s="957"/>
    </row>
    <row r="11" spans="1:8" x14ac:dyDescent="0.25">
      <c r="A11" s="238" t="s">
        <v>469</v>
      </c>
      <c r="B11" s="954">
        <v>44713</v>
      </c>
      <c r="C11" s="954"/>
      <c r="D11" s="954"/>
      <c r="E11" s="975" t="s">
        <v>470</v>
      </c>
      <c r="F11" s="975"/>
      <c r="G11" s="954">
        <v>45991</v>
      </c>
      <c r="H11" s="954"/>
    </row>
    <row r="12" spans="1:8" ht="6.6" customHeight="1" x14ac:dyDescent="0.25"/>
    <row r="13" spans="1:8" x14ac:dyDescent="0.25">
      <c r="A13" s="788" t="s">
        <v>1256</v>
      </c>
      <c r="B13" s="788"/>
      <c r="C13" s="788"/>
      <c r="D13" s="788"/>
      <c r="E13" s="788"/>
      <c r="F13" s="788"/>
      <c r="G13" s="788"/>
      <c r="H13" s="788"/>
    </row>
    <row r="14" spans="1:8" x14ac:dyDescent="0.25">
      <c r="A14" s="788" t="s">
        <v>1257</v>
      </c>
      <c r="B14" s="788"/>
      <c r="C14" s="788"/>
      <c r="D14" s="788"/>
      <c r="E14" s="788"/>
      <c r="F14" s="788"/>
      <c r="G14" s="788"/>
      <c r="H14" s="788"/>
    </row>
    <row r="15" spans="1:8" ht="6.6" customHeight="1" x14ac:dyDescent="0.25">
      <c r="A15" s="484"/>
      <c r="B15" s="484"/>
      <c r="C15" s="484"/>
      <c r="D15" s="484"/>
      <c r="E15" s="484"/>
      <c r="F15" s="484"/>
      <c r="G15" s="484"/>
      <c r="H15" s="484"/>
    </row>
    <row r="16" spans="1:8" x14ac:dyDescent="0.25">
      <c r="A16" s="1379" t="s">
        <v>988</v>
      </c>
      <c r="B16" s="1379"/>
      <c r="C16" s="988" t="s">
        <v>989</v>
      </c>
      <c r="D16" s="988"/>
      <c r="E16" s="988" t="s">
        <v>989</v>
      </c>
      <c r="F16" s="988"/>
      <c r="G16" s="1144" t="s">
        <v>1056</v>
      </c>
      <c r="H16" s="1146"/>
    </row>
    <row r="17" spans="1:8" x14ac:dyDescent="0.25">
      <c r="A17" s="1379"/>
      <c r="B17" s="1379"/>
      <c r="C17" s="1378">
        <v>46022</v>
      </c>
      <c r="D17" s="1378"/>
      <c r="E17" s="1378">
        <v>46022</v>
      </c>
      <c r="F17" s="1378"/>
      <c r="G17" s="485" t="s">
        <v>1009</v>
      </c>
      <c r="H17" s="485" t="s">
        <v>1034</v>
      </c>
    </row>
    <row r="18" spans="1:8" x14ac:dyDescent="0.25">
      <c r="A18" s="1394" t="s">
        <v>1258</v>
      </c>
      <c r="B18" s="1395"/>
      <c r="C18" s="1293">
        <v>0</v>
      </c>
      <c r="D18" s="1294"/>
      <c r="E18" s="1293">
        <v>0</v>
      </c>
      <c r="F18" s="1294"/>
      <c r="G18" s="426">
        <v>0</v>
      </c>
      <c r="H18" s="427">
        <v>0</v>
      </c>
    </row>
    <row r="19" spans="1:8" x14ac:dyDescent="0.25">
      <c r="A19" s="1394" t="s">
        <v>1259</v>
      </c>
      <c r="B19" s="1395"/>
      <c r="C19" s="1293">
        <v>0</v>
      </c>
      <c r="D19" s="1294"/>
      <c r="E19" s="1293">
        <v>0</v>
      </c>
      <c r="F19" s="1294"/>
      <c r="G19" s="426">
        <v>0</v>
      </c>
      <c r="H19" s="427">
        <v>0</v>
      </c>
    </row>
    <row r="20" spans="1:8" x14ac:dyDescent="0.25">
      <c r="A20" s="1394" t="s">
        <v>1260</v>
      </c>
      <c r="B20" s="1395"/>
      <c r="C20" s="1293">
        <v>0</v>
      </c>
      <c r="D20" s="1294"/>
      <c r="E20" s="1293">
        <v>0</v>
      </c>
      <c r="F20" s="1294"/>
      <c r="G20" s="426">
        <v>0</v>
      </c>
      <c r="H20" s="427">
        <v>0</v>
      </c>
    </row>
    <row r="21" spans="1:8" x14ac:dyDescent="0.25">
      <c r="A21" s="1394" t="s">
        <v>1261</v>
      </c>
      <c r="B21" s="1395"/>
      <c r="C21" s="1293">
        <v>0</v>
      </c>
      <c r="D21" s="1294"/>
      <c r="E21" s="1293">
        <v>0</v>
      </c>
      <c r="F21" s="1294"/>
      <c r="G21" s="426">
        <v>0</v>
      </c>
      <c r="H21" s="427">
        <v>0</v>
      </c>
    </row>
    <row r="22" spans="1:8" x14ac:dyDescent="0.25">
      <c r="A22" s="1394" t="s">
        <v>1262</v>
      </c>
      <c r="B22" s="1395"/>
      <c r="C22" s="1389">
        <v>0</v>
      </c>
      <c r="D22" s="1390"/>
      <c r="E22" s="1389">
        <v>0</v>
      </c>
      <c r="F22" s="1390"/>
      <c r="G22" s="426">
        <v>0</v>
      </c>
      <c r="H22" s="427">
        <v>0</v>
      </c>
    </row>
    <row r="23" spans="1:8" x14ac:dyDescent="0.25">
      <c r="A23" s="1394" t="s">
        <v>1263</v>
      </c>
      <c r="B23" s="1395"/>
      <c r="C23" s="1293">
        <v>0</v>
      </c>
      <c r="D23" s="1294"/>
      <c r="E23" s="1293">
        <v>0</v>
      </c>
      <c r="F23" s="1294"/>
      <c r="G23" s="426">
        <v>0</v>
      </c>
      <c r="H23" s="427">
        <v>0</v>
      </c>
    </row>
    <row r="24" spans="1:8" x14ac:dyDescent="0.25">
      <c r="A24" s="1394" t="s">
        <v>1254</v>
      </c>
      <c r="B24" s="1395"/>
      <c r="C24" s="1389">
        <v>0</v>
      </c>
      <c r="D24" s="1390"/>
      <c r="E24" s="1389">
        <v>0</v>
      </c>
      <c r="F24" s="1390"/>
      <c r="G24" s="426">
        <v>0</v>
      </c>
      <c r="H24" s="427">
        <v>0</v>
      </c>
    </row>
    <row r="25" spans="1:8" x14ac:dyDescent="0.25">
      <c r="A25" s="1386" t="s">
        <v>849</v>
      </c>
      <c r="B25" s="1386"/>
      <c r="C25" s="1290">
        <v>0</v>
      </c>
      <c r="D25" s="1290"/>
      <c r="E25" s="1290">
        <v>0</v>
      </c>
      <c r="F25" s="1290"/>
      <c r="G25" s="479">
        <v>0</v>
      </c>
      <c r="H25" s="431">
        <v>0</v>
      </c>
    </row>
    <row r="26" spans="1:8" ht="9" customHeight="1" x14ac:dyDescent="0.25">
      <c r="A26" s="1393"/>
      <c r="B26" s="1393"/>
      <c r="C26" s="1385"/>
      <c r="D26" s="1385"/>
      <c r="E26" s="1385"/>
      <c r="F26" s="1385"/>
      <c r="G26" s="1385"/>
      <c r="H26" s="1385"/>
    </row>
    <row r="27" spans="1:8" x14ac:dyDescent="0.25">
      <c r="A27" s="241" t="s">
        <v>908</v>
      </c>
      <c r="B27" s="241"/>
      <c r="C27" s="241"/>
      <c r="D27" s="241"/>
      <c r="E27" s="241"/>
      <c r="F27" s="241"/>
      <c r="G27" s="241"/>
      <c r="H27" s="241"/>
    </row>
    <row r="28" spans="1:8" x14ac:dyDescent="0.25">
      <c r="A28" s="1103"/>
      <c r="B28" s="1104"/>
      <c r="C28" s="1104"/>
      <c r="D28" s="1104"/>
      <c r="E28" s="1104"/>
      <c r="F28" s="1104"/>
      <c r="G28" s="1104"/>
      <c r="H28" s="1105"/>
    </row>
    <row r="29" spans="1:8" x14ac:dyDescent="0.25">
      <c r="A29" s="1106"/>
      <c r="B29" s="1107"/>
      <c r="C29" s="1107"/>
      <c r="D29" s="1107"/>
      <c r="E29" s="1107"/>
      <c r="F29" s="1107"/>
      <c r="G29" s="1107"/>
      <c r="H29" s="1108"/>
    </row>
    <row r="30" spans="1:8" x14ac:dyDescent="0.25">
      <c r="A30" s="1106"/>
      <c r="B30" s="1107"/>
      <c r="C30" s="1107"/>
      <c r="D30" s="1107"/>
      <c r="E30" s="1107"/>
      <c r="F30" s="1107"/>
      <c r="G30" s="1107"/>
      <c r="H30" s="1108"/>
    </row>
    <row r="31" spans="1:8" x14ac:dyDescent="0.25">
      <c r="A31" s="1106"/>
      <c r="B31" s="1107"/>
      <c r="C31" s="1107"/>
      <c r="D31" s="1107"/>
      <c r="E31" s="1107"/>
      <c r="F31" s="1107"/>
      <c r="G31" s="1107"/>
      <c r="H31" s="1108"/>
    </row>
    <row r="32" spans="1:8" x14ac:dyDescent="0.25">
      <c r="A32" s="1106"/>
      <c r="B32" s="1107"/>
      <c r="C32" s="1107"/>
      <c r="D32" s="1107"/>
      <c r="E32" s="1107"/>
      <c r="F32" s="1107"/>
      <c r="G32" s="1107"/>
      <c r="H32" s="1108"/>
    </row>
    <row r="33" spans="1:8" x14ac:dyDescent="0.25">
      <c r="A33" s="1109"/>
      <c r="B33" s="1110"/>
      <c r="C33" s="1110"/>
      <c r="D33" s="1110"/>
      <c r="E33" s="1110"/>
      <c r="F33" s="1110"/>
      <c r="G33" s="1110"/>
      <c r="H33" s="1111"/>
    </row>
  </sheetData>
  <mergeCells count="52">
    <mergeCell ref="B2:H2"/>
    <mergeCell ref="B3:H3"/>
    <mergeCell ref="B4:H4"/>
    <mergeCell ref="B5:H5"/>
    <mergeCell ref="B6:C6"/>
    <mergeCell ref="D6:E6"/>
    <mergeCell ref="G16:H16"/>
    <mergeCell ref="C17:D17"/>
    <mergeCell ref="B7:D7"/>
    <mergeCell ref="B8:H8"/>
    <mergeCell ref="B9:H9"/>
    <mergeCell ref="B10:D10"/>
    <mergeCell ref="E10:F10"/>
    <mergeCell ref="G10:H10"/>
    <mergeCell ref="B11:D11"/>
    <mergeCell ref="E11:F11"/>
    <mergeCell ref="G11:H11"/>
    <mergeCell ref="A13:H13"/>
    <mergeCell ref="A14:H14"/>
    <mergeCell ref="E17:F17"/>
    <mergeCell ref="A16:B17"/>
    <mergeCell ref="C16:D16"/>
    <mergeCell ref="E16:F16"/>
    <mergeCell ref="A20:B20"/>
    <mergeCell ref="C20:D20"/>
    <mergeCell ref="E20:F20"/>
    <mergeCell ref="A21:B21"/>
    <mergeCell ref="C21:D21"/>
    <mergeCell ref="E21:F21"/>
    <mergeCell ref="A18:B18"/>
    <mergeCell ref="C18:D18"/>
    <mergeCell ref="E18:F18"/>
    <mergeCell ref="A19:B19"/>
    <mergeCell ref="C19:D19"/>
    <mergeCell ref="E19:F19"/>
    <mergeCell ref="A22:B22"/>
    <mergeCell ref="C22:D22"/>
    <mergeCell ref="E22:F22"/>
    <mergeCell ref="A23:B23"/>
    <mergeCell ref="C23:D23"/>
    <mergeCell ref="E23:F23"/>
    <mergeCell ref="A24:B24"/>
    <mergeCell ref="C24:D24"/>
    <mergeCell ref="E24:F24"/>
    <mergeCell ref="A25:B25"/>
    <mergeCell ref="C25:D25"/>
    <mergeCell ref="E25:F25"/>
    <mergeCell ref="A26:B26"/>
    <mergeCell ref="C26:D26"/>
    <mergeCell ref="E26:F26"/>
    <mergeCell ref="G26:H26"/>
    <mergeCell ref="A28:H33"/>
  </mergeCells>
  <pageMargins left="0.7" right="0.7" top="0.75" bottom="0.75" header="0.3" footer="0.3"/>
  <drawing r:id="rId1"/>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82944F-A373-407A-988E-761A7040BCCB}">
  <dimension ref="A2:H43"/>
  <sheetViews>
    <sheetView workbookViewId="0">
      <selection sqref="A1:XFD1048576"/>
    </sheetView>
  </sheetViews>
  <sheetFormatPr baseColWidth="10" defaultRowHeight="15" x14ac:dyDescent="0.25"/>
  <cols>
    <col min="1" max="1" width="30.42578125" customWidth="1"/>
    <col min="2" max="2" width="9.85546875" customWidth="1"/>
    <col min="3" max="3" width="8.7109375" customWidth="1"/>
    <col min="4" max="4" width="12.85546875" customWidth="1"/>
    <col min="5" max="5" width="6.140625" customWidth="1"/>
    <col min="6" max="6" width="17.7109375" customWidth="1"/>
    <col min="7" max="7" width="17.5703125" customWidth="1"/>
    <col min="8" max="8" width="7.7109375" customWidth="1"/>
  </cols>
  <sheetData>
    <row r="2" spans="1:8" x14ac:dyDescent="0.25">
      <c r="A2" s="237" t="s">
        <v>464</v>
      </c>
      <c r="B2" s="958" t="s">
        <v>2</v>
      </c>
      <c r="C2" s="958"/>
      <c r="D2" s="958"/>
      <c r="E2" s="958"/>
      <c r="F2" s="958"/>
      <c r="G2" s="958"/>
      <c r="H2" s="958"/>
    </row>
    <row r="3" spans="1:8" x14ac:dyDescent="0.25">
      <c r="A3" s="237"/>
      <c r="B3" s="957" t="s">
        <v>4</v>
      </c>
      <c r="C3" s="957"/>
      <c r="D3" s="957"/>
      <c r="E3" s="957"/>
      <c r="F3" s="957"/>
      <c r="G3" s="957"/>
      <c r="H3" s="957"/>
    </row>
    <row r="4" spans="1:8" x14ac:dyDescent="0.25">
      <c r="A4" s="237" t="s">
        <v>362</v>
      </c>
      <c r="B4" s="957" t="s">
        <v>6</v>
      </c>
      <c r="C4" s="957"/>
      <c r="D4" s="957"/>
      <c r="E4" s="957"/>
      <c r="F4" s="957"/>
      <c r="G4" s="957"/>
      <c r="H4" s="957"/>
    </row>
    <row r="5" spans="1:8" x14ac:dyDescent="0.25">
      <c r="A5" s="237" t="s">
        <v>363</v>
      </c>
      <c r="B5" s="957">
        <v>4431</v>
      </c>
      <c r="C5" s="957"/>
      <c r="D5" s="957"/>
      <c r="E5" s="957"/>
      <c r="F5" s="957"/>
      <c r="G5" s="957"/>
      <c r="H5" s="957"/>
    </row>
    <row r="6" spans="1:8" x14ac:dyDescent="0.25">
      <c r="A6" s="237" t="s">
        <v>364</v>
      </c>
      <c r="B6" s="957" t="s">
        <v>12</v>
      </c>
      <c r="C6" s="957"/>
      <c r="D6" s="959" t="s">
        <v>365</v>
      </c>
      <c r="E6" s="959"/>
      <c r="F6" s="309">
        <v>46022</v>
      </c>
      <c r="G6" s="46" t="s">
        <v>465</v>
      </c>
      <c r="H6" s="235">
        <v>12</v>
      </c>
    </row>
    <row r="7" spans="1:8" x14ac:dyDescent="0.25">
      <c r="A7" s="311" t="s">
        <v>367</v>
      </c>
      <c r="B7" s="958" t="s">
        <v>8</v>
      </c>
      <c r="C7" s="958"/>
      <c r="D7" s="958"/>
      <c r="E7" s="199"/>
      <c r="F7" s="199"/>
      <c r="G7" s="199"/>
      <c r="H7" s="199"/>
    </row>
    <row r="8" spans="1:8" x14ac:dyDescent="0.25">
      <c r="A8" s="238" t="s">
        <v>466</v>
      </c>
      <c r="B8" s="958" t="s">
        <v>34</v>
      </c>
      <c r="C8" s="958"/>
      <c r="D8" s="958"/>
      <c r="E8" s="958"/>
      <c r="F8" s="958"/>
      <c r="G8" s="958"/>
      <c r="H8" s="958"/>
    </row>
    <row r="9" spans="1:8" x14ac:dyDescent="0.25">
      <c r="A9" s="238"/>
      <c r="B9" s="957">
        <v>555555</v>
      </c>
      <c r="C9" s="957"/>
      <c r="D9" s="957"/>
      <c r="E9" s="957"/>
      <c r="F9" s="957"/>
      <c r="G9" s="957"/>
      <c r="H9" s="957"/>
    </row>
    <row r="10" spans="1:8" x14ac:dyDescent="0.25">
      <c r="A10" s="238" t="s">
        <v>467</v>
      </c>
      <c r="B10" s="957" t="s">
        <v>38</v>
      </c>
      <c r="C10" s="957"/>
      <c r="D10" s="957"/>
      <c r="E10" s="959" t="s">
        <v>468</v>
      </c>
      <c r="F10" s="959"/>
      <c r="G10" s="957" t="s">
        <v>36</v>
      </c>
      <c r="H10" s="957"/>
    </row>
    <row r="11" spans="1:8" x14ac:dyDescent="0.25">
      <c r="A11" s="238" t="s">
        <v>469</v>
      </c>
      <c r="B11" s="954">
        <v>44713</v>
      </c>
      <c r="C11" s="954"/>
      <c r="D11" s="954"/>
      <c r="E11" s="975" t="s">
        <v>470</v>
      </c>
      <c r="F11" s="975"/>
      <c r="G11" s="954">
        <v>45991</v>
      </c>
      <c r="H11" s="954"/>
    </row>
    <row r="12" spans="1:8" ht="4.9000000000000004" customHeight="1" x14ac:dyDescent="0.25"/>
    <row r="13" spans="1:8" x14ac:dyDescent="0.25">
      <c r="A13" s="788" t="s">
        <v>1264</v>
      </c>
      <c r="B13" s="788"/>
      <c r="C13" s="788"/>
      <c r="D13" s="788"/>
      <c r="E13" s="788"/>
      <c r="F13" s="788"/>
      <c r="G13" s="788"/>
      <c r="H13" s="788"/>
    </row>
    <row r="14" spans="1:8" x14ac:dyDescent="0.25">
      <c r="A14" s="788" t="s">
        <v>1265</v>
      </c>
      <c r="B14" s="788"/>
      <c r="C14" s="788"/>
      <c r="D14" s="788"/>
      <c r="E14" s="788"/>
      <c r="F14" s="788"/>
      <c r="G14" s="788"/>
      <c r="H14" s="788"/>
    </row>
    <row r="15" spans="1:8" ht="4.9000000000000004" customHeight="1" x14ac:dyDescent="0.25">
      <c r="A15" s="484"/>
      <c r="B15" s="484"/>
      <c r="C15" s="484"/>
      <c r="D15" s="484"/>
      <c r="E15" s="484"/>
      <c r="F15" s="484"/>
      <c r="G15" s="484"/>
      <c r="H15" s="484"/>
    </row>
    <row r="16" spans="1:8" x14ac:dyDescent="0.25">
      <c r="A16" s="1379" t="s">
        <v>988</v>
      </c>
      <c r="B16" s="1379"/>
      <c r="C16" s="988" t="s">
        <v>989</v>
      </c>
      <c r="D16" s="988"/>
      <c r="E16" s="988" t="s">
        <v>989</v>
      </c>
      <c r="F16" s="988"/>
      <c r="G16" s="1144" t="s">
        <v>1056</v>
      </c>
      <c r="H16" s="1146"/>
    </row>
    <row r="17" spans="1:8" x14ac:dyDescent="0.25">
      <c r="A17" s="1379"/>
      <c r="B17" s="1379"/>
      <c r="C17" s="1378">
        <v>46022</v>
      </c>
      <c r="D17" s="1378"/>
      <c r="E17" s="1378">
        <v>46022</v>
      </c>
      <c r="F17" s="1378"/>
      <c r="G17" s="485" t="s">
        <v>1009</v>
      </c>
      <c r="H17" s="485" t="s">
        <v>1034</v>
      </c>
    </row>
    <row r="18" spans="1:8" x14ac:dyDescent="0.25">
      <c r="A18" s="1387" t="s">
        <v>1266</v>
      </c>
      <c r="B18" s="1388"/>
      <c r="C18" s="1293">
        <v>0</v>
      </c>
      <c r="D18" s="1294"/>
      <c r="E18" s="1293">
        <v>0</v>
      </c>
      <c r="F18" s="1294"/>
      <c r="G18" s="426">
        <v>0</v>
      </c>
      <c r="H18" s="427">
        <v>0</v>
      </c>
    </row>
    <row r="19" spans="1:8" x14ac:dyDescent="0.25">
      <c r="A19" s="1387" t="s">
        <v>1267</v>
      </c>
      <c r="B19" s="1388"/>
      <c r="C19" s="1293">
        <v>0</v>
      </c>
      <c r="D19" s="1294"/>
      <c r="E19" s="1293">
        <v>0</v>
      </c>
      <c r="F19" s="1294"/>
      <c r="G19" s="426">
        <v>0</v>
      </c>
      <c r="H19" s="427">
        <v>0</v>
      </c>
    </row>
    <row r="20" spans="1:8" x14ac:dyDescent="0.25">
      <c r="A20" s="1387" t="s">
        <v>1268</v>
      </c>
      <c r="B20" s="1388"/>
      <c r="C20" s="1293">
        <v>0</v>
      </c>
      <c r="D20" s="1294"/>
      <c r="E20" s="1293">
        <v>0</v>
      </c>
      <c r="F20" s="1294"/>
      <c r="G20" s="426">
        <v>0</v>
      </c>
      <c r="H20" s="427">
        <v>0</v>
      </c>
    </row>
    <row r="21" spans="1:8" x14ac:dyDescent="0.25">
      <c r="A21" s="1387" t="s">
        <v>1269</v>
      </c>
      <c r="B21" s="1388"/>
      <c r="C21" s="1293">
        <v>0</v>
      </c>
      <c r="D21" s="1294"/>
      <c r="E21" s="1293">
        <v>0</v>
      </c>
      <c r="F21" s="1294"/>
      <c r="G21" s="426">
        <v>0</v>
      </c>
      <c r="H21" s="427">
        <v>0</v>
      </c>
    </row>
    <row r="22" spans="1:8" x14ac:dyDescent="0.25">
      <c r="A22" s="1387" t="s">
        <v>1270</v>
      </c>
      <c r="B22" s="1388"/>
      <c r="C22" s="1293">
        <v>0</v>
      </c>
      <c r="D22" s="1294"/>
      <c r="E22" s="1293">
        <v>0</v>
      </c>
      <c r="F22" s="1294"/>
      <c r="G22" s="426">
        <v>0</v>
      </c>
      <c r="H22" s="427">
        <v>0</v>
      </c>
    </row>
    <row r="23" spans="1:8" x14ac:dyDescent="0.25">
      <c r="A23" s="1387" t="s">
        <v>1271</v>
      </c>
      <c r="B23" s="1388"/>
      <c r="C23" s="1293">
        <v>0</v>
      </c>
      <c r="D23" s="1294"/>
      <c r="E23" s="1293">
        <v>0</v>
      </c>
      <c r="F23" s="1294"/>
      <c r="G23" s="426">
        <v>0</v>
      </c>
      <c r="H23" s="427">
        <v>0</v>
      </c>
    </row>
    <row r="24" spans="1:8" x14ac:dyDescent="0.25">
      <c r="A24" s="1387" t="s">
        <v>1272</v>
      </c>
      <c r="B24" s="1388"/>
      <c r="C24" s="1293">
        <v>0</v>
      </c>
      <c r="D24" s="1294"/>
      <c r="E24" s="1293">
        <v>0</v>
      </c>
      <c r="F24" s="1294"/>
      <c r="G24" s="426">
        <v>0</v>
      </c>
      <c r="H24" s="427">
        <v>0</v>
      </c>
    </row>
    <row r="25" spans="1:8" x14ac:dyDescent="0.25">
      <c r="A25" s="1387" t="s">
        <v>1273</v>
      </c>
      <c r="B25" s="1388"/>
      <c r="C25" s="1293">
        <v>0</v>
      </c>
      <c r="D25" s="1294"/>
      <c r="E25" s="1293">
        <v>0</v>
      </c>
      <c r="F25" s="1294"/>
      <c r="G25" s="426">
        <v>0</v>
      </c>
      <c r="H25" s="427">
        <v>0</v>
      </c>
    </row>
    <row r="26" spans="1:8" x14ac:dyDescent="0.25">
      <c r="A26" s="1387" t="s">
        <v>1274</v>
      </c>
      <c r="B26" s="1388"/>
      <c r="C26" s="1293">
        <v>0</v>
      </c>
      <c r="D26" s="1294"/>
      <c r="E26" s="1293">
        <v>0</v>
      </c>
      <c r="F26" s="1294"/>
      <c r="G26" s="426">
        <v>0</v>
      </c>
      <c r="H26" s="427">
        <v>0</v>
      </c>
    </row>
    <row r="27" spans="1:8" x14ac:dyDescent="0.25">
      <c r="A27" s="1387" t="s">
        <v>1275</v>
      </c>
      <c r="B27" s="1388"/>
      <c r="C27" s="1293">
        <v>0</v>
      </c>
      <c r="D27" s="1294"/>
      <c r="E27" s="1293">
        <v>0</v>
      </c>
      <c r="F27" s="1294"/>
      <c r="G27" s="426">
        <v>0</v>
      </c>
      <c r="H27" s="427">
        <v>0</v>
      </c>
    </row>
    <row r="28" spans="1:8" x14ac:dyDescent="0.25">
      <c r="A28" s="1387" t="s">
        <v>1276</v>
      </c>
      <c r="B28" s="1388"/>
      <c r="C28" s="1293">
        <v>0</v>
      </c>
      <c r="D28" s="1294"/>
      <c r="E28" s="1293">
        <v>0</v>
      </c>
      <c r="F28" s="1294"/>
      <c r="G28" s="426">
        <v>0</v>
      </c>
      <c r="H28" s="427">
        <v>0</v>
      </c>
    </row>
    <row r="29" spans="1:8" ht="28.9" customHeight="1" x14ac:dyDescent="0.25">
      <c r="A29" s="1387" t="s">
        <v>1277</v>
      </c>
      <c r="B29" s="1388"/>
      <c r="C29" s="1293">
        <v>0</v>
      </c>
      <c r="D29" s="1294"/>
      <c r="E29" s="1293">
        <v>0</v>
      </c>
      <c r="F29" s="1294"/>
      <c r="G29" s="426">
        <v>0</v>
      </c>
      <c r="H29" s="427">
        <v>0</v>
      </c>
    </row>
    <row r="30" spans="1:8" x14ac:dyDescent="0.25">
      <c r="A30" s="1387" t="s">
        <v>606</v>
      </c>
      <c r="B30" s="1388"/>
      <c r="C30" s="1293">
        <v>0</v>
      </c>
      <c r="D30" s="1294"/>
      <c r="E30" s="1293">
        <v>0</v>
      </c>
      <c r="F30" s="1294"/>
      <c r="G30" s="426">
        <v>0</v>
      </c>
      <c r="H30" s="427">
        <v>0</v>
      </c>
    </row>
    <row r="31" spans="1:8" x14ac:dyDescent="0.25">
      <c r="A31" s="1094" t="s">
        <v>1278</v>
      </c>
      <c r="B31" s="1096"/>
      <c r="C31" s="1293">
        <v>0</v>
      </c>
      <c r="D31" s="1294"/>
      <c r="E31" s="1293">
        <v>0</v>
      </c>
      <c r="F31" s="1294"/>
      <c r="G31" s="426">
        <v>0</v>
      </c>
      <c r="H31" s="427">
        <v>0</v>
      </c>
    </row>
    <row r="32" spans="1:8" x14ac:dyDescent="0.25">
      <c r="A32" s="1387" t="s">
        <v>1279</v>
      </c>
      <c r="B32" s="1388"/>
      <c r="C32" s="1293">
        <v>0</v>
      </c>
      <c r="D32" s="1294"/>
      <c r="E32" s="1293">
        <v>0</v>
      </c>
      <c r="F32" s="1294"/>
      <c r="G32" s="426">
        <v>0</v>
      </c>
      <c r="H32" s="427">
        <v>0</v>
      </c>
    </row>
    <row r="33" spans="1:8" x14ac:dyDescent="0.25">
      <c r="A33" s="1387" t="s">
        <v>1280</v>
      </c>
      <c r="B33" s="1388"/>
      <c r="C33" s="1293">
        <v>0</v>
      </c>
      <c r="D33" s="1294"/>
      <c r="E33" s="1293">
        <v>0</v>
      </c>
      <c r="F33" s="1294"/>
      <c r="G33" s="426">
        <v>0</v>
      </c>
      <c r="H33" s="427">
        <v>0</v>
      </c>
    </row>
    <row r="34" spans="1:8" x14ac:dyDescent="0.25">
      <c r="A34" s="1386" t="s">
        <v>849</v>
      </c>
      <c r="B34" s="1386"/>
      <c r="C34" s="1290">
        <v>0</v>
      </c>
      <c r="D34" s="1290"/>
      <c r="E34" s="1290">
        <v>0</v>
      </c>
      <c r="F34" s="1290"/>
      <c r="G34" s="479">
        <v>0</v>
      </c>
      <c r="H34" s="431">
        <v>0</v>
      </c>
    </row>
    <row r="35" spans="1:8" ht="6" customHeight="1" x14ac:dyDescent="0.25">
      <c r="A35" s="1393"/>
      <c r="B35" s="1393"/>
      <c r="C35" s="1385"/>
      <c r="D35" s="1385"/>
      <c r="E35" s="1385"/>
      <c r="F35" s="1385"/>
      <c r="G35" s="1385"/>
      <c r="H35" s="1385"/>
    </row>
    <row r="36" spans="1:8" x14ac:dyDescent="0.25">
      <c r="A36" s="241" t="s">
        <v>908</v>
      </c>
      <c r="B36" s="241"/>
      <c r="C36" s="241"/>
      <c r="D36" s="241"/>
      <c r="E36" s="241"/>
      <c r="F36" s="241"/>
      <c r="G36" s="241"/>
      <c r="H36" s="241"/>
    </row>
    <row r="37" spans="1:8" x14ac:dyDescent="0.25">
      <c r="A37" s="1103"/>
      <c r="B37" s="1104"/>
      <c r="C37" s="1104"/>
      <c r="D37" s="1104"/>
      <c r="E37" s="1104"/>
      <c r="F37" s="1104"/>
      <c r="G37" s="1104"/>
      <c r="H37" s="1105"/>
    </row>
    <row r="38" spans="1:8" x14ac:dyDescent="0.25">
      <c r="A38" s="1106"/>
      <c r="B38" s="1107"/>
      <c r="C38" s="1107"/>
      <c r="D38" s="1107"/>
      <c r="E38" s="1107"/>
      <c r="F38" s="1107"/>
      <c r="G38" s="1107"/>
      <c r="H38" s="1108"/>
    </row>
    <row r="39" spans="1:8" x14ac:dyDescent="0.25">
      <c r="A39" s="1106"/>
      <c r="B39" s="1107"/>
      <c r="C39" s="1107"/>
      <c r="D39" s="1107"/>
      <c r="E39" s="1107"/>
      <c r="F39" s="1107"/>
      <c r="G39" s="1107"/>
      <c r="H39" s="1108"/>
    </row>
    <row r="40" spans="1:8" x14ac:dyDescent="0.25">
      <c r="A40" s="1106"/>
      <c r="B40" s="1107"/>
      <c r="C40" s="1107"/>
      <c r="D40" s="1107"/>
      <c r="E40" s="1107"/>
      <c r="F40" s="1107"/>
      <c r="G40" s="1107"/>
      <c r="H40" s="1108"/>
    </row>
    <row r="41" spans="1:8" x14ac:dyDescent="0.25">
      <c r="A41" s="1106"/>
      <c r="B41" s="1107"/>
      <c r="C41" s="1107"/>
      <c r="D41" s="1107"/>
      <c r="E41" s="1107"/>
      <c r="F41" s="1107"/>
      <c r="G41" s="1107"/>
      <c r="H41" s="1108"/>
    </row>
    <row r="42" spans="1:8" x14ac:dyDescent="0.25">
      <c r="A42" s="1106"/>
      <c r="B42" s="1107"/>
      <c r="C42" s="1107"/>
      <c r="D42" s="1107"/>
      <c r="E42" s="1107"/>
      <c r="F42" s="1107"/>
      <c r="G42" s="1107"/>
      <c r="H42" s="1108"/>
    </row>
    <row r="43" spans="1:8" x14ac:dyDescent="0.25">
      <c r="A43" s="1109"/>
      <c r="B43" s="1110"/>
      <c r="C43" s="1110"/>
      <c r="D43" s="1110"/>
      <c r="E43" s="1110"/>
      <c r="F43" s="1110"/>
      <c r="G43" s="1110"/>
      <c r="H43" s="1111"/>
    </row>
  </sheetData>
  <mergeCells count="79">
    <mergeCell ref="B2:H2"/>
    <mergeCell ref="B3:H3"/>
    <mergeCell ref="B4:H4"/>
    <mergeCell ref="B5:H5"/>
    <mergeCell ref="B6:C6"/>
    <mergeCell ref="D6:E6"/>
    <mergeCell ref="G16:H16"/>
    <mergeCell ref="C17:D17"/>
    <mergeCell ref="B7:D7"/>
    <mergeCell ref="B8:H8"/>
    <mergeCell ref="B9:H9"/>
    <mergeCell ref="B10:D10"/>
    <mergeCell ref="E10:F10"/>
    <mergeCell ref="G10:H10"/>
    <mergeCell ref="B11:D11"/>
    <mergeCell ref="E11:F11"/>
    <mergeCell ref="G11:H11"/>
    <mergeCell ref="A13:H13"/>
    <mergeCell ref="A14:H14"/>
    <mergeCell ref="E17:F17"/>
    <mergeCell ref="A16:B17"/>
    <mergeCell ref="C16:D16"/>
    <mergeCell ref="E16:F16"/>
    <mergeCell ref="A20:B20"/>
    <mergeCell ref="C20:D20"/>
    <mergeCell ref="E20:F20"/>
    <mergeCell ref="A21:B21"/>
    <mergeCell ref="C21:D21"/>
    <mergeCell ref="E21:F21"/>
    <mergeCell ref="A18:B18"/>
    <mergeCell ref="C18:D18"/>
    <mergeCell ref="E18:F18"/>
    <mergeCell ref="A19:B19"/>
    <mergeCell ref="C19:D19"/>
    <mergeCell ref="E19:F19"/>
    <mergeCell ref="A22:B22"/>
    <mergeCell ref="C22:D22"/>
    <mergeCell ref="E22:F22"/>
    <mergeCell ref="A23:B23"/>
    <mergeCell ref="C23:D23"/>
    <mergeCell ref="E23:F23"/>
    <mergeCell ref="A24:B24"/>
    <mergeCell ref="C24:D24"/>
    <mergeCell ref="E24:F24"/>
    <mergeCell ref="A25:B25"/>
    <mergeCell ref="C25:D25"/>
    <mergeCell ref="E25:F25"/>
    <mergeCell ref="A26:B26"/>
    <mergeCell ref="C26:D26"/>
    <mergeCell ref="E26:F26"/>
    <mergeCell ref="A27:B27"/>
    <mergeCell ref="C27:D27"/>
    <mergeCell ref="E27:F27"/>
    <mergeCell ref="A28:B28"/>
    <mergeCell ref="C28:D28"/>
    <mergeCell ref="E28:F28"/>
    <mergeCell ref="A29:B29"/>
    <mergeCell ref="C29:D29"/>
    <mergeCell ref="E29:F29"/>
    <mergeCell ref="A30:B30"/>
    <mergeCell ref="C30:D30"/>
    <mergeCell ref="E30:F30"/>
    <mergeCell ref="A31:B31"/>
    <mergeCell ref="C31:D31"/>
    <mergeCell ref="E31:F31"/>
    <mergeCell ref="A32:B32"/>
    <mergeCell ref="C32:D32"/>
    <mergeCell ref="E32:F32"/>
    <mergeCell ref="A33:B33"/>
    <mergeCell ref="C33:D33"/>
    <mergeCell ref="E33:F33"/>
    <mergeCell ref="G35:H35"/>
    <mergeCell ref="A37:H43"/>
    <mergeCell ref="A34:B34"/>
    <mergeCell ref="C34:D34"/>
    <mergeCell ref="E34:F34"/>
    <mergeCell ref="A35:B35"/>
    <mergeCell ref="C35:D35"/>
    <mergeCell ref="E35:F35"/>
  </mergeCells>
  <pageMargins left="0.7" right="0.7" top="0.75" bottom="0.75" header="0.3" footer="0.3"/>
  <drawing r:id="rId1"/>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1B8956-43AE-4F3E-8720-5500340434C7}">
  <dimension ref="A2:H33"/>
  <sheetViews>
    <sheetView workbookViewId="0">
      <selection sqref="A1:XFD1048576"/>
    </sheetView>
  </sheetViews>
  <sheetFormatPr baseColWidth="10" defaultRowHeight="15" x14ac:dyDescent="0.25"/>
  <cols>
    <col min="1" max="1" width="25.5703125" customWidth="1"/>
    <col min="2" max="2" width="9.85546875" customWidth="1"/>
    <col min="3" max="3" width="8.7109375" customWidth="1"/>
    <col min="4" max="4" width="16.85546875" customWidth="1"/>
    <col min="5" max="5" width="9.42578125" customWidth="1"/>
    <col min="6" max="7" width="17.5703125" customWidth="1"/>
    <col min="8" max="8" width="7.7109375" customWidth="1"/>
  </cols>
  <sheetData>
    <row r="2" spans="1:8" x14ac:dyDescent="0.25">
      <c r="A2" s="237" t="s">
        <v>464</v>
      </c>
      <c r="B2" s="958" t="s">
        <v>2</v>
      </c>
      <c r="C2" s="958"/>
      <c r="D2" s="958"/>
      <c r="E2" s="958"/>
      <c r="F2" s="958"/>
      <c r="G2" s="958"/>
      <c r="H2" s="958"/>
    </row>
    <row r="3" spans="1:8" x14ac:dyDescent="0.25">
      <c r="A3" s="237"/>
      <c r="B3" s="957" t="s">
        <v>4</v>
      </c>
      <c r="C3" s="957"/>
      <c r="D3" s="957"/>
      <c r="E3" s="957"/>
      <c r="F3" s="957"/>
      <c r="G3" s="957"/>
      <c r="H3" s="957"/>
    </row>
    <row r="4" spans="1:8" x14ac:dyDescent="0.25">
      <c r="A4" s="237" t="s">
        <v>362</v>
      </c>
      <c r="B4" s="957" t="s">
        <v>6</v>
      </c>
      <c r="C4" s="957"/>
      <c r="D4" s="957"/>
      <c r="E4" s="957"/>
      <c r="F4" s="957"/>
      <c r="G4" s="957"/>
      <c r="H4" s="957"/>
    </row>
    <row r="5" spans="1:8" x14ac:dyDescent="0.25">
      <c r="A5" s="237" t="s">
        <v>363</v>
      </c>
      <c r="B5" s="957">
        <v>4431</v>
      </c>
      <c r="C5" s="957"/>
      <c r="D5" s="957"/>
      <c r="E5" s="957"/>
      <c r="F5" s="957"/>
      <c r="G5" s="957"/>
      <c r="H5" s="957"/>
    </row>
    <row r="6" spans="1:8" x14ac:dyDescent="0.25">
      <c r="A6" s="237" t="s">
        <v>364</v>
      </c>
      <c r="B6" s="957" t="s">
        <v>12</v>
      </c>
      <c r="C6" s="957"/>
      <c r="D6" s="959" t="s">
        <v>365</v>
      </c>
      <c r="E6" s="959"/>
      <c r="F6" s="309">
        <v>46022</v>
      </c>
      <c r="G6" s="46" t="s">
        <v>465</v>
      </c>
      <c r="H6" s="235">
        <v>12</v>
      </c>
    </row>
    <row r="7" spans="1:8" x14ac:dyDescent="0.25">
      <c r="A7" s="311" t="s">
        <v>367</v>
      </c>
      <c r="B7" s="958" t="s">
        <v>8</v>
      </c>
      <c r="C7" s="958"/>
      <c r="D7" s="958"/>
      <c r="E7" s="199"/>
      <c r="F7" s="199"/>
      <c r="G7" s="199"/>
      <c r="H7" s="199"/>
    </row>
    <row r="8" spans="1:8" x14ac:dyDescent="0.25">
      <c r="A8" s="238" t="s">
        <v>466</v>
      </c>
      <c r="B8" s="958" t="s">
        <v>34</v>
      </c>
      <c r="C8" s="958"/>
      <c r="D8" s="958"/>
      <c r="E8" s="958"/>
      <c r="F8" s="958"/>
      <c r="G8" s="958"/>
      <c r="H8" s="958"/>
    </row>
    <row r="9" spans="1:8" x14ac:dyDescent="0.25">
      <c r="A9" s="238"/>
      <c r="B9" s="957">
        <v>555555</v>
      </c>
      <c r="C9" s="957"/>
      <c r="D9" s="957"/>
      <c r="E9" s="957"/>
      <c r="F9" s="957"/>
      <c r="G9" s="957"/>
      <c r="H9" s="957"/>
    </row>
    <row r="10" spans="1:8" x14ac:dyDescent="0.25">
      <c r="A10" s="238" t="s">
        <v>467</v>
      </c>
      <c r="B10" s="957" t="s">
        <v>38</v>
      </c>
      <c r="C10" s="957"/>
      <c r="D10" s="957"/>
      <c r="E10" s="959" t="s">
        <v>468</v>
      </c>
      <c r="F10" s="959"/>
      <c r="G10" s="957" t="s">
        <v>36</v>
      </c>
      <c r="H10" s="957"/>
    </row>
    <row r="11" spans="1:8" x14ac:dyDescent="0.25">
      <c r="A11" s="238" t="s">
        <v>469</v>
      </c>
      <c r="B11" s="954">
        <v>44713</v>
      </c>
      <c r="C11" s="954"/>
      <c r="D11" s="954"/>
      <c r="E11" s="975" t="s">
        <v>470</v>
      </c>
      <c r="F11" s="975"/>
      <c r="G11" s="954">
        <v>45991</v>
      </c>
      <c r="H11" s="954"/>
    </row>
    <row r="12" spans="1:8" ht="6.6" customHeight="1" x14ac:dyDescent="0.25"/>
    <row r="13" spans="1:8" x14ac:dyDescent="0.25">
      <c r="A13" s="788" t="s">
        <v>1281</v>
      </c>
      <c r="B13" s="788"/>
      <c r="C13" s="788"/>
      <c r="D13" s="788"/>
      <c r="E13" s="788"/>
      <c r="F13" s="788"/>
      <c r="G13" s="788"/>
      <c r="H13" s="788"/>
    </row>
    <row r="14" spans="1:8" x14ac:dyDescent="0.25">
      <c r="A14" s="788" t="s">
        <v>1282</v>
      </c>
      <c r="B14" s="788"/>
      <c r="C14" s="788"/>
      <c r="D14" s="788"/>
      <c r="E14" s="788"/>
      <c r="F14" s="788"/>
      <c r="G14" s="788"/>
      <c r="H14" s="788"/>
    </row>
    <row r="15" spans="1:8" ht="6.6" customHeight="1" x14ac:dyDescent="0.25">
      <c r="A15" s="484"/>
      <c r="B15" s="484"/>
      <c r="C15" s="484"/>
      <c r="D15" s="484"/>
      <c r="E15" s="484"/>
      <c r="F15" s="484"/>
      <c r="G15" s="484"/>
      <c r="H15" s="484"/>
    </row>
    <row r="16" spans="1:8" x14ac:dyDescent="0.25">
      <c r="A16" s="1379" t="s">
        <v>988</v>
      </c>
      <c r="B16" s="1379"/>
      <c r="C16" s="988" t="s">
        <v>989</v>
      </c>
      <c r="D16" s="988"/>
      <c r="E16" s="988" t="s">
        <v>989</v>
      </c>
      <c r="F16" s="988"/>
      <c r="G16" s="1144" t="s">
        <v>1056</v>
      </c>
      <c r="H16" s="1146"/>
    </row>
    <row r="17" spans="1:8" x14ac:dyDescent="0.25">
      <c r="A17" s="1379"/>
      <c r="B17" s="1379"/>
      <c r="C17" s="1378">
        <v>46022</v>
      </c>
      <c r="D17" s="1378"/>
      <c r="E17" s="1378">
        <v>46022</v>
      </c>
      <c r="F17" s="1378"/>
      <c r="G17" s="485" t="s">
        <v>1009</v>
      </c>
      <c r="H17" s="485" t="s">
        <v>1034</v>
      </c>
    </row>
    <row r="18" spans="1:8" x14ac:dyDescent="0.25">
      <c r="A18" s="1394" t="s">
        <v>1283</v>
      </c>
      <c r="B18" s="1395"/>
      <c r="C18" s="1293">
        <v>0</v>
      </c>
      <c r="D18" s="1294"/>
      <c r="E18" s="1293">
        <v>0</v>
      </c>
      <c r="F18" s="1294"/>
      <c r="G18" s="426">
        <v>0</v>
      </c>
      <c r="H18" s="427">
        <v>0</v>
      </c>
    </row>
    <row r="19" spans="1:8" x14ac:dyDescent="0.25">
      <c r="A19" s="1394" t="s">
        <v>1284</v>
      </c>
      <c r="B19" s="1395"/>
      <c r="C19" s="1293">
        <v>0</v>
      </c>
      <c r="D19" s="1294"/>
      <c r="E19" s="1293">
        <v>0</v>
      </c>
      <c r="F19" s="1294"/>
      <c r="G19" s="426">
        <v>0</v>
      </c>
      <c r="H19" s="427">
        <v>0</v>
      </c>
    </row>
    <row r="20" spans="1:8" x14ac:dyDescent="0.25">
      <c r="A20" s="1394" t="s">
        <v>1285</v>
      </c>
      <c r="B20" s="1395"/>
      <c r="C20" s="1293">
        <v>0</v>
      </c>
      <c r="D20" s="1294"/>
      <c r="E20" s="1293">
        <v>0</v>
      </c>
      <c r="F20" s="1294"/>
      <c r="G20" s="426">
        <v>0</v>
      </c>
      <c r="H20" s="427">
        <v>0</v>
      </c>
    </row>
    <row r="21" spans="1:8" x14ac:dyDescent="0.25">
      <c r="A21" s="1394" t="s">
        <v>1286</v>
      </c>
      <c r="B21" s="1395"/>
      <c r="C21" s="1293">
        <v>0</v>
      </c>
      <c r="D21" s="1294"/>
      <c r="E21" s="1293">
        <v>0</v>
      </c>
      <c r="F21" s="1294"/>
      <c r="G21" s="426">
        <v>0</v>
      </c>
      <c r="H21" s="427">
        <v>0</v>
      </c>
    </row>
    <row r="22" spans="1:8" x14ac:dyDescent="0.25">
      <c r="A22" s="1394" t="s">
        <v>1287</v>
      </c>
      <c r="B22" s="1395"/>
      <c r="C22" s="1293">
        <v>0</v>
      </c>
      <c r="D22" s="1294"/>
      <c r="E22" s="1293">
        <v>0</v>
      </c>
      <c r="F22" s="1294"/>
      <c r="G22" s="426">
        <v>0</v>
      </c>
      <c r="H22" s="427">
        <v>0</v>
      </c>
    </row>
    <row r="23" spans="1:8" ht="29.45" customHeight="1" x14ac:dyDescent="0.25">
      <c r="A23" s="1094" t="s">
        <v>1288</v>
      </c>
      <c r="B23" s="1096"/>
      <c r="C23" s="1389">
        <v>0</v>
      </c>
      <c r="D23" s="1390"/>
      <c r="E23" s="1389">
        <v>0</v>
      </c>
      <c r="F23" s="1390"/>
      <c r="G23" s="426">
        <v>0</v>
      </c>
      <c r="H23" s="427">
        <v>0</v>
      </c>
    </row>
    <row r="24" spans="1:8" x14ac:dyDescent="0.25">
      <c r="A24" s="1386" t="s">
        <v>849</v>
      </c>
      <c r="B24" s="1386"/>
      <c r="C24" s="1290">
        <v>0</v>
      </c>
      <c r="D24" s="1290"/>
      <c r="E24" s="1290">
        <v>0</v>
      </c>
      <c r="F24" s="1290"/>
      <c r="G24" s="479">
        <v>0</v>
      </c>
      <c r="H24" s="431">
        <v>0</v>
      </c>
    </row>
    <row r="25" spans="1:8" x14ac:dyDescent="0.25">
      <c r="A25" s="1393"/>
      <c r="B25" s="1393"/>
      <c r="C25" s="1385"/>
      <c r="D25" s="1385"/>
      <c r="E25" s="1385"/>
      <c r="F25" s="1385"/>
      <c r="G25" s="1385"/>
      <c r="H25" s="1385"/>
    </row>
    <row r="26" spans="1:8" x14ac:dyDescent="0.25">
      <c r="A26" s="263" t="s">
        <v>1289</v>
      </c>
      <c r="B26" s="241"/>
      <c r="C26" s="241"/>
      <c r="D26" s="241"/>
      <c r="E26" s="241"/>
      <c r="F26" s="241"/>
      <c r="G26" s="241"/>
      <c r="H26" s="241"/>
    </row>
    <row r="27" spans="1:8" x14ac:dyDescent="0.25">
      <c r="A27" s="241" t="s">
        <v>908</v>
      </c>
      <c r="B27" s="241"/>
      <c r="C27" s="241"/>
      <c r="D27" s="241"/>
      <c r="E27" s="241"/>
      <c r="F27" s="241"/>
      <c r="G27" s="241"/>
      <c r="H27" s="241"/>
    </row>
    <row r="28" spans="1:8" x14ac:dyDescent="0.25">
      <c r="A28" s="1103"/>
      <c r="B28" s="1104"/>
      <c r="C28" s="1104"/>
      <c r="D28" s="1104"/>
      <c r="E28" s="1104"/>
      <c r="F28" s="1104"/>
      <c r="G28" s="1104"/>
      <c r="H28" s="1105"/>
    </row>
    <row r="29" spans="1:8" x14ac:dyDescent="0.25">
      <c r="A29" s="1106"/>
      <c r="B29" s="1107"/>
      <c r="C29" s="1107"/>
      <c r="D29" s="1107"/>
      <c r="E29" s="1107"/>
      <c r="F29" s="1107"/>
      <c r="G29" s="1107"/>
      <c r="H29" s="1108"/>
    </row>
    <row r="30" spans="1:8" x14ac:dyDescent="0.25">
      <c r="A30" s="1106"/>
      <c r="B30" s="1107"/>
      <c r="C30" s="1107"/>
      <c r="D30" s="1107"/>
      <c r="E30" s="1107"/>
      <c r="F30" s="1107"/>
      <c r="G30" s="1107"/>
      <c r="H30" s="1108"/>
    </row>
    <row r="31" spans="1:8" x14ac:dyDescent="0.25">
      <c r="A31" s="1106"/>
      <c r="B31" s="1107"/>
      <c r="C31" s="1107"/>
      <c r="D31" s="1107"/>
      <c r="E31" s="1107"/>
      <c r="F31" s="1107"/>
      <c r="G31" s="1107"/>
      <c r="H31" s="1108"/>
    </row>
    <row r="32" spans="1:8" x14ac:dyDescent="0.25">
      <c r="A32" s="1106"/>
      <c r="B32" s="1107"/>
      <c r="C32" s="1107"/>
      <c r="D32" s="1107"/>
      <c r="E32" s="1107"/>
      <c r="F32" s="1107"/>
      <c r="G32" s="1107"/>
      <c r="H32" s="1108"/>
    </row>
    <row r="33" spans="1:8" x14ac:dyDescent="0.25">
      <c r="A33" s="1109"/>
      <c r="B33" s="1110"/>
      <c r="C33" s="1110"/>
      <c r="D33" s="1110"/>
      <c r="E33" s="1110"/>
      <c r="F33" s="1110"/>
      <c r="G33" s="1110"/>
      <c r="H33" s="1111"/>
    </row>
  </sheetData>
  <mergeCells count="49">
    <mergeCell ref="B2:H2"/>
    <mergeCell ref="B3:H3"/>
    <mergeCell ref="B4:H4"/>
    <mergeCell ref="B5:H5"/>
    <mergeCell ref="B6:C6"/>
    <mergeCell ref="D6:E6"/>
    <mergeCell ref="G16:H16"/>
    <mergeCell ref="C17:D17"/>
    <mergeCell ref="B7:D7"/>
    <mergeCell ref="B8:H8"/>
    <mergeCell ref="B9:H9"/>
    <mergeCell ref="B10:D10"/>
    <mergeCell ref="E10:F10"/>
    <mergeCell ref="G10:H10"/>
    <mergeCell ref="B11:D11"/>
    <mergeCell ref="E11:F11"/>
    <mergeCell ref="G11:H11"/>
    <mergeCell ref="A13:H13"/>
    <mergeCell ref="A14:H14"/>
    <mergeCell ref="E17:F17"/>
    <mergeCell ref="A16:B17"/>
    <mergeCell ref="C16:D16"/>
    <mergeCell ref="E16:F16"/>
    <mergeCell ref="A20:B20"/>
    <mergeCell ref="C20:D20"/>
    <mergeCell ref="E20:F20"/>
    <mergeCell ref="A21:B21"/>
    <mergeCell ref="C21:D21"/>
    <mergeCell ref="E21:F21"/>
    <mergeCell ref="A18:B18"/>
    <mergeCell ref="C18:D18"/>
    <mergeCell ref="E18:F18"/>
    <mergeCell ref="A19:B19"/>
    <mergeCell ref="C19:D19"/>
    <mergeCell ref="E19:F19"/>
    <mergeCell ref="A22:B22"/>
    <mergeCell ref="C22:D22"/>
    <mergeCell ref="E22:F22"/>
    <mergeCell ref="A23:B23"/>
    <mergeCell ref="C23:D23"/>
    <mergeCell ref="E23:F23"/>
    <mergeCell ref="G25:H25"/>
    <mergeCell ref="A28:H33"/>
    <mergeCell ref="A24:B24"/>
    <mergeCell ref="C24:D24"/>
    <mergeCell ref="E24:F24"/>
    <mergeCell ref="A25:B25"/>
    <mergeCell ref="C25:D25"/>
    <mergeCell ref="E25:F25"/>
  </mergeCells>
  <pageMargins left="0.7" right="0.7" top="0.75" bottom="0.75" header="0.3" footer="0.3"/>
  <drawing r:id="rId1"/>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1223D9-7B39-4994-AE03-1FDDB5B54DB5}">
  <dimension ref="A2:H33"/>
  <sheetViews>
    <sheetView workbookViewId="0">
      <selection sqref="A1:XFD1048576"/>
    </sheetView>
  </sheetViews>
  <sheetFormatPr baseColWidth="10" defaultRowHeight="15" x14ac:dyDescent="0.25"/>
  <cols>
    <col min="1" max="1" width="48.7109375" customWidth="1"/>
    <col min="2" max="2" width="9.85546875" customWidth="1"/>
    <col min="3" max="3" width="8.7109375" customWidth="1"/>
    <col min="4" max="4" width="16.85546875" customWidth="1"/>
    <col min="5" max="5" width="9.42578125" customWidth="1"/>
    <col min="6" max="7" width="17.5703125" customWidth="1"/>
    <col min="8" max="8" width="7.7109375" customWidth="1"/>
  </cols>
  <sheetData>
    <row r="2" spans="1:8" x14ac:dyDescent="0.25">
      <c r="A2" s="237" t="s">
        <v>464</v>
      </c>
      <c r="B2" s="958" t="s">
        <v>2</v>
      </c>
      <c r="C2" s="958"/>
      <c r="D2" s="958"/>
      <c r="E2" s="958"/>
      <c r="F2" s="958"/>
      <c r="G2" s="958"/>
      <c r="H2" s="958"/>
    </row>
    <row r="3" spans="1:8" x14ac:dyDescent="0.25">
      <c r="A3" s="237"/>
      <c r="B3" s="957" t="s">
        <v>4</v>
      </c>
      <c r="C3" s="957"/>
      <c r="D3" s="957"/>
      <c r="E3" s="957"/>
      <c r="F3" s="957"/>
      <c r="G3" s="957"/>
      <c r="H3" s="957"/>
    </row>
    <row r="4" spans="1:8" x14ac:dyDescent="0.25">
      <c r="A4" s="237" t="s">
        <v>362</v>
      </c>
      <c r="B4" s="957" t="s">
        <v>6</v>
      </c>
      <c r="C4" s="957"/>
      <c r="D4" s="957"/>
      <c r="E4" s="957"/>
      <c r="F4" s="957"/>
      <c r="G4" s="957"/>
      <c r="H4" s="957"/>
    </row>
    <row r="5" spans="1:8" x14ac:dyDescent="0.25">
      <c r="A5" s="237" t="s">
        <v>363</v>
      </c>
      <c r="B5" s="957">
        <v>4431</v>
      </c>
      <c r="C5" s="957"/>
      <c r="D5" s="957"/>
      <c r="E5" s="957"/>
      <c r="F5" s="957"/>
      <c r="G5" s="957"/>
      <c r="H5" s="957"/>
    </row>
    <row r="6" spans="1:8" x14ac:dyDescent="0.25">
      <c r="A6" s="237" t="s">
        <v>364</v>
      </c>
      <c r="B6" s="957" t="s">
        <v>12</v>
      </c>
      <c r="C6" s="957"/>
      <c r="D6" s="959" t="s">
        <v>365</v>
      </c>
      <c r="E6" s="959"/>
      <c r="F6" s="309">
        <v>46022</v>
      </c>
      <c r="G6" s="46" t="s">
        <v>465</v>
      </c>
      <c r="H6" s="235">
        <v>12</v>
      </c>
    </row>
    <row r="7" spans="1:8" x14ac:dyDescent="0.25">
      <c r="A7" s="311" t="s">
        <v>367</v>
      </c>
      <c r="B7" s="958" t="s">
        <v>8</v>
      </c>
      <c r="C7" s="958"/>
      <c r="D7" s="958"/>
      <c r="E7" s="199"/>
      <c r="F7" s="199"/>
      <c r="G7" s="199"/>
      <c r="H7" s="199"/>
    </row>
    <row r="8" spans="1:8" x14ac:dyDescent="0.25">
      <c r="A8" s="238" t="s">
        <v>466</v>
      </c>
      <c r="B8" s="958" t="s">
        <v>34</v>
      </c>
      <c r="C8" s="958"/>
      <c r="D8" s="958"/>
      <c r="E8" s="958"/>
      <c r="F8" s="958"/>
      <c r="G8" s="958"/>
      <c r="H8" s="958"/>
    </row>
    <row r="9" spans="1:8" x14ac:dyDescent="0.25">
      <c r="A9" s="238"/>
      <c r="B9" s="957">
        <v>555555</v>
      </c>
      <c r="C9" s="957"/>
      <c r="D9" s="957"/>
      <c r="E9" s="957"/>
      <c r="F9" s="957"/>
      <c r="G9" s="957"/>
      <c r="H9" s="957"/>
    </row>
    <row r="10" spans="1:8" x14ac:dyDescent="0.25">
      <c r="A10" s="238" t="s">
        <v>467</v>
      </c>
      <c r="B10" s="957" t="s">
        <v>38</v>
      </c>
      <c r="C10" s="957"/>
      <c r="D10" s="957"/>
      <c r="E10" s="959" t="s">
        <v>468</v>
      </c>
      <c r="F10" s="959"/>
      <c r="G10" s="957" t="s">
        <v>36</v>
      </c>
      <c r="H10" s="957"/>
    </row>
    <row r="11" spans="1:8" x14ac:dyDescent="0.25">
      <c r="A11" s="238" t="s">
        <v>469</v>
      </c>
      <c r="B11" s="954">
        <v>44713</v>
      </c>
      <c r="C11" s="954"/>
      <c r="D11" s="954"/>
      <c r="E11" s="975" t="s">
        <v>470</v>
      </c>
      <c r="F11" s="975"/>
      <c r="G11" s="954">
        <v>45991</v>
      </c>
      <c r="H11" s="954"/>
    </row>
    <row r="12" spans="1:8" ht="7.9" customHeight="1" x14ac:dyDescent="0.25"/>
    <row r="13" spans="1:8" x14ac:dyDescent="0.25">
      <c r="A13" s="788" t="s">
        <v>1290</v>
      </c>
      <c r="B13" s="788"/>
      <c r="C13" s="788"/>
      <c r="D13" s="788"/>
      <c r="E13" s="788"/>
      <c r="F13" s="788"/>
      <c r="G13" s="788"/>
      <c r="H13" s="788"/>
    </row>
    <row r="14" spans="1:8" x14ac:dyDescent="0.25">
      <c r="A14" s="788" t="s">
        <v>1291</v>
      </c>
      <c r="B14" s="788"/>
      <c r="C14" s="788"/>
      <c r="D14" s="788"/>
      <c r="E14" s="788"/>
      <c r="F14" s="788"/>
      <c r="G14" s="788"/>
      <c r="H14" s="788"/>
    </row>
    <row r="15" spans="1:8" ht="7.9" customHeight="1" x14ac:dyDescent="0.25">
      <c r="A15" s="484"/>
      <c r="B15" s="484"/>
      <c r="C15" s="484"/>
      <c r="D15" s="484"/>
      <c r="E15" s="484"/>
      <c r="F15" s="484"/>
      <c r="G15" s="484"/>
      <c r="H15" s="484"/>
    </row>
    <row r="16" spans="1:8" x14ac:dyDescent="0.25">
      <c r="A16" s="1379" t="s">
        <v>988</v>
      </c>
      <c r="B16" s="1379"/>
      <c r="C16" s="988" t="s">
        <v>989</v>
      </c>
      <c r="D16" s="988"/>
      <c r="E16" s="988" t="s">
        <v>989</v>
      </c>
      <c r="F16" s="988"/>
      <c r="G16" s="1144" t="s">
        <v>1056</v>
      </c>
      <c r="H16" s="1146"/>
    </row>
    <row r="17" spans="1:8" x14ac:dyDescent="0.25">
      <c r="A17" s="1379"/>
      <c r="B17" s="1379"/>
      <c r="C17" s="1378">
        <v>46022</v>
      </c>
      <c r="D17" s="1378"/>
      <c r="E17" s="1378">
        <v>46022</v>
      </c>
      <c r="F17" s="1378"/>
      <c r="G17" s="485" t="s">
        <v>1009</v>
      </c>
      <c r="H17" s="485" t="s">
        <v>1034</v>
      </c>
    </row>
    <row r="18" spans="1:8" x14ac:dyDescent="0.25">
      <c r="A18" s="1321" t="s">
        <v>1292</v>
      </c>
      <c r="B18" s="1323"/>
      <c r="C18" s="1293">
        <v>0</v>
      </c>
      <c r="D18" s="1294"/>
      <c r="E18" s="1293">
        <v>0</v>
      </c>
      <c r="F18" s="1294"/>
      <c r="G18" s="426">
        <v>0</v>
      </c>
      <c r="H18" s="427">
        <v>0</v>
      </c>
    </row>
    <row r="19" spans="1:8" x14ac:dyDescent="0.25">
      <c r="A19" s="1321" t="s">
        <v>1293</v>
      </c>
      <c r="B19" s="1323"/>
      <c r="C19" s="1293">
        <v>0</v>
      </c>
      <c r="D19" s="1294"/>
      <c r="E19" s="1293">
        <v>0</v>
      </c>
      <c r="F19" s="1294"/>
      <c r="G19" s="426">
        <v>0</v>
      </c>
      <c r="H19" s="427">
        <v>0</v>
      </c>
    </row>
    <row r="20" spans="1:8" x14ac:dyDescent="0.25">
      <c r="A20" s="1326" t="s">
        <v>1294</v>
      </c>
      <c r="B20" s="1328"/>
      <c r="C20" s="1293">
        <v>0</v>
      </c>
      <c r="D20" s="1294"/>
      <c r="E20" s="1293">
        <v>0</v>
      </c>
      <c r="F20" s="1294"/>
      <c r="G20" s="426">
        <v>0</v>
      </c>
      <c r="H20" s="427">
        <v>0</v>
      </c>
    </row>
    <row r="21" spans="1:8" x14ac:dyDescent="0.25">
      <c r="A21" s="1326" t="s">
        <v>1295</v>
      </c>
      <c r="B21" s="1328"/>
      <c r="C21" s="1293">
        <v>0</v>
      </c>
      <c r="D21" s="1294"/>
      <c r="E21" s="1293">
        <v>0</v>
      </c>
      <c r="F21" s="1294"/>
      <c r="G21" s="426">
        <v>0</v>
      </c>
      <c r="H21" s="427">
        <v>0</v>
      </c>
    </row>
    <row r="22" spans="1:8" x14ac:dyDescent="0.25">
      <c r="A22" s="1326" t="s">
        <v>1296</v>
      </c>
      <c r="B22" s="1328"/>
      <c r="C22" s="1293">
        <v>0</v>
      </c>
      <c r="D22" s="1294"/>
      <c r="E22" s="1293">
        <v>0</v>
      </c>
      <c r="F22" s="1294"/>
      <c r="G22" s="426">
        <v>0</v>
      </c>
      <c r="H22" s="427">
        <v>0</v>
      </c>
    </row>
    <row r="23" spans="1:8" x14ac:dyDescent="0.25">
      <c r="A23" s="1326" t="s">
        <v>1297</v>
      </c>
      <c r="B23" s="1328"/>
      <c r="C23" s="1389">
        <v>0</v>
      </c>
      <c r="D23" s="1390"/>
      <c r="E23" s="1389">
        <v>0</v>
      </c>
      <c r="F23" s="1390"/>
      <c r="G23" s="426">
        <v>0</v>
      </c>
      <c r="H23" s="427">
        <v>0</v>
      </c>
    </row>
    <row r="24" spans="1:8" ht="29.45" customHeight="1" x14ac:dyDescent="0.25">
      <c r="A24" s="1326" t="s">
        <v>1298</v>
      </c>
      <c r="B24" s="1328"/>
      <c r="C24" s="1293">
        <v>0</v>
      </c>
      <c r="D24" s="1294"/>
      <c r="E24" s="1293">
        <v>0</v>
      </c>
      <c r="F24" s="1294"/>
      <c r="G24" s="426">
        <v>0</v>
      </c>
      <c r="H24" s="427">
        <v>0</v>
      </c>
    </row>
    <row r="25" spans="1:8" x14ac:dyDescent="0.25">
      <c r="A25" s="1386" t="s">
        <v>849</v>
      </c>
      <c r="B25" s="1386"/>
      <c r="C25" s="1290">
        <v>0</v>
      </c>
      <c r="D25" s="1290"/>
      <c r="E25" s="1290">
        <v>0</v>
      </c>
      <c r="F25" s="1290"/>
      <c r="G25" s="479">
        <v>0</v>
      </c>
      <c r="H25" s="431">
        <v>0</v>
      </c>
    </row>
    <row r="26" spans="1:8" x14ac:dyDescent="0.25">
      <c r="A26" s="1393"/>
      <c r="B26" s="1393"/>
      <c r="C26" s="1385"/>
      <c r="D26" s="1385"/>
      <c r="E26" s="1385"/>
      <c r="F26" s="1385"/>
      <c r="G26" s="1385"/>
      <c r="H26" s="1385"/>
    </row>
    <row r="27" spans="1:8" x14ac:dyDescent="0.25">
      <c r="A27" s="241" t="s">
        <v>908</v>
      </c>
      <c r="B27" s="241"/>
      <c r="C27" s="241"/>
      <c r="D27" s="241"/>
      <c r="E27" s="241"/>
      <c r="F27" s="241"/>
      <c r="G27" s="241"/>
      <c r="H27" s="241"/>
    </row>
    <row r="28" spans="1:8" x14ac:dyDescent="0.25">
      <c r="A28" s="1103"/>
      <c r="B28" s="1104"/>
      <c r="C28" s="1104"/>
      <c r="D28" s="1104"/>
      <c r="E28" s="1104"/>
      <c r="F28" s="1104"/>
      <c r="G28" s="1104"/>
      <c r="H28" s="1105"/>
    </row>
    <row r="29" spans="1:8" x14ac:dyDescent="0.25">
      <c r="A29" s="1106"/>
      <c r="B29" s="1107"/>
      <c r="C29" s="1107"/>
      <c r="D29" s="1107"/>
      <c r="E29" s="1107"/>
      <c r="F29" s="1107"/>
      <c r="G29" s="1107"/>
      <c r="H29" s="1108"/>
    </row>
    <row r="30" spans="1:8" x14ac:dyDescent="0.25">
      <c r="A30" s="1106"/>
      <c r="B30" s="1107"/>
      <c r="C30" s="1107"/>
      <c r="D30" s="1107"/>
      <c r="E30" s="1107"/>
      <c r="F30" s="1107"/>
      <c r="G30" s="1107"/>
      <c r="H30" s="1108"/>
    </row>
    <row r="31" spans="1:8" x14ac:dyDescent="0.25">
      <c r="A31" s="1106"/>
      <c r="B31" s="1107"/>
      <c r="C31" s="1107"/>
      <c r="D31" s="1107"/>
      <c r="E31" s="1107"/>
      <c r="F31" s="1107"/>
      <c r="G31" s="1107"/>
      <c r="H31" s="1108"/>
    </row>
    <row r="32" spans="1:8" x14ac:dyDescent="0.25">
      <c r="A32" s="1106"/>
      <c r="B32" s="1107"/>
      <c r="C32" s="1107"/>
      <c r="D32" s="1107"/>
      <c r="E32" s="1107"/>
      <c r="F32" s="1107"/>
      <c r="G32" s="1107"/>
      <c r="H32" s="1108"/>
    </row>
    <row r="33" spans="1:8" x14ac:dyDescent="0.25">
      <c r="A33" s="1109"/>
      <c r="B33" s="1110"/>
      <c r="C33" s="1110"/>
      <c r="D33" s="1110"/>
      <c r="E33" s="1110"/>
      <c r="F33" s="1110"/>
      <c r="G33" s="1110"/>
      <c r="H33" s="1111"/>
    </row>
  </sheetData>
  <mergeCells count="52">
    <mergeCell ref="B2:H2"/>
    <mergeCell ref="B3:H3"/>
    <mergeCell ref="B4:H4"/>
    <mergeCell ref="B5:H5"/>
    <mergeCell ref="B6:C6"/>
    <mergeCell ref="D6:E6"/>
    <mergeCell ref="G16:H16"/>
    <mergeCell ref="C17:D17"/>
    <mergeCell ref="B7:D7"/>
    <mergeCell ref="B8:H8"/>
    <mergeCell ref="B9:H9"/>
    <mergeCell ref="B10:D10"/>
    <mergeCell ref="E10:F10"/>
    <mergeCell ref="G10:H10"/>
    <mergeCell ref="B11:D11"/>
    <mergeCell ref="E11:F11"/>
    <mergeCell ref="G11:H11"/>
    <mergeCell ref="A13:H13"/>
    <mergeCell ref="A14:H14"/>
    <mergeCell ref="E17:F17"/>
    <mergeCell ref="A16:B17"/>
    <mergeCell ref="C16:D16"/>
    <mergeCell ref="E16:F16"/>
    <mergeCell ref="A20:B20"/>
    <mergeCell ref="C20:D20"/>
    <mergeCell ref="E20:F20"/>
    <mergeCell ref="A21:B21"/>
    <mergeCell ref="C21:D21"/>
    <mergeCell ref="E21:F21"/>
    <mergeCell ref="A18:B18"/>
    <mergeCell ref="C18:D18"/>
    <mergeCell ref="E18:F18"/>
    <mergeCell ref="A19:B19"/>
    <mergeCell ref="C19:D19"/>
    <mergeCell ref="E19:F19"/>
    <mergeCell ref="A22:B22"/>
    <mergeCell ref="C22:D22"/>
    <mergeCell ref="E22:F22"/>
    <mergeCell ref="A23:B23"/>
    <mergeCell ref="C23:D23"/>
    <mergeCell ref="E23:F23"/>
    <mergeCell ref="A24:B24"/>
    <mergeCell ref="C24:D24"/>
    <mergeCell ref="E24:F24"/>
    <mergeCell ref="A25:B25"/>
    <mergeCell ref="C25:D25"/>
    <mergeCell ref="E25:F25"/>
    <mergeCell ref="A26:B26"/>
    <mergeCell ref="C26:D26"/>
    <mergeCell ref="E26:F26"/>
    <mergeCell ref="G26:H26"/>
    <mergeCell ref="A28:H33"/>
  </mergeCells>
  <pageMargins left="0.7" right="0.7" top="0.75" bottom="0.75" header="0.3" footer="0.3"/>
  <drawing r:id="rId1"/>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B1388C-F2AA-4FF7-AAFE-27A73B2075B1}">
  <dimension ref="A2:H36"/>
  <sheetViews>
    <sheetView workbookViewId="0">
      <selection sqref="A1:XFD1048576"/>
    </sheetView>
  </sheetViews>
  <sheetFormatPr baseColWidth="10" defaultRowHeight="15" x14ac:dyDescent="0.25"/>
  <cols>
    <col min="1" max="1" width="25.5703125" customWidth="1"/>
    <col min="2" max="2" width="31.5703125" customWidth="1"/>
    <col min="3" max="3" width="8.7109375" customWidth="1"/>
    <col min="4" max="4" width="16.85546875" customWidth="1"/>
    <col min="5" max="5" width="9.42578125" customWidth="1"/>
    <col min="6" max="7" width="17.5703125" customWidth="1"/>
    <col min="8" max="8" width="7.7109375" customWidth="1"/>
  </cols>
  <sheetData>
    <row r="2" spans="1:8" x14ac:dyDescent="0.25">
      <c r="A2" s="237" t="s">
        <v>464</v>
      </c>
      <c r="B2" s="958" t="s">
        <v>2</v>
      </c>
      <c r="C2" s="958"/>
      <c r="D2" s="958"/>
      <c r="E2" s="958"/>
      <c r="F2" s="958"/>
      <c r="G2" s="958"/>
      <c r="H2" s="958"/>
    </row>
    <row r="3" spans="1:8" x14ac:dyDescent="0.25">
      <c r="A3" s="237"/>
      <c r="B3" s="957" t="s">
        <v>4</v>
      </c>
      <c r="C3" s="957"/>
      <c r="D3" s="957"/>
      <c r="E3" s="957"/>
      <c r="F3" s="957"/>
      <c r="G3" s="957"/>
      <c r="H3" s="957"/>
    </row>
    <row r="4" spans="1:8" x14ac:dyDescent="0.25">
      <c r="A4" s="237" t="s">
        <v>362</v>
      </c>
      <c r="B4" s="957" t="s">
        <v>6</v>
      </c>
      <c r="C4" s="957"/>
      <c r="D4" s="957"/>
      <c r="E4" s="957"/>
      <c r="F4" s="957"/>
      <c r="G4" s="957"/>
      <c r="H4" s="957"/>
    </row>
    <row r="5" spans="1:8" x14ac:dyDescent="0.25">
      <c r="A5" s="237" t="s">
        <v>363</v>
      </c>
      <c r="B5" s="957">
        <v>4431</v>
      </c>
      <c r="C5" s="957"/>
      <c r="D5" s="957"/>
      <c r="E5" s="957"/>
      <c r="F5" s="957"/>
      <c r="G5" s="957"/>
      <c r="H5" s="957"/>
    </row>
    <row r="6" spans="1:8" x14ac:dyDescent="0.25">
      <c r="A6" s="237" t="s">
        <v>364</v>
      </c>
      <c r="B6" s="957" t="s">
        <v>12</v>
      </c>
      <c r="C6" s="957"/>
      <c r="D6" s="959" t="s">
        <v>365</v>
      </c>
      <c r="E6" s="959"/>
      <c r="F6" s="309">
        <v>46022</v>
      </c>
      <c r="G6" s="46" t="s">
        <v>465</v>
      </c>
      <c r="H6" s="235">
        <v>12</v>
      </c>
    </row>
    <row r="7" spans="1:8" x14ac:dyDescent="0.25">
      <c r="A7" s="311" t="s">
        <v>367</v>
      </c>
      <c r="B7" s="958" t="s">
        <v>8</v>
      </c>
      <c r="C7" s="958"/>
      <c r="D7" s="958"/>
      <c r="E7" s="199"/>
      <c r="F7" s="199"/>
      <c r="G7" s="199"/>
      <c r="H7" s="199"/>
    </row>
    <row r="8" spans="1:8" x14ac:dyDescent="0.25">
      <c r="A8" s="238" t="s">
        <v>466</v>
      </c>
      <c r="B8" s="958" t="s">
        <v>34</v>
      </c>
      <c r="C8" s="958"/>
      <c r="D8" s="958"/>
      <c r="E8" s="958"/>
      <c r="F8" s="958"/>
      <c r="G8" s="958"/>
      <c r="H8" s="958"/>
    </row>
    <row r="9" spans="1:8" x14ac:dyDescent="0.25">
      <c r="A9" s="238"/>
      <c r="B9" s="957">
        <v>555555</v>
      </c>
      <c r="C9" s="957"/>
      <c r="D9" s="957"/>
      <c r="E9" s="957"/>
      <c r="F9" s="957"/>
      <c r="G9" s="957"/>
      <c r="H9" s="957"/>
    </row>
    <row r="10" spans="1:8" x14ac:dyDescent="0.25">
      <c r="A10" s="238" t="s">
        <v>467</v>
      </c>
      <c r="B10" s="957" t="s">
        <v>38</v>
      </c>
      <c r="C10" s="957"/>
      <c r="D10" s="957"/>
      <c r="E10" s="959" t="s">
        <v>468</v>
      </c>
      <c r="F10" s="959"/>
      <c r="G10" s="957" t="s">
        <v>36</v>
      </c>
      <c r="H10" s="957"/>
    </row>
    <row r="11" spans="1:8" x14ac:dyDescent="0.25">
      <c r="A11" s="238" t="s">
        <v>469</v>
      </c>
      <c r="B11" s="954">
        <v>44713</v>
      </c>
      <c r="C11" s="954"/>
      <c r="D11" s="954"/>
      <c r="E11" s="975" t="s">
        <v>470</v>
      </c>
      <c r="F11" s="975"/>
      <c r="G11" s="954">
        <v>45991</v>
      </c>
      <c r="H11" s="954"/>
    </row>
    <row r="12" spans="1:8" ht="6" customHeight="1" x14ac:dyDescent="0.25"/>
    <row r="13" spans="1:8" x14ac:dyDescent="0.25">
      <c r="A13" s="788" t="s">
        <v>1299</v>
      </c>
      <c r="B13" s="788"/>
      <c r="C13" s="788"/>
      <c r="D13" s="788"/>
      <c r="E13" s="788"/>
      <c r="F13" s="788"/>
      <c r="G13" s="788"/>
      <c r="H13" s="788"/>
    </row>
    <row r="14" spans="1:8" x14ac:dyDescent="0.25">
      <c r="A14" s="788" t="s">
        <v>1300</v>
      </c>
      <c r="B14" s="788"/>
      <c r="C14" s="788"/>
      <c r="D14" s="788"/>
      <c r="E14" s="788"/>
      <c r="F14" s="788"/>
      <c r="G14" s="788"/>
      <c r="H14" s="788"/>
    </row>
    <row r="15" spans="1:8" ht="6" customHeight="1" x14ac:dyDescent="0.25">
      <c r="A15" s="484"/>
      <c r="B15" s="484"/>
      <c r="C15" s="484"/>
      <c r="D15" s="484"/>
      <c r="E15" s="484"/>
      <c r="F15" s="484"/>
      <c r="G15" s="484"/>
      <c r="H15" s="484"/>
    </row>
    <row r="16" spans="1:8" x14ac:dyDescent="0.25">
      <c r="A16" s="1379" t="s">
        <v>988</v>
      </c>
      <c r="B16" s="1379"/>
      <c r="C16" s="988" t="s">
        <v>989</v>
      </c>
      <c r="D16" s="988"/>
      <c r="E16" s="988" t="s">
        <v>989</v>
      </c>
      <c r="F16" s="988"/>
      <c r="G16" s="1144" t="s">
        <v>1056</v>
      </c>
      <c r="H16" s="1146"/>
    </row>
    <row r="17" spans="1:8" x14ac:dyDescent="0.25">
      <c r="A17" s="1379"/>
      <c r="B17" s="1379"/>
      <c r="C17" s="1378">
        <v>46022</v>
      </c>
      <c r="D17" s="1378"/>
      <c r="E17" s="1378">
        <v>46022</v>
      </c>
      <c r="F17" s="1378"/>
      <c r="G17" s="485" t="s">
        <v>1009</v>
      </c>
      <c r="H17" s="485" t="s">
        <v>1034</v>
      </c>
    </row>
    <row r="18" spans="1:8" x14ac:dyDescent="0.25">
      <c r="A18" s="1321" t="s">
        <v>1301</v>
      </c>
      <c r="B18" s="1323"/>
      <c r="C18" s="1293">
        <v>0</v>
      </c>
      <c r="D18" s="1294"/>
      <c r="E18" s="1293">
        <v>0</v>
      </c>
      <c r="F18" s="1294"/>
      <c r="G18" s="426">
        <v>0</v>
      </c>
      <c r="H18" s="427">
        <v>0</v>
      </c>
    </row>
    <row r="19" spans="1:8" x14ac:dyDescent="0.25">
      <c r="A19" s="1396" t="s">
        <v>1302</v>
      </c>
      <c r="B19" s="1397"/>
      <c r="C19" s="1293">
        <v>0</v>
      </c>
      <c r="D19" s="1294"/>
      <c r="E19" s="1293">
        <v>0</v>
      </c>
      <c r="F19" s="1294"/>
      <c r="G19" s="426">
        <v>0</v>
      </c>
      <c r="H19" s="427">
        <v>0</v>
      </c>
    </row>
    <row r="20" spans="1:8" x14ac:dyDescent="0.25">
      <c r="A20" s="1321" t="s">
        <v>1303</v>
      </c>
      <c r="B20" s="1323"/>
      <c r="C20" s="1293">
        <v>0</v>
      </c>
      <c r="D20" s="1294"/>
      <c r="E20" s="1293">
        <v>0</v>
      </c>
      <c r="F20" s="1294"/>
      <c r="G20" s="426">
        <v>0</v>
      </c>
      <c r="H20" s="427">
        <v>0</v>
      </c>
    </row>
    <row r="21" spans="1:8" x14ac:dyDescent="0.25">
      <c r="A21" s="1326" t="s">
        <v>1304</v>
      </c>
      <c r="B21" s="1328"/>
      <c r="C21" s="1293">
        <v>0</v>
      </c>
      <c r="D21" s="1294"/>
      <c r="E21" s="1293">
        <v>0</v>
      </c>
      <c r="F21" s="1294"/>
      <c r="G21" s="426">
        <v>0</v>
      </c>
      <c r="H21" s="427">
        <v>0</v>
      </c>
    </row>
    <row r="22" spans="1:8" x14ac:dyDescent="0.25">
      <c r="A22" s="1326" t="s">
        <v>1305</v>
      </c>
      <c r="B22" s="1328"/>
      <c r="C22" s="1293">
        <v>0</v>
      </c>
      <c r="D22" s="1294"/>
      <c r="E22" s="1293">
        <v>0</v>
      </c>
      <c r="F22" s="1294"/>
      <c r="G22" s="426">
        <v>0</v>
      </c>
      <c r="H22" s="427">
        <v>0</v>
      </c>
    </row>
    <row r="23" spans="1:8" x14ac:dyDescent="0.25">
      <c r="A23" s="1326" t="s">
        <v>1306</v>
      </c>
      <c r="B23" s="1328"/>
      <c r="C23" s="1293">
        <v>0</v>
      </c>
      <c r="D23" s="1294"/>
      <c r="E23" s="1293">
        <v>0</v>
      </c>
      <c r="F23" s="1294"/>
      <c r="G23" s="426">
        <v>0</v>
      </c>
      <c r="H23" s="427">
        <v>0</v>
      </c>
    </row>
    <row r="24" spans="1:8" x14ac:dyDescent="0.25">
      <c r="A24" s="1326" t="s">
        <v>1307</v>
      </c>
      <c r="B24" s="1328"/>
      <c r="C24" s="1293">
        <v>0</v>
      </c>
      <c r="D24" s="1294"/>
      <c r="E24" s="1293">
        <v>0</v>
      </c>
      <c r="F24" s="1294"/>
      <c r="G24" s="426">
        <v>0</v>
      </c>
      <c r="H24" s="427">
        <v>0</v>
      </c>
    </row>
    <row r="25" spans="1:8" x14ac:dyDescent="0.25">
      <c r="A25" s="1321" t="s">
        <v>1308</v>
      </c>
      <c r="B25" s="1323"/>
      <c r="C25" s="1293">
        <v>0</v>
      </c>
      <c r="D25" s="1294"/>
      <c r="E25" s="1293">
        <v>0</v>
      </c>
      <c r="F25" s="1294"/>
      <c r="G25" s="426">
        <v>0</v>
      </c>
      <c r="H25" s="427">
        <v>0</v>
      </c>
    </row>
    <row r="26" spans="1:8" x14ac:dyDescent="0.25">
      <c r="A26" s="1396" t="s">
        <v>1309</v>
      </c>
      <c r="B26" s="1397"/>
      <c r="C26" s="1293">
        <v>0</v>
      </c>
      <c r="D26" s="1294"/>
      <c r="E26" s="1293">
        <v>0</v>
      </c>
      <c r="F26" s="1294"/>
      <c r="G26" s="426">
        <v>0</v>
      </c>
      <c r="H26" s="427">
        <v>0</v>
      </c>
    </row>
    <row r="27" spans="1:8" x14ac:dyDescent="0.25">
      <c r="A27" s="1386" t="s">
        <v>849</v>
      </c>
      <c r="B27" s="1386"/>
      <c r="C27" s="1290">
        <v>0</v>
      </c>
      <c r="D27" s="1290"/>
      <c r="E27" s="1290">
        <v>0</v>
      </c>
      <c r="F27" s="1290"/>
      <c r="G27" s="479">
        <v>0</v>
      </c>
      <c r="H27" s="431">
        <v>0</v>
      </c>
    </row>
    <row r="28" spans="1:8" ht="7.9" customHeight="1" x14ac:dyDescent="0.25">
      <c r="A28" s="1393"/>
      <c r="B28" s="1393"/>
      <c r="C28" s="1385"/>
      <c r="D28" s="1385"/>
      <c r="E28" s="1385"/>
      <c r="F28" s="1385"/>
      <c r="G28" s="1385"/>
      <c r="H28" s="1385"/>
    </row>
    <row r="29" spans="1:8" x14ac:dyDescent="0.25">
      <c r="A29" s="263" t="s">
        <v>1310</v>
      </c>
      <c r="B29" s="241"/>
      <c r="C29" s="241"/>
      <c r="D29" s="241"/>
      <c r="E29" s="241"/>
      <c r="F29" s="241"/>
      <c r="G29" s="241"/>
      <c r="H29" s="241"/>
    </row>
    <row r="30" spans="1:8" x14ac:dyDescent="0.25">
      <c r="A30" s="241" t="s">
        <v>908</v>
      </c>
      <c r="B30" s="241"/>
      <c r="C30" s="241"/>
      <c r="D30" s="241"/>
      <c r="E30" s="241"/>
      <c r="F30" s="241"/>
      <c r="G30" s="241"/>
      <c r="H30" s="241"/>
    </row>
    <row r="31" spans="1:8" x14ac:dyDescent="0.25">
      <c r="A31" s="1103"/>
      <c r="B31" s="1104"/>
      <c r="C31" s="1104"/>
      <c r="D31" s="1104"/>
      <c r="E31" s="1104"/>
      <c r="F31" s="1104"/>
      <c r="G31" s="1104"/>
      <c r="H31" s="1105"/>
    </row>
    <row r="32" spans="1:8" x14ac:dyDescent="0.25">
      <c r="A32" s="1106"/>
      <c r="B32" s="1107"/>
      <c r="C32" s="1107"/>
      <c r="D32" s="1107"/>
      <c r="E32" s="1107"/>
      <c r="F32" s="1107"/>
      <c r="G32" s="1107"/>
      <c r="H32" s="1108"/>
    </row>
    <row r="33" spans="1:8" x14ac:dyDescent="0.25">
      <c r="A33" s="1106"/>
      <c r="B33" s="1107"/>
      <c r="C33" s="1107"/>
      <c r="D33" s="1107"/>
      <c r="E33" s="1107"/>
      <c r="F33" s="1107"/>
      <c r="G33" s="1107"/>
      <c r="H33" s="1108"/>
    </row>
    <row r="34" spans="1:8" x14ac:dyDescent="0.25">
      <c r="A34" s="1106"/>
      <c r="B34" s="1107"/>
      <c r="C34" s="1107"/>
      <c r="D34" s="1107"/>
      <c r="E34" s="1107"/>
      <c r="F34" s="1107"/>
      <c r="G34" s="1107"/>
      <c r="H34" s="1108"/>
    </row>
    <row r="35" spans="1:8" x14ac:dyDescent="0.25">
      <c r="A35" s="1106"/>
      <c r="B35" s="1107"/>
      <c r="C35" s="1107"/>
      <c r="D35" s="1107"/>
      <c r="E35" s="1107"/>
      <c r="F35" s="1107"/>
      <c r="G35" s="1107"/>
      <c r="H35" s="1108"/>
    </row>
    <row r="36" spans="1:8" x14ac:dyDescent="0.25">
      <c r="A36" s="1109"/>
      <c r="B36" s="1110"/>
      <c r="C36" s="1110"/>
      <c r="D36" s="1110"/>
      <c r="E36" s="1110"/>
      <c r="F36" s="1110"/>
      <c r="G36" s="1110"/>
      <c r="H36" s="1111"/>
    </row>
  </sheetData>
  <mergeCells count="58">
    <mergeCell ref="B2:H2"/>
    <mergeCell ref="B3:H3"/>
    <mergeCell ref="B4:H4"/>
    <mergeCell ref="B5:H5"/>
    <mergeCell ref="B6:C6"/>
    <mergeCell ref="D6:E6"/>
    <mergeCell ref="G16:H16"/>
    <mergeCell ref="C17:D17"/>
    <mergeCell ref="B7:D7"/>
    <mergeCell ref="B8:H8"/>
    <mergeCell ref="B9:H9"/>
    <mergeCell ref="B10:D10"/>
    <mergeCell ref="E10:F10"/>
    <mergeCell ref="G10:H10"/>
    <mergeCell ref="B11:D11"/>
    <mergeCell ref="E11:F11"/>
    <mergeCell ref="G11:H11"/>
    <mergeCell ref="A13:H13"/>
    <mergeCell ref="A14:H14"/>
    <mergeCell ref="E17:F17"/>
    <mergeCell ref="A16:B17"/>
    <mergeCell ref="C16:D16"/>
    <mergeCell ref="E16:F16"/>
    <mergeCell ref="A20:B20"/>
    <mergeCell ref="C20:D20"/>
    <mergeCell ref="E20:F20"/>
    <mergeCell ref="A21:B21"/>
    <mergeCell ref="C21:D21"/>
    <mergeCell ref="E21:F21"/>
    <mergeCell ref="A18:B18"/>
    <mergeCell ref="C18:D18"/>
    <mergeCell ref="E18:F18"/>
    <mergeCell ref="A19:B19"/>
    <mergeCell ref="C19:D19"/>
    <mergeCell ref="E19:F19"/>
    <mergeCell ref="A22:B22"/>
    <mergeCell ref="C22:D22"/>
    <mergeCell ref="E22:F22"/>
    <mergeCell ref="A23:B23"/>
    <mergeCell ref="C23:D23"/>
    <mergeCell ref="E23:F23"/>
    <mergeCell ref="A24:B24"/>
    <mergeCell ref="C24:D24"/>
    <mergeCell ref="E24:F24"/>
    <mergeCell ref="A25:B25"/>
    <mergeCell ref="C25:D25"/>
    <mergeCell ref="E25:F25"/>
    <mergeCell ref="A26:B26"/>
    <mergeCell ref="C26:D26"/>
    <mergeCell ref="E26:F26"/>
    <mergeCell ref="A27:B27"/>
    <mergeCell ref="C27:D27"/>
    <mergeCell ref="E27:F27"/>
    <mergeCell ref="A28:B28"/>
    <mergeCell ref="C28:D28"/>
    <mergeCell ref="E28:F28"/>
    <mergeCell ref="G28:H28"/>
    <mergeCell ref="A31:H36"/>
  </mergeCells>
  <pageMargins left="0.7" right="0.7" top="0.75" bottom="0.75" header="0.3" footer="0.3"/>
  <drawing r:id="rId1"/>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DAC949-4C69-49F9-8FA4-74B770F015A4}">
  <dimension ref="A2:P38"/>
  <sheetViews>
    <sheetView workbookViewId="0">
      <selection sqref="A1:XFD1048576"/>
    </sheetView>
  </sheetViews>
  <sheetFormatPr baseColWidth="10" defaultRowHeight="15" x14ac:dyDescent="0.25"/>
  <cols>
    <col min="1" max="1" width="2.85546875" customWidth="1"/>
    <col min="2" max="2" width="36.85546875" customWidth="1"/>
    <col min="3" max="9" width="6" customWidth="1"/>
    <col min="10" max="16" width="11.5703125" customWidth="1"/>
  </cols>
  <sheetData>
    <row r="2" spans="1:16" x14ac:dyDescent="0.25">
      <c r="B2" s="237" t="s">
        <v>464</v>
      </c>
      <c r="C2" s="958" t="s">
        <v>2</v>
      </c>
      <c r="D2" s="958"/>
      <c r="E2" s="958"/>
      <c r="F2" s="958"/>
      <c r="G2" s="958"/>
      <c r="H2" s="958"/>
      <c r="I2" s="958"/>
      <c r="J2" s="958"/>
      <c r="K2" s="958"/>
      <c r="L2" s="958"/>
      <c r="M2" s="958"/>
      <c r="N2" s="958"/>
      <c r="O2" s="958"/>
      <c r="P2" s="958"/>
    </row>
    <row r="3" spans="1:16" x14ac:dyDescent="0.25">
      <c r="B3" s="237"/>
      <c r="C3" s="957" t="s">
        <v>4</v>
      </c>
      <c r="D3" s="957"/>
      <c r="E3" s="957"/>
      <c r="F3" s="957"/>
      <c r="G3" s="957"/>
      <c r="H3" s="957"/>
      <c r="I3" s="957"/>
      <c r="J3" s="957"/>
      <c r="K3" s="957"/>
      <c r="L3" s="957"/>
      <c r="M3" s="957"/>
      <c r="N3" s="957"/>
      <c r="O3" s="957"/>
      <c r="P3" s="957"/>
    </row>
    <row r="4" spans="1:16" x14ac:dyDescent="0.25">
      <c r="B4" s="237" t="s">
        <v>362</v>
      </c>
      <c r="C4" s="957" t="s">
        <v>6</v>
      </c>
      <c r="D4" s="957"/>
      <c r="E4" s="957"/>
      <c r="F4" s="957"/>
      <c r="G4" s="957"/>
      <c r="H4" s="957"/>
      <c r="I4" s="957"/>
      <c r="J4" s="957"/>
      <c r="K4" s="957"/>
      <c r="L4" s="957"/>
      <c r="M4" s="957"/>
      <c r="N4" s="957"/>
      <c r="O4" s="957"/>
      <c r="P4" s="957"/>
    </row>
    <row r="5" spans="1:16" x14ac:dyDescent="0.25">
      <c r="B5" s="237" t="s">
        <v>363</v>
      </c>
      <c r="C5" s="957">
        <v>4431</v>
      </c>
      <c r="D5" s="957"/>
      <c r="E5" s="957"/>
      <c r="F5" s="957"/>
      <c r="G5" s="957"/>
      <c r="H5" s="957"/>
      <c r="I5" s="957"/>
      <c r="J5" s="957"/>
      <c r="K5" s="957"/>
      <c r="L5" s="957"/>
      <c r="M5" s="957"/>
      <c r="N5" s="957"/>
      <c r="O5" s="957"/>
      <c r="P5" s="957"/>
    </row>
    <row r="6" spans="1:16" x14ac:dyDescent="0.25">
      <c r="B6" s="237" t="s">
        <v>364</v>
      </c>
      <c r="C6" s="1414" t="s">
        <v>12</v>
      </c>
      <c r="D6" s="1414"/>
      <c r="E6" s="1414"/>
      <c r="F6" s="1414"/>
      <c r="G6" s="1414"/>
      <c r="H6" s="1414"/>
      <c r="I6" s="1416" t="s">
        <v>365</v>
      </c>
      <c r="J6" s="1416"/>
      <c r="K6" s="1416"/>
      <c r="L6" s="1404">
        <v>46022</v>
      </c>
      <c r="M6" s="1404"/>
      <c r="N6" s="1416" t="s">
        <v>465</v>
      </c>
      <c r="O6" s="1416"/>
      <c r="P6" s="490">
        <v>12</v>
      </c>
    </row>
    <row r="7" spans="1:16" x14ac:dyDescent="0.25">
      <c r="B7" s="311" t="s">
        <v>367</v>
      </c>
      <c r="C7" s="1414" t="s">
        <v>8</v>
      </c>
      <c r="D7" s="1414"/>
      <c r="E7" s="1414"/>
      <c r="F7" s="1414"/>
      <c r="G7" s="1414"/>
      <c r="H7" s="1414"/>
      <c r="I7" s="198"/>
      <c r="J7" s="198"/>
      <c r="K7" s="198"/>
      <c r="L7" s="198"/>
      <c r="M7" s="198"/>
      <c r="N7" s="198"/>
      <c r="O7" s="198"/>
      <c r="P7" s="198"/>
    </row>
    <row r="8" spans="1:16" x14ac:dyDescent="0.25">
      <c r="B8" s="238" t="s">
        <v>466</v>
      </c>
      <c r="C8" s="1415" t="s">
        <v>34</v>
      </c>
      <c r="D8" s="1415"/>
      <c r="E8" s="1415"/>
      <c r="F8" s="1415"/>
      <c r="G8" s="1415"/>
      <c r="H8" s="1415"/>
      <c r="I8" s="1415"/>
      <c r="J8" s="1415"/>
      <c r="K8" s="1415"/>
      <c r="L8" s="1415"/>
      <c r="M8" s="1415"/>
      <c r="N8" s="1415"/>
      <c r="O8" s="1415"/>
      <c r="P8" s="1415"/>
    </row>
    <row r="9" spans="1:16" x14ac:dyDescent="0.25">
      <c r="B9" s="238"/>
      <c r="C9" s="1414">
        <v>555555</v>
      </c>
      <c r="D9" s="1414"/>
      <c r="E9" s="1414"/>
      <c r="F9" s="1414"/>
      <c r="G9" s="1414"/>
      <c r="H9" s="1414"/>
      <c r="I9" s="1414"/>
      <c r="J9" s="1414"/>
      <c r="K9" s="1414"/>
      <c r="L9" s="1414"/>
      <c r="M9" s="1414"/>
      <c r="N9" s="1414"/>
      <c r="O9" s="1414"/>
      <c r="P9" s="1414"/>
    </row>
    <row r="10" spans="1:16" x14ac:dyDescent="0.25">
      <c r="B10" s="238" t="s">
        <v>467</v>
      </c>
      <c r="C10" s="1414" t="s">
        <v>38</v>
      </c>
      <c r="D10" s="1414"/>
      <c r="E10" s="1414"/>
      <c r="F10" s="1414"/>
      <c r="G10" s="1414"/>
      <c r="H10" s="1414"/>
      <c r="I10" s="1414"/>
      <c r="J10" s="1416" t="s">
        <v>468</v>
      </c>
      <c r="K10" s="1416"/>
      <c r="L10" s="1416"/>
      <c r="M10" s="1414" t="s">
        <v>36</v>
      </c>
      <c r="N10" s="1414"/>
      <c r="O10" s="1414"/>
      <c r="P10" s="1414"/>
    </row>
    <row r="11" spans="1:16" x14ac:dyDescent="0.25">
      <c r="B11" s="238" t="s">
        <v>469</v>
      </c>
      <c r="C11" s="1404">
        <v>44713</v>
      </c>
      <c r="D11" s="1404"/>
      <c r="E11" s="1404"/>
      <c r="F11" s="1404"/>
      <c r="G11" s="1404"/>
      <c r="H11" s="1404"/>
      <c r="I11" s="1404"/>
      <c r="J11" s="1405" t="s">
        <v>470</v>
      </c>
      <c r="K11" s="1405"/>
      <c r="L11" s="1405"/>
      <c r="M11" s="1404">
        <v>45991</v>
      </c>
      <c r="N11" s="1404"/>
      <c r="O11" s="1404"/>
      <c r="P11" s="1404"/>
    </row>
    <row r="13" spans="1:16" ht="15.75" x14ac:dyDescent="0.25">
      <c r="A13" s="314"/>
      <c r="B13" s="1406" t="s">
        <v>1311</v>
      </c>
      <c r="C13" s="1406"/>
      <c r="D13" s="1406"/>
      <c r="E13" s="1406"/>
      <c r="F13" s="1406"/>
      <c r="G13" s="1406"/>
      <c r="H13" s="1406"/>
      <c r="I13" s="1406"/>
      <c r="J13" s="1406"/>
      <c r="K13" s="1406"/>
      <c r="L13" s="1406"/>
      <c r="M13" s="1406"/>
      <c r="N13" s="1406"/>
      <c r="O13" s="1406"/>
      <c r="P13" s="1406"/>
    </row>
    <row r="14" spans="1:16" ht="15.75" x14ac:dyDescent="0.25">
      <c r="A14" s="314"/>
      <c r="B14" s="1407" t="s">
        <v>1312</v>
      </c>
      <c r="C14" s="1407"/>
      <c r="D14" s="1407"/>
      <c r="E14" s="1407"/>
      <c r="F14" s="1407"/>
      <c r="G14" s="1407"/>
      <c r="H14" s="1407"/>
      <c r="I14" s="1407"/>
      <c r="J14" s="1407"/>
      <c r="K14" s="1407"/>
      <c r="L14" s="1407"/>
      <c r="M14" s="1407"/>
      <c r="N14" s="1407"/>
      <c r="O14" s="1407"/>
      <c r="P14" s="1407"/>
    </row>
    <row r="15" spans="1:16" ht="7.15" customHeight="1" x14ac:dyDescent="0.25">
      <c r="A15" s="314"/>
      <c r="B15" s="314"/>
      <c r="C15" s="314"/>
      <c r="D15" s="314"/>
      <c r="E15" s="314"/>
      <c r="F15" s="314"/>
      <c r="G15" s="314"/>
      <c r="H15" s="314"/>
      <c r="I15" s="314"/>
      <c r="J15" s="314"/>
      <c r="K15" s="314"/>
      <c r="L15" s="314"/>
      <c r="M15" s="314"/>
      <c r="N15" s="314"/>
      <c r="O15" s="314"/>
      <c r="P15" s="314"/>
    </row>
    <row r="16" spans="1:16" x14ac:dyDescent="0.25">
      <c r="A16" s="314"/>
      <c r="B16" s="314" t="s">
        <v>1313</v>
      </c>
      <c r="C16" s="314"/>
      <c r="D16" s="314"/>
      <c r="E16" s="314"/>
      <c r="F16" s="314"/>
      <c r="G16" s="314"/>
      <c r="H16" s="314"/>
      <c r="I16" s="314"/>
      <c r="J16" s="314"/>
      <c r="K16" s="314"/>
      <c r="L16" s="314"/>
      <c r="M16" s="314"/>
      <c r="N16" s="314"/>
      <c r="O16" s="314"/>
      <c r="P16" s="314"/>
    </row>
    <row r="17" spans="1:16" x14ac:dyDescent="0.25">
      <c r="A17" s="491"/>
      <c r="B17" s="492" t="s">
        <v>1314</v>
      </c>
      <c r="C17" s="493"/>
      <c r="D17" s="494"/>
      <c r="E17" s="495" t="s">
        <v>1315</v>
      </c>
      <c r="F17" s="494"/>
      <c r="G17" s="494"/>
      <c r="H17" s="494"/>
      <c r="I17" s="496"/>
      <c r="J17" s="497" t="s">
        <v>1316</v>
      </c>
      <c r="K17" s="498"/>
      <c r="L17" s="498"/>
      <c r="M17" s="498"/>
      <c r="N17" s="498"/>
      <c r="O17" s="498"/>
      <c r="P17" s="499"/>
    </row>
    <row r="18" spans="1:16" x14ac:dyDescent="0.25">
      <c r="A18" s="491"/>
      <c r="B18" s="500"/>
      <c r="C18" s="1408" t="s">
        <v>1317</v>
      </c>
      <c r="D18" s="1409"/>
      <c r="E18" s="501" t="s">
        <v>1318</v>
      </c>
      <c r="F18" s="502"/>
      <c r="G18" s="1408" t="s">
        <v>1319</v>
      </c>
      <c r="H18" s="1215"/>
      <c r="I18" s="1398" t="s">
        <v>849</v>
      </c>
      <c r="J18" s="1408" t="s">
        <v>1317</v>
      </c>
      <c r="K18" s="1215"/>
      <c r="L18" s="501" t="s">
        <v>1318</v>
      </c>
      <c r="M18" s="503"/>
      <c r="N18" s="1408" t="s">
        <v>1319</v>
      </c>
      <c r="O18" s="1215"/>
      <c r="P18" s="1398" t="s">
        <v>849</v>
      </c>
    </row>
    <row r="19" spans="1:16" x14ac:dyDescent="0.25">
      <c r="A19" s="491"/>
      <c r="B19" s="347"/>
      <c r="C19" s="1410"/>
      <c r="D19" s="1411"/>
      <c r="E19" s="504" t="s">
        <v>1320</v>
      </c>
      <c r="F19" s="505"/>
      <c r="G19" s="1412"/>
      <c r="H19" s="1413"/>
      <c r="I19" s="1194"/>
      <c r="J19" s="1412"/>
      <c r="K19" s="1413"/>
      <c r="L19" s="504" t="s">
        <v>1320</v>
      </c>
      <c r="M19" s="506"/>
      <c r="N19" s="1412"/>
      <c r="O19" s="1413"/>
      <c r="P19" s="1194"/>
    </row>
    <row r="20" spans="1:16" x14ac:dyDescent="0.25">
      <c r="A20" s="491"/>
      <c r="B20" s="507" t="s">
        <v>1321</v>
      </c>
      <c r="C20" s="508" t="s">
        <v>1322</v>
      </c>
      <c r="D20" s="508" t="s">
        <v>1323</v>
      </c>
      <c r="E20" s="508" t="s">
        <v>1322</v>
      </c>
      <c r="F20" s="508" t="s">
        <v>1323</v>
      </c>
      <c r="G20" s="508" t="s">
        <v>1322</v>
      </c>
      <c r="H20" s="508" t="s">
        <v>1323</v>
      </c>
      <c r="I20" s="509"/>
      <c r="J20" s="508" t="s">
        <v>1322</v>
      </c>
      <c r="K20" s="508" t="s">
        <v>1323</v>
      </c>
      <c r="L20" s="508" t="s">
        <v>1322</v>
      </c>
      <c r="M20" s="508" t="s">
        <v>1323</v>
      </c>
      <c r="N20" s="508" t="s">
        <v>1322</v>
      </c>
      <c r="O20" s="508" t="s">
        <v>1323</v>
      </c>
      <c r="P20" s="394"/>
    </row>
    <row r="21" spans="1:16" x14ac:dyDescent="0.25">
      <c r="A21" s="510" t="s">
        <v>1324</v>
      </c>
      <c r="B21" s="511" t="s">
        <v>1325</v>
      </c>
      <c r="C21" s="352"/>
      <c r="D21" s="352"/>
      <c r="E21" s="352"/>
      <c r="F21" s="352"/>
      <c r="G21" s="352"/>
      <c r="H21" s="352"/>
      <c r="I21" s="512">
        <v>0</v>
      </c>
      <c r="J21" s="352"/>
      <c r="K21" s="352"/>
      <c r="L21" s="352"/>
      <c r="M21" s="352"/>
      <c r="N21" s="352"/>
      <c r="O21" s="352"/>
      <c r="P21" s="512">
        <v>0</v>
      </c>
    </row>
    <row r="22" spans="1:16" x14ac:dyDescent="0.25">
      <c r="A22" s="510" t="s">
        <v>1326</v>
      </c>
      <c r="B22" s="511" t="s">
        <v>1327</v>
      </c>
      <c r="C22" s="352"/>
      <c r="D22" s="352"/>
      <c r="E22" s="352"/>
      <c r="F22" s="352"/>
      <c r="G22" s="352"/>
      <c r="H22" s="352"/>
      <c r="I22" s="512"/>
      <c r="J22" s="352"/>
      <c r="K22" s="352"/>
      <c r="L22" s="352"/>
      <c r="M22" s="352"/>
      <c r="N22" s="352"/>
      <c r="O22" s="352"/>
      <c r="P22" s="512"/>
    </row>
    <row r="23" spans="1:16" ht="22.5" x14ac:dyDescent="0.25">
      <c r="A23" s="510" t="s">
        <v>1328</v>
      </c>
      <c r="B23" s="511" t="s">
        <v>1329</v>
      </c>
      <c r="C23" s="352"/>
      <c r="D23" s="352"/>
      <c r="E23" s="352"/>
      <c r="F23" s="352"/>
      <c r="G23" s="352"/>
      <c r="H23" s="352"/>
      <c r="I23" s="512"/>
      <c r="J23" s="352"/>
      <c r="K23" s="352"/>
      <c r="L23" s="352"/>
      <c r="M23" s="352"/>
      <c r="N23" s="352"/>
      <c r="O23" s="352"/>
      <c r="P23" s="512"/>
    </row>
    <row r="24" spans="1:16" ht="22.5" x14ac:dyDescent="0.25">
      <c r="A24" s="510" t="s">
        <v>1330</v>
      </c>
      <c r="B24" s="511" t="s">
        <v>1331</v>
      </c>
      <c r="C24" s="352"/>
      <c r="D24" s="352"/>
      <c r="E24" s="352"/>
      <c r="F24" s="352"/>
      <c r="G24" s="352"/>
      <c r="H24" s="352"/>
      <c r="I24" s="512"/>
      <c r="J24" s="352"/>
      <c r="K24" s="352"/>
      <c r="L24" s="352"/>
      <c r="M24" s="352"/>
      <c r="N24" s="352"/>
      <c r="O24" s="352"/>
      <c r="P24" s="512"/>
    </row>
    <row r="25" spans="1:16" x14ac:dyDescent="0.25">
      <c r="A25" s="510" t="s">
        <v>1332</v>
      </c>
      <c r="B25" s="513" t="s">
        <v>824</v>
      </c>
      <c r="C25" s="514">
        <v>0</v>
      </c>
      <c r="D25" s="514">
        <v>0</v>
      </c>
      <c r="E25" s="514">
        <v>0</v>
      </c>
      <c r="F25" s="514">
        <v>0</v>
      </c>
      <c r="G25" s="514">
        <v>0</v>
      </c>
      <c r="H25" s="514">
        <v>0</v>
      </c>
      <c r="I25" s="515">
        <v>0</v>
      </c>
      <c r="J25" s="514">
        <v>0</v>
      </c>
      <c r="K25" s="514">
        <v>0</v>
      </c>
      <c r="L25" s="514">
        <v>0</v>
      </c>
      <c r="M25" s="514">
        <v>0</v>
      </c>
      <c r="N25" s="514">
        <v>0</v>
      </c>
      <c r="O25" s="514">
        <v>0</v>
      </c>
      <c r="P25" s="515">
        <v>0</v>
      </c>
    </row>
    <row r="26" spans="1:16" x14ac:dyDescent="0.25">
      <c r="A26" s="510" t="s">
        <v>1333</v>
      </c>
      <c r="B26" s="516" t="s">
        <v>1334</v>
      </c>
      <c r="C26" s="352"/>
      <c r="D26" s="352"/>
      <c r="E26" s="352"/>
      <c r="F26" s="352"/>
      <c r="G26" s="352"/>
      <c r="H26" s="352"/>
      <c r="I26" s="512">
        <v>0</v>
      </c>
      <c r="J26" s="352"/>
      <c r="K26" s="352"/>
      <c r="L26" s="352"/>
      <c r="M26" s="352"/>
      <c r="N26" s="352"/>
      <c r="O26" s="352"/>
      <c r="P26" s="512">
        <v>0</v>
      </c>
    </row>
    <row r="27" spans="1:16" x14ac:dyDescent="0.25">
      <c r="A27" s="510" t="s">
        <v>1335</v>
      </c>
      <c r="B27" s="516" t="s">
        <v>1336</v>
      </c>
      <c r="C27" s="352"/>
      <c r="D27" s="352"/>
      <c r="E27" s="352"/>
      <c r="F27" s="352"/>
      <c r="G27" s="352"/>
      <c r="H27" s="352"/>
      <c r="I27" s="512">
        <v>0</v>
      </c>
      <c r="J27" s="352"/>
      <c r="K27" s="352"/>
      <c r="L27" s="352"/>
      <c r="M27" s="352"/>
      <c r="N27" s="352"/>
      <c r="O27" s="352"/>
      <c r="P27" s="512">
        <v>0</v>
      </c>
    </row>
    <row r="28" spans="1:16" ht="7.9" customHeight="1" x14ac:dyDescent="0.25">
      <c r="A28" s="314"/>
      <c r="B28" s="517"/>
      <c r="C28" s="314"/>
      <c r="D28" s="314"/>
      <c r="E28" s="314"/>
      <c r="F28" s="314"/>
      <c r="G28" s="314"/>
      <c r="H28" s="314"/>
      <c r="I28" s="314"/>
      <c r="J28" s="314"/>
      <c r="K28" s="314"/>
      <c r="L28" s="314"/>
      <c r="M28" s="314"/>
      <c r="N28" s="314"/>
      <c r="O28" s="314"/>
      <c r="P28" s="314"/>
    </row>
    <row r="29" spans="1:16" x14ac:dyDescent="0.25">
      <c r="A29" s="314"/>
      <c r="B29" s="517"/>
      <c r="C29" s="314"/>
      <c r="D29" s="314"/>
      <c r="E29" s="314"/>
      <c r="F29" s="314"/>
      <c r="G29" s="314"/>
      <c r="H29" s="314"/>
      <c r="I29" s="491"/>
      <c r="J29" s="1399" t="s">
        <v>1337</v>
      </c>
      <c r="K29" s="1400"/>
      <c r="L29" s="314"/>
      <c r="M29" s="314"/>
      <c r="N29" s="314"/>
      <c r="O29" s="314"/>
      <c r="P29" s="518"/>
    </row>
    <row r="30" spans="1:16" x14ac:dyDescent="0.25">
      <c r="A30" s="314"/>
      <c r="B30" s="519" t="s">
        <v>1338</v>
      </c>
      <c r="C30" s="314"/>
      <c r="D30" s="314"/>
      <c r="E30" s="314"/>
      <c r="F30" s="314"/>
      <c r="G30" s="314"/>
      <c r="H30" s="314"/>
      <c r="I30" s="491"/>
      <c r="J30" s="1401" t="s">
        <v>1339</v>
      </c>
      <c r="K30" s="1402"/>
      <c r="L30" s="314"/>
      <c r="M30" s="314"/>
      <c r="N30" s="314"/>
      <c r="O30" s="314"/>
      <c r="P30" s="518"/>
    </row>
    <row r="31" spans="1:16" x14ac:dyDescent="0.25">
      <c r="A31" s="510" t="s">
        <v>1340</v>
      </c>
      <c r="B31" s="520" t="s">
        <v>1325</v>
      </c>
      <c r="C31" s="521"/>
      <c r="D31" s="521"/>
      <c r="E31" s="521"/>
      <c r="F31" s="521"/>
      <c r="G31" s="521"/>
      <c r="H31" s="521"/>
      <c r="I31" s="515">
        <v>0</v>
      </c>
      <c r="J31" s="521"/>
      <c r="K31" s="522"/>
      <c r="L31" s="523" t="s">
        <v>1341</v>
      </c>
      <c r="M31" s="523"/>
      <c r="N31" s="523"/>
      <c r="O31" s="524"/>
      <c r="P31" s="525"/>
    </row>
    <row r="32" spans="1:16" x14ac:dyDescent="0.25">
      <c r="A32" s="510" t="s">
        <v>1342</v>
      </c>
      <c r="B32" s="511" t="s">
        <v>1327</v>
      </c>
      <c r="C32" s="352"/>
      <c r="D32" s="352"/>
      <c r="E32" s="352"/>
      <c r="F32" s="352"/>
      <c r="G32" s="352"/>
      <c r="H32" s="352"/>
      <c r="I32" s="512"/>
      <c r="J32" s="352"/>
      <c r="K32" s="350"/>
      <c r="L32" s="1403"/>
      <c r="M32" s="1403"/>
      <c r="N32" s="1403"/>
      <c r="O32" s="1403"/>
      <c r="P32" s="1403"/>
    </row>
    <row r="33" spans="1:16" ht="22.5" x14ac:dyDescent="0.25">
      <c r="A33" s="510" t="s">
        <v>1343</v>
      </c>
      <c r="B33" s="511" t="s">
        <v>1329</v>
      </c>
      <c r="C33" s="352"/>
      <c r="D33" s="352"/>
      <c r="E33" s="352"/>
      <c r="F33" s="352"/>
      <c r="G33" s="352"/>
      <c r="H33" s="352"/>
      <c r="I33" s="512"/>
      <c r="J33" s="352"/>
      <c r="K33" s="350"/>
      <c r="L33" s="1403"/>
      <c r="M33" s="1403"/>
      <c r="N33" s="1403"/>
      <c r="O33" s="1403"/>
      <c r="P33" s="1403"/>
    </row>
    <row r="34" spans="1:16" ht="22.5" x14ac:dyDescent="0.25">
      <c r="A34" s="510" t="s">
        <v>1344</v>
      </c>
      <c r="B34" s="511" t="s">
        <v>1331</v>
      </c>
      <c r="C34" s="526"/>
      <c r="D34" s="526"/>
      <c r="E34" s="526"/>
      <c r="F34" s="526"/>
      <c r="G34" s="526"/>
      <c r="H34" s="526"/>
      <c r="I34" s="527"/>
      <c r="J34" s="528"/>
      <c r="K34" s="529"/>
      <c r="L34" s="1403"/>
      <c r="M34" s="1403"/>
      <c r="N34" s="1403"/>
      <c r="O34" s="1403"/>
      <c r="P34" s="1403"/>
    </row>
    <row r="35" spans="1:16" x14ac:dyDescent="0.25">
      <c r="A35" s="510" t="s">
        <v>1345</v>
      </c>
      <c r="B35" s="513" t="s">
        <v>830</v>
      </c>
      <c r="C35" s="514">
        <v>0</v>
      </c>
      <c r="D35" s="514">
        <v>0</v>
      </c>
      <c r="E35" s="514">
        <v>0</v>
      </c>
      <c r="F35" s="514">
        <v>0</v>
      </c>
      <c r="G35" s="514">
        <v>0</v>
      </c>
      <c r="H35" s="514">
        <v>0</v>
      </c>
      <c r="I35" s="515">
        <v>0</v>
      </c>
      <c r="J35" s="514">
        <v>0</v>
      </c>
      <c r="K35" s="515">
        <v>0</v>
      </c>
      <c r="L35" s="1403"/>
      <c r="M35" s="1403"/>
      <c r="N35" s="1403"/>
      <c r="O35" s="1403"/>
      <c r="P35" s="1403"/>
    </row>
    <row r="36" spans="1:16" x14ac:dyDescent="0.25">
      <c r="A36" s="510" t="s">
        <v>1346</v>
      </c>
      <c r="B36" s="513" t="s">
        <v>1334</v>
      </c>
      <c r="C36" s="352"/>
      <c r="D36" s="352"/>
      <c r="E36" s="352"/>
      <c r="F36" s="352"/>
      <c r="G36" s="352"/>
      <c r="H36" s="352"/>
      <c r="I36" s="512">
        <v>0</v>
      </c>
      <c r="J36" s="352"/>
      <c r="K36" s="350"/>
      <c r="L36" s="1403"/>
      <c r="M36" s="1403"/>
      <c r="N36" s="1403"/>
      <c r="O36" s="1403"/>
      <c r="P36" s="1403"/>
    </row>
    <row r="37" spans="1:16" x14ac:dyDescent="0.25">
      <c r="A37" s="510" t="s">
        <v>1347</v>
      </c>
      <c r="B37" s="513" t="s">
        <v>1336</v>
      </c>
      <c r="C37" s="352"/>
      <c r="D37" s="352"/>
      <c r="E37" s="352"/>
      <c r="F37" s="352"/>
      <c r="G37" s="352"/>
      <c r="H37" s="352"/>
      <c r="I37" s="512">
        <v>0</v>
      </c>
      <c r="J37" s="352"/>
      <c r="K37" s="350"/>
      <c r="L37" s="530" t="s">
        <v>1348</v>
      </c>
      <c r="M37" s="531"/>
      <c r="N37" s="531"/>
      <c r="O37" s="531"/>
      <c r="P37" s="531"/>
    </row>
    <row r="38" spans="1:16" x14ac:dyDescent="0.25">
      <c r="A38" s="510" t="s">
        <v>1349</v>
      </c>
      <c r="B38" s="532" t="s">
        <v>1350</v>
      </c>
      <c r="C38" s="533">
        <v>0</v>
      </c>
      <c r="D38" s="533">
        <v>0</v>
      </c>
      <c r="E38" s="533">
        <v>0</v>
      </c>
      <c r="F38" s="533">
        <v>0</v>
      </c>
      <c r="G38" s="533">
        <v>0</v>
      </c>
      <c r="H38" s="533">
        <v>0</v>
      </c>
      <c r="I38" s="533">
        <v>0</v>
      </c>
      <c r="J38" s="534"/>
      <c r="K38" s="535"/>
      <c r="L38" s="530" t="s">
        <v>1351</v>
      </c>
      <c r="M38" s="531"/>
      <c r="N38" s="531"/>
      <c r="O38" s="531"/>
      <c r="P38" s="531"/>
    </row>
  </sheetData>
  <mergeCells count="28">
    <mergeCell ref="C2:P2"/>
    <mergeCell ref="C3:P3"/>
    <mergeCell ref="C4:P4"/>
    <mergeCell ref="C5:P5"/>
    <mergeCell ref="C6:H6"/>
    <mergeCell ref="I6:K6"/>
    <mergeCell ref="L6:M6"/>
    <mergeCell ref="N6:O6"/>
    <mergeCell ref="C7:H7"/>
    <mergeCell ref="C8:P8"/>
    <mergeCell ref="C9:P9"/>
    <mergeCell ref="C10:I10"/>
    <mergeCell ref="J10:L10"/>
    <mergeCell ref="M10:P10"/>
    <mergeCell ref="P18:P19"/>
    <mergeCell ref="J29:K29"/>
    <mergeCell ref="J30:K30"/>
    <mergeCell ref="L32:P36"/>
    <mergeCell ref="C11:I11"/>
    <mergeCell ref="J11:L11"/>
    <mergeCell ref="M11:P11"/>
    <mergeCell ref="B13:P13"/>
    <mergeCell ref="B14:P14"/>
    <mergeCell ref="C18:D19"/>
    <mergeCell ref="G18:H19"/>
    <mergeCell ref="I18:I19"/>
    <mergeCell ref="J18:K19"/>
    <mergeCell ref="N18:O19"/>
  </mergeCells>
  <pageMargins left="0.7" right="0.7" top="0.75" bottom="0.75" header="0.3" footer="0.3"/>
  <drawing r:id="rId1"/>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513C0E-6A42-43F9-9A55-292B83215A07}">
  <dimension ref="A2:I49"/>
  <sheetViews>
    <sheetView workbookViewId="0">
      <selection sqref="A1:XFD1048576"/>
    </sheetView>
  </sheetViews>
  <sheetFormatPr baseColWidth="10" defaultRowHeight="15" x14ac:dyDescent="0.25"/>
  <cols>
    <col min="1" max="1" width="48" customWidth="1"/>
    <col min="2" max="2" width="16.7109375" customWidth="1"/>
    <col min="3" max="3" width="16.28515625" customWidth="1"/>
    <col min="4" max="4" width="18.7109375" customWidth="1"/>
    <col min="5" max="5" width="18.28515625" customWidth="1"/>
    <col min="6" max="6" width="15.42578125" customWidth="1"/>
    <col min="7" max="9" width="17.5703125" customWidth="1"/>
  </cols>
  <sheetData>
    <row r="2" spans="1:9" x14ac:dyDescent="0.25">
      <c r="A2" s="237" t="s">
        <v>464</v>
      </c>
      <c r="B2" s="958" t="s">
        <v>2</v>
      </c>
      <c r="C2" s="958"/>
      <c r="D2" s="958"/>
      <c r="E2" s="958"/>
      <c r="F2" s="958"/>
      <c r="G2" s="958"/>
      <c r="H2" s="958"/>
      <c r="I2" s="958"/>
    </row>
    <row r="3" spans="1:9" x14ac:dyDescent="0.25">
      <c r="A3" s="237"/>
      <c r="B3" s="957" t="s">
        <v>4</v>
      </c>
      <c r="C3" s="957"/>
      <c r="D3" s="957"/>
      <c r="E3" s="957"/>
      <c r="F3" s="957"/>
      <c r="G3" s="957"/>
      <c r="H3" s="957"/>
      <c r="I3" s="957"/>
    </row>
    <row r="4" spans="1:9" x14ac:dyDescent="0.25">
      <c r="A4" s="237" t="s">
        <v>362</v>
      </c>
      <c r="B4" s="957" t="s">
        <v>6</v>
      </c>
      <c r="C4" s="957"/>
      <c r="D4" s="957"/>
      <c r="E4" s="957"/>
      <c r="F4" s="957"/>
      <c r="G4" s="957"/>
      <c r="H4" s="957"/>
      <c r="I4" s="957"/>
    </row>
    <row r="5" spans="1:9" x14ac:dyDescent="0.25">
      <c r="A5" s="237" t="s">
        <v>363</v>
      </c>
      <c r="B5" s="957">
        <v>4431</v>
      </c>
      <c r="C5" s="957"/>
      <c r="D5" s="957"/>
      <c r="E5" s="957"/>
      <c r="F5" s="957"/>
      <c r="G5" s="957"/>
      <c r="H5" s="957"/>
      <c r="I5" s="957"/>
    </row>
    <row r="6" spans="1:9" x14ac:dyDescent="0.25">
      <c r="A6" s="237" t="s">
        <v>364</v>
      </c>
      <c r="B6" s="957" t="s">
        <v>12</v>
      </c>
      <c r="C6" s="957"/>
      <c r="D6" s="959" t="s">
        <v>365</v>
      </c>
      <c r="E6" s="959"/>
      <c r="F6" s="309">
        <v>46022</v>
      </c>
      <c r="G6" s="46" t="s">
        <v>465</v>
      </c>
      <c r="H6" s="1141">
        <v>12</v>
      </c>
      <c r="I6" s="1141"/>
    </row>
    <row r="7" spans="1:9" x14ac:dyDescent="0.25">
      <c r="A7" s="311" t="s">
        <v>367</v>
      </c>
      <c r="B7" s="958" t="s">
        <v>8</v>
      </c>
      <c r="C7" s="958"/>
      <c r="D7" s="958"/>
      <c r="E7" s="199"/>
      <c r="F7" s="199"/>
      <c r="G7" s="199"/>
      <c r="H7" s="199"/>
      <c r="I7" s="196"/>
    </row>
    <row r="8" spans="1:9" x14ac:dyDescent="0.25">
      <c r="A8" s="238" t="s">
        <v>466</v>
      </c>
      <c r="B8" s="958" t="s">
        <v>34</v>
      </c>
      <c r="C8" s="958"/>
      <c r="D8" s="958"/>
      <c r="E8" s="958"/>
      <c r="F8" s="958"/>
      <c r="G8" s="958"/>
      <c r="H8" s="958"/>
      <c r="I8" s="958"/>
    </row>
    <row r="9" spans="1:9" x14ac:dyDescent="0.25">
      <c r="A9" s="238"/>
      <c r="B9" s="957">
        <v>555555</v>
      </c>
      <c r="C9" s="957"/>
      <c r="D9" s="957"/>
      <c r="E9" s="957"/>
      <c r="F9" s="957"/>
      <c r="G9" s="957"/>
      <c r="H9" s="957"/>
      <c r="I9" s="957"/>
    </row>
    <row r="10" spans="1:9" x14ac:dyDescent="0.25">
      <c r="A10" s="238" t="s">
        <v>467</v>
      </c>
      <c r="B10" s="957" t="s">
        <v>38</v>
      </c>
      <c r="C10" s="957"/>
      <c r="D10" s="957"/>
      <c r="E10" s="959" t="s">
        <v>468</v>
      </c>
      <c r="F10" s="959"/>
      <c r="G10" s="957" t="s">
        <v>36</v>
      </c>
      <c r="H10" s="957"/>
      <c r="I10" s="957"/>
    </row>
    <row r="11" spans="1:9" x14ac:dyDescent="0.25">
      <c r="A11" s="238" t="s">
        <v>469</v>
      </c>
      <c r="B11" s="954">
        <v>44713</v>
      </c>
      <c r="C11" s="954"/>
      <c r="D11" s="954"/>
      <c r="E11" s="975" t="s">
        <v>470</v>
      </c>
      <c r="F11" s="975"/>
      <c r="G11" s="954">
        <v>45991</v>
      </c>
      <c r="H11" s="954"/>
      <c r="I11" s="954"/>
    </row>
    <row r="12" spans="1:9" ht="6.6" customHeight="1" x14ac:dyDescent="0.25"/>
    <row r="13" spans="1:9" x14ac:dyDescent="0.25">
      <c r="A13" s="1161" t="s">
        <v>1352</v>
      </c>
      <c r="B13" s="1161"/>
      <c r="C13" s="1161"/>
      <c r="D13" s="1161"/>
      <c r="E13" s="1161"/>
      <c r="F13" s="1161"/>
      <c r="G13" s="1161"/>
      <c r="H13" s="1161"/>
      <c r="I13" s="1161"/>
    </row>
    <row r="14" spans="1:9" ht="14.45" customHeight="1" x14ac:dyDescent="0.25">
      <c r="A14" s="1161" t="s">
        <v>1353</v>
      </c>
      <c r="B14" s="1161"/>
      <c r="C14" s="1161"/>
      <c r="D14" s="1161"/>
      <c r="E14" s="1161"/>
      <c r="F14" s="1161"/>
      <c r="G14" s="1161"/>
      <c r="H14" s="1161"/>
      <c r="I14" s="1161"/>
    </row>
    <row r="15" spans="1:9" ht="6.6" customHeight="1" x14ac:dyDescent="0.25">
      <c r="A15" s="399"/>
      <c r="B15" s="399"/>
      <c r="C15" s="399"/>
      <c r="D15" s="399"/>
      <c r="E15" s="399"/>
      <c r="F15" s="399"/>
      <c r="G15" s="399"/>
      <c r="H15" s="399"/>
      <c r="I15" s="399"/>
    </row>
    <row r="16" spans="1:9" x14ac:dyDescent="0.25">
      <c r="A16" s="1432" t="s">
        <v>1354</v>
      </c>
      <c r="B16" s="536" t="s">
        <v>665</v>
      </c>
      <c r="C16" s="537" t="s">
        <v>53</v>
      </c>
      <c r="D16" s="538"/>
      <c r="E16" s="539"/>
      <c r="F16" s="537" t="s">
        <v>695</v>
      </c>
      <c r="G16" s="538"/>
      <c r="H16" s="540"/>
      <c r="I16" s="536" t="s">
        <v>894</v>
      </c>
    </row>
    <row r="17" spans="1:9" x14ac:dyDescent="0.25">
      <c r="A17" s="1433"/>
      <c r="B17" s="1417" t="s">
        <v>1355</v>
      </c>
      <c r="C17" s="541" t="s">
        <v>1356</v>
      </c>
      <c r="D17" s="542"/>
      <c r="E17" s="543"/>
      <c r="F17" s="541" t="s">
        <v>1357</v>
      </c>
      <c r="G17" s="542"/>
      <c r="H17" s="542"/>
      <c r="I17" s="544" t="s">
        <v>1358</v>
      </c>
    </row>
    <row r="18" spans="1:9" ht="8.4499999999999993" customHeight="1" x14ac:dyDescent="0.25">
      <c r="A18" s="1433"/>
      <c r="B18" s="1418"/>
      <c r="C18" s="1417" t="s">
        <v>1359</v>
      </c>
      <c r="D18" s="1420" t="s">
        <v>1360</v>
      </c>
      <c r="E18" s="1417" t="s">
        <v>1361</v>
      </c>
      <c r="F18" s="1417" t="s">
        <v>1359</v>
      </c>
      <c r="G18" s="1420" t="s">
        <v>1360</v>
      </c>
      <c r="H18" s="1417" t="s">
        <v>1361</v>
      </c>
      <c r="I18" s="1417" t="s">
        <v>1362</v>
      </c>
    </row>
    <row r="19" spans="1:9" ht="9.6" customHeight="1" x14ac:dyDescent="0.25">
      <c r="A19" s="1433"/>
      <c r="B19" s="1418"/>
      <c r="C19" s="1418"/>
      <c r="D19" s="1421"/>
      <c r="E19" s="1418"/>
      <c r="F19" s="1418"/>
      <c r="G19" s="1421"/>
      <c r="H19" s="1418"/>
      <c r="I19" s="1418"/>
    </row>
    <row r="20" spans="1:9" ht="7.9" customHeight="1" x14ac:dyDescent="0.25">
      <c r="A20" s="1433"/>
      <c r="B20" s="1418"/>
      <c r="C20" s="1418"/>
      <c r="D20" s="1421"/>
      <c r="E20" s="1418"/>
      <c r="F20" s="1418"/>
      <c r="G20" s="1421"/>
      <c r="H20" s="1418"/>
      <c r="I20" s="1418"/>
    </row>
    <row r="21" spans="1:9" ht="3" customHeight="1" x14ac:dyDescent="0.25">
      <c r="A21" s="1434"/>
      <c r="B21" s="1419"/>
      <c r="C21" s="1419"/>
      <c r="D21" s="1422"/>
      <c r="E21" s="1419"/>
      <c r="F21" s="1419"/>
      <c r="G21" s="1422"/>
      <c r="H21" s="1419"/>
      <c r="I21" s="1419"/>
    </row>
    <row r="22" spans="1:9" x14ac:dyDescent="0.25">
      <c r="A22" s="398" t="s">
        <v>1363</v>
      </c>
      <c r="B22" s="545">
        <v>0</v>
      </c>
      <c r="C22" s="352"/>
      <c r="D22" s="350"/>
      <c r="E22" s="546"/>
      <c r="F22" s="352"/>
      <c r="G22" s="350"/>
      <c r="H22" s="547"/>
      <c r="I22" s="545">
        <v>0</v>
      </c>
    </row>
    <row r="23" spans="1:9" x14ac:dyDescent="0.25">
      <c r="A23" s="398" t="s">
        <v>552</v>
      </c>
      <c r="B23" s="545">
        <v>0</v>
      </c>
      <c r="C23" s="352"/>
      <c r="D23" s="350"/>
      <c r="E23" s="546"/>
      <c r="F23" s="352"/>
      <c r="G23" s="350"/>
      <c r="H23" s="353"/>
      <c r="I23" s="545">
        <v>0</v>
      </c>
    </row>
    <row r="24" spans="1:9" x14ac:dyDescent="0.25">
      <c r="A24" s="398" t="s">
        <v>1364</v>
      </c>
      <c r="B24" s="545">
        <v>0</v>
      </c>
      <c r="C24" s="352"/>
      <c r="D24" s="350"/>
      <c r="E24" s="546"/>
      <c r="F24" s="352"/>
      <c r="G24" s="350"/>
      <c r="H24" s="353"/>
      <c r="I24" s="545">
        <v>0</v>
      </c>
    </row>
    <row r="25" spans="1:9" ht="25.5" x14ac:dyDescent="0.25">
      <c r="A25" s="548" t="s">
        <v>1365</v>
      </c>
      <c r="B25" s="545">
        <v>0</v>
      </c>
      <c r="C25" s="352"/>
      <c r="D25" s="350"/>
      <c r="E25" s="546"/>
      <c r="F25" s="352"/>
      <c r="G25" s="350"/>
      <c r="H25" s="353"/>
      <c r="I25" s="545">
        <v>0</v>
      </c>
    </row>
    <row r="26" spans="1:9" x14ac:dyDescent="0.25">
      <c r="A26" s="398" t="s">
        <v>1366</v>
      </c>
      <c r="B26" s="545">
        <v>0</v>
      </c>
      <c r="C26" s="352"/>
      <c r="D26" s="350"/>
      <c r="E26" s="546"/>
      <c r="F26" s="352"/>
      <c r="G26" s="350"/>
      <c r="H26" s="353"/>
      <c r="I26" s="545">
        <v>0</v>
      </c>
    </row>
    <row r="27" spans="1:9" x14ac:dyDescent="0.25">
      <c r="A27" s="549" t="s">
        <v>1367</v>
      </c>
      <c r="B27" s="550">
        <v>0</v>
      </c>
      <c r="C27" s="550">
        <v>0</v>
      </c>
      <c r="D27" s="550">
        <v>0</v>
      </c>
      <c r="E27" s="550">
        <v>0</v>
      </c>
      <c r="F27" s="550">
        <v>0</v>
      </c>
      <c r="G27" s="550">
        <v>0</v>
      </c>
      <c r="H27" s="550">
        <v>0</v>
      </c>
      <c r="I27" s="550">
        <v>0</v>
      </c>
    </row>
    <row r="28" spans="1:9" x14ac:dyDescent="0.25">
      <c r="A28" s="347" t="s">
        <v>1368</v>
      </c>
      <c r="B28" s="545">
        <v>0</v>
      </c>
      <c r="C28" s="352"/>
      <c r="D28" s="350"/>
      <c r="E28" s="546"/>
      <c r="F28" s="352"/>
      <c r="G28" s="350"/>
      <c r="H28" s="551"/>
      <c r="I28" s="545">
        <v>0</v>
      </c>
    </row>
    <row r="29" spans="1:9" x14ac:dyDescent="0.25">
      <c r="A29" s="347" t="s">
        <v>1369</v>
      </c>
      <c r="B29" s="545">
        <v>0</v>
      </c>
      <c r="C29" s="552"/>
      <c r="D29" s="553"/>
      <c r="E29" s="554"/>
      <c r="F29" s="552"/>
      <c r="G29" s="553"/>
      <c r="H29" s="555"/>
      <c r="I29" s="545">
        <v>0</v>
      </c>
    </row>
    <row r="30" spans="1:9" x14ac:dyDescent="0.25">
      <c r="A30" s="347" t="s">
        <v>1370</v>
      </c>
      <c r="B30" s="545">
        <v>0</v>
      </c>
      <c r="C30" s="552"/>
      <c r="D30" s="553"/>
      <c r="E30" s="554"/>
      <c r="F30" s="552"/>
      <c r="G30" s="553"/>
      <c r="H30" s="555"/>
      <c r="I30" s="545">
        <v>0</v>
      </c>
    </row>
    <row r="31" spans="1:9" x14ac:dyDescent="0.25">
      <c r="A31" s="347" t="s">
        <v>1371</v>
      </c>
      <c r="B31" s="545">
        <v>0</v>
      </c>
      <c r="C31" s="552"/>
      <c r="D31" s="553"/>
      <c r="E31" s="554"/>
      <c r="F31" s="552"/>
      <c r="G31" s="553"/>
      <c r="H31" s="555"/>
      <c r="I31" s="545">
        <v>0</v>
      </c>
    </row>
    <row r="32" spans="1:9" x14ac:dyDescent="0.25">
      <c r="A32" s="347" t="s">
        <v>1372</v>
      </c>
      <c r="B32" s="545">
        <v>0</v>
      </c>
      <c r="C32" s="552"/>
      <c r="D32" s="553"/>
      <c r="E32" s="554"/>
      <c r="F32" s="552"/>
      <c r="G32" s="553"/>
      <c r="H32" s="555"/>
      <c r="I32" s="545">
        <v>0</v>
      </c>
    </row>
    <row r="33" spans="1:9" x14ac:dyDescent="0.25">
      <c r="A33" s="347" t="s">
        <v>1063</v>
      </c>
      <c r="B33" s="545">
        <v>0</v>
      </c>
      <c r="C33" s="552"/>
      <c r="D33" s="553"/>
      <c r="E33" s="554"/>
      <c r="F33" s="552"/>
      <c r="G33" s="553"/>
      <c r="H33" s="555"/>
      <c r="I33" s="545">
        <v>0</v>
      </c>
    </row>
    <row r="34" spans="1:9" x14ac:dyDescent="0.25">
      <c r="A34" s="347" t="s">
        <v>1373</v>
      </c>
      <c r="B34" s="545">
        <v>0</v>
      </c>
      <c r="C34" s="552"/>
      <c r="D34" s="553"/>
      <c r="E34" s="554"/>
      <c r="F34" s="552"/>
      <c r="G34" s="553"/>
      <c r="H34" s="555"/>
      <c r="I34" s="545">
        <v>0</v>
      </c>
    </row>
    <row r="35" spans="1:9" x14ac:dyDescent="0.25">
      <c r="A35" s="347" t="s">
        <v>1374</v>
      </c>
      <c r="B35" s="545">
        <v>0</v>
      </c>
      <c r="C35" s="552"/>
      <c r="D35" s="553"/>
      <c r="E35" s="554"/>
      <c r="F35" s="552"/>
      <c r="G35" s="553"/>
      <c r="H35" s="555"/>
      <c r="I35" s="545">
        <v>0</v>
      </c>
    </row>
    <row r="36" spans="1:9" ht="26.25" x14ac:dyDescent="0.25">
      <c r="A36" s="556" t="s">
        <v>1375</v>
      </c>
      <c r="B36" s="557">
        <v>0</v>
      </c>
      <c r="C36" s="552"/>
      <c r="D36" s="553"/>
      <c r="E36" s="553"/>
      <c r="F36" s="552"/>
      <c r="G36" s="553"/>
      <c r="H36" s="555"/>
      <c r="I36" s="545">
        <v>0</v>
      </c>
    </row>
    <row r="37" spans="1:9" ht="25.5" x14ac:dyDescent="0.25">
      <c r="A37" s="558" t="s">
        <v>1376</v>
      </c>
      <c r="B37" s="559">
        <v>0</v>
      </c>
      <c r="C37" s="552"/>
      <c r="D37" s="553"/>
      <c r="E37" s="554"/>
      <c r="F37" s="552"/>
      <c r="G37" s="553"/>
      <c r="H37" s="560"/>
      <c r="I37" s="545">
        <v>0</v>
      </c>
    </row>
    <row r="38" spans="1:9" x14ac:dyDescent="0.25">
      <c r="A38" s="561" t="s">
        <v>1377</v>
      </c>
      <c r="B38" s="545">
        <v>0</v>
      </c>
      <c r="C38" s="552"/>
      <c r="D38" s="553"/>
      <c r="E38" s="554"/>
      <c r="F38" s="552"/>
      <c r="G38" s="553"/>
      <c r="H38" s="560"/>
      <c r="I38" s="545">
        <v>0</v>
      </c>
    </row>
    <row r="39" spans="1:9" x14ac:dyDescent="0.25">
      <c r="A39" s="561" t="s">
        <v>1378</v>
      </c>
      <c r="B39" s="342">
        <v>0</v>
      </c>
      <c r="C39" s="552"/>
      <c r="D39" s="553"/>
      <c r="E39" s="554"/>
      <c r="F39" s="552"/>
      <c r="G39" s="553"/>
      <c r="H39" s="560"/>
      <c r="I39" s="545">
        <v>0</v>
      </c>
    </row>
    <row r="40" spans="1:9" ht="25.5" x14ac:dyDescent="0.25">
      <c r="A40" s="561" t="s">
        <v>1379</v>
      </c>
      <c r="B40" s="545">
        <v>0</v>
      </c>
      <c r="C40" s="562"/>
      <c r="D40" s="563"/>
      <c r="E40" s="564"/>
      <c r="F40" s="562"/>
      <c r="G40" s="563"/>
      <c r="H40" s="565"/>
      <c r="I40" s="545">
        <v>0</v>
      </c>
    </row>
    <row r="41" spans="1:9" ht="25.5" x14ac:dyDescent="0.25">
      <c r="A41" s="566" t="s">
        <v>1380</v>
      </c>
      <c r="B41" s="550">
        <v>0</v>
      </c>
      <c r="C41" s="377">
        <v>0</v>
      </c>
      <c r="D41" s="377">
        <v>0</v>
      </c>
      <c r="E41" s="377">
        <v>0</v>
      </c>
      <c r="F41" s="377">
        <v>0</v>
      </c>
      <c r="G41" s="377">
        <v>0</v>
      </c>
      <c r="H41" s="377">
        <v>0</v>
      </c>
      <c r="I41" s="550">
        <v>0</v>
      </c>
    </row>
    <row r="42" spans="1:9" x14ac:dyDescent="0.25">
      <c r="A42" s="567" t="s">
        <v>1381</v>
      </c>
      <c r="B42" s="377">
        <v>0</v>
      </c>
      <c r="C42" s="377">
        <v>0</v>
      </c>
      <c r="D42" s="377">
        <v>0</v>
      </c>
      <c r="E42" s="377">
        <v>0</v>
      </c>
      <c r="F42" s="377">
        <v>0</v>
      </c>
      <c r="G42" s="377">
        <v>0</v>
      </c>
      <c r="H42" s="377">
        <v>0</v>
      </c>
      <c r="I42" s="550">
        <v>0</v>
      </c>
    </row>
    <row r="43" spans="1:9" ht="7.9" customHeight="1" x14ac:dyDescent="0.25">
      <c r="A43" s="568"/>
      <c r="B43" s="338"/>
      <c r="C43" s="338"/>
      <c r="D43" s="340"/>
      <c r="E43" s="340"/>
      <c r="F43" s="340"/>
      <c r="G43" s="340"/>
      <c r="H43" s="340"/>
      <c r="I43" s="339"/>
    </row>
    <row r="44" spans="1:9" x14ac:dyDescent="0.25">
      <c r="A44" s="338" t="s">
        <v>1005</v>
      </c>
      <c r="B44" s="338"/>
      <c r="C44" s="338"/>
      <c r="D44" s="340"/>
      <c r="E44" s="340"/>
      <c r="F44" s="340"/>
      <c r="G44" s="340"/>
      <c r="H44" s="340"/>
      <c r="I44" s="340"/>
    </row>
    <row r="45" spans="1:9" x14ac:dyDescent="0.25">
      <c r="A45" s="1423"/>
      <c r="B45" s="1424"/>
      <c r="C45" s="1424"/>
      <c r="D45" s="1424"/>
      <c r="E45" s="1424"/>
      <c r="F45" s="1424"/>
      <c r="G45" s="1424"/>
      <c r="H45" s="1424"/>
      <c r="I45" s="1425"/>
    </row>
    <row r="46" spans="1:9" x14ac:dyDescent="0.25">
      <c r="A46" s="1426"/>
      <c r="B46" s="1427"/>
      <c r="C46" s="1427"/>
      <c r="D46" s="1427"/>
      <c r="E46" s="1427"/>
      <c r="F46" s="1427"/>
      <c r="G46" s="1427"/>
      <c r="H46" s="1427"/>
      <c r="I46" s="1428"/>
    </row>
    <row r="47" spans="1:9" x14ac:dyDescent="0.25">
      <c r="A47" s="1426"/>
      <c r="B47" s="1427"/>
      <c r="C47" s="1427"/>
      <c r="D47" s="1427"/>
      <c r="E47" s="1427"/>
      <c r="F47" s="1427"/>
      <c r="G47" s="1427"/>
      <c r="H47" s="1427"/>
      <c r="I47" s="1428"/>
    </row>
    <row r="48" spans="1:9" x14ac:dyDescent="0.25">
      <c r="A48" s="1426"/>
      <c r="B48" s="1427"/>
      <c r="C48" s="1427"/>
      <c r="D48" s="1427"/>
      <c r="E48" s="1427"/>
      <c r="F48" s="1427"/>
      <c r="G48" s="1427"/>
      <c r="H48" s="1427"/>
      <c r="I48" s="1428"/>
    </row>
    <row r="49" spans="1:9" x14ac:dyDescent="0.25">
      <c r="A49" s="1429"/>
      <c r="B49" s="1430"/>
      <c r="C49" s="1430"/>
      <c r="D49" s="1430"/>
      <c r="E49" s="1430"/>
      <c r="F49" s="1430"/>
      <c r="G49" s="1430"/>
      <c r="H49" s="1430"/>
      <c r="I49" s="1431"/>
    </row>
  </sheetData>
  <mergeCells count="28">
    <mergeCell ref="B2:I2"/>
    <mergeCell ref="B3:I3"/>
    <mergeCell ref="B4:I4"/>
    <mergeCell ref="B5:I5"/>
    <mergeCell ref="B6:C6"/>
    <mergeCell ref="D6:E6"/>
    <mergeCell ref="H6:I6"/>
    <mergeCell ref="B7:D7"/>
    <mergeCell ref="B8:I8"/>
    <mergeCell ref="B9:I9"/>
    <mergeCell ref="B10:D10"/>
    <mergeCell ref="E10:F10"/>
    <mergeCell ref="G10:I10"/>
    <mergeCell ref="B11:D11"/>
    <mergeCell ref="E11:F11"/>
    <mergeCell ref="G11:I11"/>
    <mergeCell ref="A13:I13"/>
    <mergeCell ref="A14:I14"/>
    <mergeCell ref="F18:F21"/>
    <mergeCell ref="G18:G21"/>
    <mergeCell ref="H18:H21"/>
    <mergeCell ref="I18:I21"/>
    <mergeCell ref="A45:I49"/>
    <mergeCell ref="A16:A21"/>
    <mergeCell ref="B17:B21"/>
    <mergeCell ref="C18:C21"/>
    <mergeCell ref="D18:D21"/>
    <mergeCell ref="E18:E21"/>
  </mergeCells>
  <pageMargins left="0.7" right="0.7" top="0.75" bottom="0.75" header="0.3" footer="0.3"/>
  <drawing r:id="rId1"/>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FEB780-6164-4229-9220-1199F63745A5}">
  <dimension ref="A2:H45"/>
  <sheetViews>
    <sheetView workbookViewId="0">
      <selection sqref="A1:XFD1048576"/>
    </sheetView>
  </sheetViews>
  <sheetFormatPr baseColWidth="10" defaultRowHeight="15" x14ac:dyDescent="0.25"/>
  <cols>
    <col min="1" max="1" width="25.5703125" customWidth="1"/>
    <col min="2" max="2" width="19.85546875" customWidth="1"/>
    <col min="3" max="3" width="8.7109375" customWidth="1"/>
    <col min="4" max="4" width="13.7109375" customWidth="1"/>
    <col min="5" max="5" width="6.28515625" customWidth="1"/>
    <col min="6" max="6" width="20.28515625" customWidth="1"/>
    <col min="7" max="7" width="17.5703125" customWidth="1"/>
    <col min="8" max="8" width="7.7109375" customWidth="1"/>
  </cols>
  <sheetData>
    <row r="2" spans="1:8" x14ac:dyDescent="0.25">
      <c r="A2" s="237" t="s">
        <v>464</v>
      </c>
      <c r="B2" s="958" t="s">
        <v>2</v>
      </c>
      <c r="C2" s="958"/>
      <c r="D2" s="958"/>
      <c r="E2" s="958"/>
      <c r="F2" s="958"/>
      <c r="G2" s="958"/>
      <c r="H2" s="958"/>
    </row>
    <row r="3" spans="1:8" x14ac:dyDescent="0.25">
      <c r="A3" s="237"/>
      <c r="B3" s="957" t="s">
        <v>4</v>
      </c>
      <c r="C3" s="957"/>
      <c r="D3" s="957"/>
      <c r="E3" s="957"/>
      <c r="F3" s="957"/>
      <c r="G3" s="957"/>
      <c r="H3" s="957"/>
    </row>
    <row r="4" spans="1:8" x14ac:dyDescent="0.25">
      <c r="A4" s="237" t="s">
        <v>362</v>
      </c>
      <c r="B4" s="957" t="s">
        <v>6</v>
      </c>
      <c r="C4" s="957"/>
      <c r="D4" s="957"/>
      <c r="E4" s="957"/>
      <c r="F4" s="957"/>
      <c r="G4" s="957"/>
      <c r="H4" s="957"/>
    </row>
    <row r="5" spans="1:8" x14ac:dyDescent="0.25">
      <c r="A5" s="237" t="s">
        <v>363</v>
      </c>
      <c r="B5" s="957">
        <v>4431</v>
      </c>
      <c r="C5" s="957"/>
      <c r="D5" s="957"/>
      <c r="E5" s="957"/>
      <c r="F5" s="957"/>
      <c r="G5" s="957"/>
      <c r="H5" s="957"/>
    </row>
    <row r="6" spans="1:8" x14ac:dyDescent="0.25">
      <c r="A6" s="237" t="s">
        <v>364</v>
      </c>
      <c r="B6" s="957" t="s">
        <v>12</v>
      </c>
      <c r="C6" s="957"/>
      <c r="D6" s="959" t="s">
        <v>365</v>
      </c>
      <c r="E6" s="959"/>
      <c r="F6" s="309">
        <v>46022</v>
      </c>
      <c r="G6" s="46" t="s">
        <v>465</v>
      </c>
      <c r="H6" s="235">
        <v>12</v>
      </c>
    </row>
    <row r="7" spans="1:8" x14ac:dyDescent="0.25">
      <c r="A7" s="311" t="s">
        <v>367</v>
      </c>
      <c r="B7" s="958" t="s">
        <v>8</v>
      </c>
      <c r="C7" s="958"/>
      <c r="D7" s="958"/>
      <c r="E7" s="199"/>
      <c r="F7" s="199"/>
      <c r="G7" s="199"/>
      <c r="H7" s="199"/>
    </row>
    <row r="8" spans="1:8" x14ac:dyDescent="0.25">
      <c r="A8" s="238" t="s">
        <v>466</v>
      </c>
      <c r="B8" s="958" t="s">
        <v>34</v>
      </c>
      <c r="C8" s="958"/>
      <c r="D8" s="958"/>
      <c r="E8" s="958"/>
      <c r="F8" s="958"/>
      <c r="G8" s="958"/>
      <c r="H8" s="958"/>
    </row>
    <row r="9" spans="1:8" x14ac:dyDescent="0.25">
      <c r="A9" s="238"/>
      <c r="B9" s="957">
        <v>555555</v>
      </c>
      <c r="C9" s="957"/>
      <c r="D9" s="957"/>
      <c r="E9" s="957"/>
      <c r="F9" s="957"/>
      <c r="G9" s="957"/>
      <c r="H9" s="957"/>
    </row>
    <row r="10" spans="1:8" x14ac:dyDescent="0.25">
      <c r="A10" s="238" t="s">
        <v>467</v>
      </c>
      <c r="B10" s="957" t="s">
        <v>38</v>
      </c>
      <c r="C10" s="957"/>
      <c r="D10" s="957"/>
      <c r="E10" s="959" t="s">
        <v>468</v>
      </c>
      <c r="F10" s="959"/>
      <c r="G10" s="957" t="s">
        <v>36</v>
      </c>
      <c r="H10" s="957"/>
    </row>
    <row r="11" spans="1:8" x14ac:dyDescent="0.25">
      <c r="A11" s="238" t="s">
        <v>469</v>
      </c>
      <c r="B11" s="954">
        <v>44713</v>
      </c>
      <c r="C11" s="954"/>
      <c r="D11" s="954"/>
      <c r="E11" s="975" t="s">
        <v>470</v>
      </c>
      <c r="F11" s="975"/>
      <c r="G11" s="954">
        <v>45991</v>
      </c>
      <c r="H11" s="954"/>
    </row>
    <row r="12" spans="1:8" ht="9" customHeight="1" x14ac:dyDescent="0.25"/>
    <row r="13" spans="1:8" x14ac:dyDescent="0.25">
      <c r="A13" s="788" t="s">
        <v>1382</v>
      </c>
      <c r="B13" s="788"/>
      <c r="C13" s="788"/>
      <c r="D13" s="788"/>
      <c r="E13" s="788"/>
      <c r="F13" s="788"/>
      <c r="G13" s="788"/>
      <c r="H13" s="788"/>
    </row>
    <row r="14" spans="1:8" x14ac:dyDescent="0.25">
      <c r="A14" s="788" t="s">
        <v>1383</v>
      </c>
      <c r="B14" s="788"/>
      <c r="C14" s="788"/>
      <c r="D14" s="788"/>
      <c r="E14" s="788"/>
      <c r="F14" s="788"/>
      <c r="G14" s="788"/>
      <c r="H14" s="788"/>
    </row>
    <row r="15" spans="1:8" ht="10.15" customHeight="1" x14ac:dyDescent="0.25">
      <c r="A15" s="484"/>
      <c r="B15" s="484"/>
      <c r="C15" s="484"/>
      <c r="D15" s="484"/>
      <c r="E15" s="484"/>
      <c r="F15" s="484"/>
      <c r="G15" s="484"/>
      <c r="H15" s="484"/>
    </row>
    <row r="16" spans="1:8" ht="14.45" customHeight="1" x14ac:dyDescent="0.25">
      <c r="A16" s="1379" t="s">
        <v>988</v>
      </c>
      <c r="B16" s="1379"/>
      <c r="C16" s="988" t="s">
        <v>989</v>
      </c>
      <c r="D16" s="988"/>
      <c r="E16" s="988" t="s">
        <v>989</v>
      </c>
      <c r="F16" s="988"/>
      <c r="G16" s="1435" t="s">
        <v>1056</v>
      </c>
      <c r="H16" s="1436"/>
    </row>
    <row r="17" spans="1:8" x14ac:dyDescent="0.25">
      <c r="A17" s="1379"/>
      <c r="B17" s="1379"/>
      <c r="C17" s="1378">
        <v>46022</v>
      </c>
      <c r="D17" s="1378"/>
      <c r="E17" s="1378">
        <v>46022</v>
      </c>
      <c r="F17" s="1378"/>
      <c r="G17" s="485" t="s">
        <v>1009</v>
      </c>
      <c r="H17" s="485" t="s">
        <v>1034</v>
      </c>
    </row>
    <row r="18" spans="1:8" x14ac:dyDescent="0.25">
      <c r="A18" s="1321" t="s">
        <v>1384</v>
      </c>
      <c r="B18" s="1323"/>
      <c r="C18" s="1293">
        <v>0</v>
      </c>
      <c r="D18" s="1294"/>
      <c r="E18" s="1293">
        <v>0</v>
      </c>
      <c r="F18" s="1294"/>
      <c r="G18" s="426">
        <v>0</v>
      </c>
      <c r="H18" s="427">
        <v>0</v>
      </c>
    </row>
    <row r="19" spans="1:8" x14ac:dyDescent="0.25">
      <c r="A19" s="1321" t="s">
        <v>1385</v>
      </c>
      <c r="B19" s="1323"/>
      <c r="C19" s="1293">
        <v>0</v>
      </c>
      <c r="D19" s="1294"/>
      <c r="E19" s="1293">
        <v>0</v>
      </c>
      <c r="F19" s="1294"/>
      <c r="G19" s="426">
        <v>0</v>
      </c>
      <c r="H19" s="427">
        <v>0</v>
      </c>
    </row>
    <row r="20" spans="1:8" x14ac:dyDescent="0.25">
      <c r="A20" s="1321" t="s">
        <v>1386</v>
      </c>
      <c r="B20" s="1323"/>
      <c r="C20" s="1293">
        <v>0</v>
      </c>
      <c r="D20" s="1294"/>
      <c r="E20" s="1293">
        <v>0</v>
      </c>
      <c r="F20" s="1294"/>
      <c r="G20" s="426">
        <v>0</v>
      </c>
      <c r="H20" s="427">
        <v>0</v>
      </c>
    </row>
    <row r="21" spans="1:8" x14ac:dyDescent="0.25">
      <c r="A21" s="1321" t="s">
        <v>1387</v>
      </c>
      <c r="B21" s="1323"/>
      <c r="C21" s="1293">
        <v>0</v>
      </c>
      <c r="D21" s="1294"/>
      <c r="E21" s="1293">
        <v>0</v>
      </c>
      <c r="F21" s="1294"/>
      <c r="G21" s="426">
        <v>0</v>
      </c>
      <c r="H21" s="427">
        <v>0</v>
      </c>
    </row>
    <row r="22" spans="1:8" x14ac:dyDescent="0.25">
      <c r="A22" s="1321" t="s">
        <v>1388</v>
      </c>
      <c r="B22" s="1323"/>
      <c r="C22" s="1293">
        <v>0</v>
      </c>
      <c r="D22" s="1294"/>
      <c r="E22" s="1293">
        <v>0</v>
      </c>
      <c r="F22" s="1294"/>
      <c r="G22" s="426">
        <v>0</v>
      </c>
      <c r="H22" s="427">
        <v>0</v>
      </c>
    </row>
    <row r="23" spans="1:8" x14ac:dyDescent="0.25">
      <c r="A23" s="1321" t="s">
        <v>1389</v>
      </c>
      <c r="B23" s="1323"/>
      <c r="C23" s="1293">
        <v>0</v>
      </c>
      <c r="D23" s="1294"/>
      <c r="E23" s="1293">
        <v>0</v>
      </c>
      <c r="F23" s="1294"/>
      <c r="G23" s="426">
        <v>0</v>
      </c>
      <c r="H23" s="427">
        <v>0</v>
      </c>
    </row>
    <row r="24" spans="1:8" x14ac:dyDescent="0.25">
      <c r="A24" s="1321" t="s">
        <v>1390</v>
      </c>
      <c r="B24" s="1323"/>
      <c r="C24" s="1293">
        <v>0</v>
      </c>
      <c r="D24" s="1294"/>
      <c r="E24" s="1293">
        <v>0</v>
      </c>
      <c r="F24" s="1294"/>
      <c r="G24" s="426">
        <v>0</v>
      </c>
      <c r="H24" s="427">
        <v>0</v>
      </c>
    </row>
    <row r="25" spans="1:8" ht="32.450000000000003" customHeight="1" x14ac:dyDescent="0.25">
      <c r="A25" s="1326" t="s">
        <v>1391</v>
      </c>
      <c r="B25" s="1328"/>
      <c r="C25" s="1293">
        <v>0</v>
      </c>
      <c r="D25" s="1294"/>
      <c r="E25" s="1293">
        <v>0</v>
      </c>
      <c r="F25" s="1294"/>
      <c r="G25" s="426">
        <v>0</v>
      </c>
      <c r="H25" s="427">
        <v>0</v>
      </c>
    </row>
    <row r="26" spans="1:8" x14ac:dyDescent="0.25">
      <c r="A26" s="1345" t="s">
        <v>1392</v>
      </c>
      <c r="B26" s="1346"/>
      <c r="C26" s="1353">
        <v>0</v>
      </c>
      <c r="D26" s="1354"/>
      <c r="E26" s="1353">
        <v>0</v>
      </c>
      <c r="F26" s="1354"/>
      <c r="G26" s="479">
        <v>0</v>
      </c>
      <c r="H26" s="431">
        <v>0</v>
      </c>
    </row>
    <row r="27" spans="1:8" x14ac:dyDescent="0.25">
      <c r="A27" s="1326" t="s">
        <v>1393</v>
      </c>
      <c r="B27" s="1328"/>
      <c r="C27" s="1293">
        <v>0</v>
      </c>
      <c r="D27" s="1294"/>
      <c r="E27" s="1293">
        <v>0</v>
      </c>
      <c r="F27" s="1294"/>
      <c r="G27" s="426">
        <v>0</v>
      </c>
      <c r="H27" s="427">
        <v>0</v>
      </c>
    </row>
    <row r="28" spans="1:8" x14ac:dyDescent="0.25">
      <c r="A28" s="1326" t="s">
        <v>1394</v>
      </c>
      <c r="B28" s="1328"/>
      <c r="C28" s="1293">
        <v>0</v>
      </c>
      <c r="D28" s="1294"/>
      <c r="E28" s="1293">
        <v>0</v>
      </c>
      <c r="F28" s="1294"/>
      <c r="G28" s="426">
        <v>0</v>
      </c>
      <c r="H28" s="427">
        <v>0</v>
      </c>
    </row>
    <row r="29" spans="1:8" x14ac:dyDescent="0.25">
      <c r="A29" s="1326" t="s">
        <v>1395</v>
      </c>
      <c r="B29" s="1328"/>
      <c r="C29" s="1293">
        <v>0</v>
      </c>
      <c r="D29" s="1294"/>
      <c r="E29" s="1293">
        <v>0</v>
      </c>
      <c r="F29" s="1294"/>
      <c r="G29" s="426">
        <v>0</v>
      </c>
      <c r="H29" s="427">
        <v>0</v>
      </c>
    </row>
    <row r="30" spans="1:8" x14ac:dyDescent="0.25">
      <c r="A30" s="1326" t="s">
        <v>1396</v>
      </c>
      <c r="B30" s="1328"/>
      <c r="C30" s="1293">
        <v>0</v>
      </c>
      <c r="D30" s="1294"/>
      <c r="E30" s="1293">
        <v>0</v>
      </c>
      <c r="F30" s="1294"/>
      <c r="G30" s="426">
        <v>0</v>
      </c>
      <c r="H30" s="427">
        <v>0</v>
      </c>
    </row>
    <row r="31" spans="1:8" x14ac:dyDescent="0.25">
      <c r="A31" s="1326" t="s">
        <v>1397</v>
      </c>
      <c r="B31" s="1328"/>
      <c r="C31" s="1293">
        <v>0</v>
      </c>
      <c r="D31" s="1294"/>
      <c r="E31" s="1293">
        <v>0</v>
      </c>
      <c r="F31" s="1294"/>
      <c r="G31" s="426">
        <v>0</v>
      </c>
      <c r="H31" s="427">
        <v>0</v>
      </c>
    </row>
    <row r="32" spans="1:8" x14ac:dyDescent="0.25">
      <c r="A32" s="1326" t="s">
        <v>1398</v>
      </c>
      <c r="B32" s="1328"/>
      <c r="C32" s="1293">
        <v>0</v>
      </c>
      <c r="D32" s="1294"/>
      <c r="E32" s="1293">
        <v>0</v>
      </c>
      <c r="F32" s="1294"/>
      <c r="G32" s="426">
        <v>0</v>
      </c>
      <c r="H32" s="427">
        <v>0</v>
      </c>
    </row>
    <row r="33" spans="1:8" x14ac:dyDescent="0.25">
      <c r="A33" s="1326" t="s">
        <v>1399</v>
      </c>
      <c r="B33" s="1328"/>
      <c r="C33" s="1293">
        <v>0</v>
      </c>
      <c r="D33" s="1294"/>
      <c r="E33" s="1293">
        <v>0</v>
      </c>
      <c r="F33" s="1294"/>
      <c r="G33" s="426">
        <v>0</v>
      </c>
      <c r="H33" s="427">
        <v>0</v>
      </c>
    </row>
    <row r="34" spans="1:8" x14ac:dyDescent="0.25">
      <c r="A34" s="1350" t="s">
        <v>1400</v>
      </c>
      <c r="B34" s="1351"/>
      <c r="C34" s="1389">
        <v>0</v>
      </c>
      <c r="D34" s="1390"/>
      <c r="E34" s="1389">
        <v>0</v>
      </c>
      <c r="F34" s="1390"/>
      <c r="G34" s="426">
        <v>0</v>
      </c>
      <c r="H34" s="427">
        <v>0</v>
      </c>
    </row>
    <row r="35" spans="1:8" ht="37.15" customHeight="1" x14ac:dyDescent="0.25">
      <c r="A35" s="1326" t="s">
        <v>1401</v>
      </c>
      <c r="B35" s="1328"/>
      <c r="C35" s="1293">
        <v>0</v>
      </c>
      <c r="D35" s="1294"/>
      <c r="E35" s="1293">
        <v>0</v>
      </c>
      <c r="F35" s="1294"/>
      <c r="G35" s="426">
        <v>0</v>
      </c>
      <c r="H35" s="427">
        <v>0</v>
      </c>
    </row>
    <row r="36" spans="1:8" x14ac:dyDescent="0.25">
      <c r="A36" s="1345" t="s">
        <v>1402</v>
      </c>
      <c r="B36" s="1346"/>
      <c r="C36" s="1353">
        <v>0</v>
      </c>
      <c r="D36" s="1354"/>
      <c r="E36" s="1353">
        <v>0</v>
      </c>
      <c r="F36" s="1354"/>
      <c r="G36" s="479">
        <v>0</v>
      </c>
      <c r="H36" s="431">
        <v>0</v>
      </c>
    </row>
    <row r="37" spans="1:8" ht="8.4499999999999993" customHeight="1" x14ac:dyDescent="0.25">
      <c r="A37" s="1393"/>
      <c r="B37" s="1393"/>
      <c r="C37" s="1385"/>
      <c r="D37" s="1385"/>
      <c r="E37" s="1385"/>
      <c r="F37" s="1385"/>
      <c r="G37" s="1385"/>
      <c r="H37" s="1385"/>
    </row>
    <row r="38" spans="1:8" x14ac:dyDescent="0.25">
      <c r="A38" s="241" t="s">
        <v>908</v>
      </c>
      <c r="B38" s="241"/>
      <c r="C38" s="241"/>
      <c r="D38" s="241"/>
      <c r="E38" s="241"/>
      <c r="F38" s="241"/>
      <c r="G38" s="241"/>
      <c r="H38" s="241"/>
    </row>
    <row r="39" spans="1:8" x14ac:dyDescent="0.25">
      <c r="A39" s="1103"/>
      <c r="B39" s="1104"/>
      <c r="C39" s="1104"/>
      <c r="D39" s="1104"/>
      <c r="E39" s="1104"/>
      <c r="F39" s="1104"/>
      <c r="G39" s="1104"/>
      <c r="H39" s="1105"/>
    </row>
    <row r="40" spans="1:8" x14ac:dyDescent="0.25">
      <c r="A40" s="1106"/>
      <c r="B40" s="1107"/>
      <c r="C40" s="1107"/>
      <c r="D40" s="1107"/>
      <c r="E40" s="1107"/>
      <c r="F40" s="1107"/>
      <c r="G40" s="1107"/>
      <c r="H40" s="1108"/>
    </row>
    <row r="41" spans="1:8" x14ac:dyDescent="0.25">
      <c r="A41" s="1106"/>
      <c r="B41" s="1107"/>
      <c r="C41" s="1107"/>
      <c r="D41" s="1107"/>
      <c r="E41" s="1107"/>
      <c r="F41" s="1107"/>
      <c r="G41" s="1107"/>
      <c r="H41" s="1108"/>
    </row>
    <row r="42" spans="1:8" x14ac:dyDescent="0.25">
      <c r="A42" s="1106"/>
      <c r="B42" s="1107"/>
      <c r="C42" s="1107"/>
      <c r="D42" s="1107"/>
      <c r="E42" s="1107"/>
      <c r="F42" s="1107"/>
      <c r="G42" s="1107"/>
      <c r="H42" s="1108"/>
    </row>
    <row r="43" spans="1:8" x14ac:dyDescent="0.25">
      <c r="A43" s="1106"/>
      <c r="B43" s="1107"/>
      <c r="C43" s="1107"/>
      <c r="D43" s="1107"/>
      <c r="E43" s="1107"/>
      <c r="F43" s="1107"/>
      <c r="G43" s="1107"/>
      <c r="H43" s="1108"/>
    </row>
    <row r="44" spans="1:8" x14ac:dyDescent="0.25">
      <c r="A44" s="1106"/>
      <c r="B44" s="1107"/>
      <c r="C44" s="1107"/>
      <c r="D44" s="1107"/>
      <c r="E44" s="1107"/>
      <c r="F44" s="1107"/>
      <c r="G44" s="1107"/>
      <c r="H44" s="1108"/>
    </row>
    <row r="45" spans="1:8" x14ac:dyDescent="0.25">
      <c r="A45" s="1109"/>
      <c r="B45" s="1110"/>
      <c r="C45" s="1110"/>
      <c r="D45" s="1110"/>
      <c r="E45" s="1110"/>
      <c r="F45" s="1110"/>
      <c r="G45" s="1110"/>
      <c r="H45" s="1111"/>
    </row>
  </sheetData>
  <mergeCells count="85">
    <mergeCell ref="B2:H2"/>
    <mergeCell ref="B3:H3"/>
    <mergeCell ref="B4:H4"/>
    <mergeCell ref="B5:H5"/>
    <mergeCell ref="B6:C6"/>
    <mergeCell ref="D6:E6"/>
    <mergeCell ref="G16:H16"/>
    <mergeCell ref="C17:D17"/>
    <mergeCell ref="B7:D7"/>
    <mergeCell ref="B8:H8"/>
    <mergeCell ref="B9:H9"/>
    <mergeCell ref="B10:D10"/>
    <mergeCell ref="E10:F10"/>
    <mergeCell ref="G10:H10"/>
    <mergeCell ref="B11:D11"/>
    <mergeCell ref="E11:F11"/>
    <mergeCell ref="G11:H11"/>
    <mergeCell ref="A13:H13"/>
    <mergeCell ref="A14:H14"/>
    <mergeCell ref="E17:F17"/>
    <mergeCell ref="A16:B17"/>
    <mergeCell ref="C16:D16"/>
    <mergeCell ref="E16:F16"/>
    <mergeCell ref="A20:B20"/>
    <mergeCell ref="C20:D20"/>
    <mergeCell ref="E20:F20"/>
    <mergeCell ref="A21:B21"/>
    <mergeCell ref="C21:D21"/>
    <mergeCell ref="E21:F21"/>
    <mergeCell ref="A18:B18"/>
    <mergeCell ref="C18:D18"/>
    <mergeCell ref="E18:F18"/>
    <mergeCell ref="A19:B19"/>
    <mergeCell ref="C19:D19"/>
    <mergeCell ref="E19:F19"/>
    <mergeCell ref="A22:B22"/>
    <mergeCell ref="C22:D22"/>
    <mergeCell ref="E22:F22"/>
    <mergeCell ref="A23:B23"/>
    <mergeCell ref="C23:D23"/>
    <mergeCell ref="E23:F23"/>
    <mergeCell ref="A24:B24"/>
    <mergeCell ref="C24:D24"/>
    <mergeCell ref="E24:F24"/>
    <mergeCell ref="A25:B25"/>
    <mergeCell ref="C25:D25"/>
    <mergeCell ref="E25:F25"/>
    <mergeCell ref="A26:B26"/>
    <mergeCell ref="C26:D26"/>
    <mergeCell ref="E26:F26"/>
    <mergeCell ref="A27:B27"/>
    <mergeCell ref="C27:D27"/>
    <mergeCell ref="E27:F27"/>
    <mergeCell ref="A28:B28"/>
    <mergeCell ref="C28:D28"/>
    <mergeCell ref="E28:F28"/>
    <mergeCell ref="A29:B29"/>
    <mergeCell ref="C29:D29"/>
    <mergeCell ref="E29:F29"/>
    <mergeCell ref="A30:B30"/>
    <mergeCell ref="C30:D30"/>
    <mergeCell ref="E30:F30"/>
    <mergeCell ref="A31:B31"/>
    <mergeCell ref="C31:D31"/>
    <mergeCell ref="E31:F31"/>
    <mergeCell ref="A32:B32"/>
    <mergeCell ref="C32:D32"/>
    <mergeCell ref="E32:F32"/>
    <mergeCell ref="A33:B33"/>
    <mergeCell ref="C33:D33"/>
    <mergeCell ref="E33:F33"/>
    <mergeCell ref="A34:B34"/>
    <mergeCell ref="C34:D34"/>
    <mergeCell ref="E34:F34"/>
    <mergeCell ref="A35:B35"/>
    <mergeCell ref="C35:D35"/>
    <mergeCell ref="E35:F35"/>
    <mergeCell ref="G37:H37"/>
    <mergeCell ref="A39:H45"/>
    <mergeCell ref="A36:B36"/>
    <mergeCell ref="C36:D36"/>
    <mergeCell ref="E36:F36"/>
    <mergeCell ref="A37:B37"/>
    <mergeCell ref="C37:D37"/>
    <mergeCell ref="E37:F37"/>
  </mergeCells>
  <pageMargins left="0.7" right="0.7" top="0.75" bottom="0.75" header="0.3" footer="0.3"/>
  <drawing r:id="rId1"/>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C00668-E2AE-4B5D-91EE-7DB6059496EB}">
  <dimension ref="A2:H45"/>
  <sheetViews>
    <sheetView workbookViewId="0">
      <selection activeCell="D15" sqref="A1:XFD1048576"/>
    </sheetView>
  </sheetViews>
  <sheetFormatPr baseColWidth="10" defaultRowHeight="15" x14ac:dyDescent="0.25"/>
  <cols>
    <col min="1" max="1" width="25.5703125" customWidth="1"/>
    <col min="2" max="2" width="39" customWidth="1"/>
    <col min="3" max="3" width="8.7109375" customWidth="1"/>
    <col min="4" max="4" width="13.7109375" customWidth="1"/>
    <col min="5" max="5" width="6.28515625" customWidth="1"/>
    <col min="6" max="6" width="20.7109375" customWidth="1"/>
    <col min="7" max="7" width="17.5703125" customWidth="1"/>
    <col min="8" max="8" width="7.7109375" customWidth="1"/>
  </cols>
  <sheetData>
    <row r="2" spans="1:8" x14ac:dyDescent="0.25">
      <c r="A2" s="237" t="s">
        <v>464</v>
      </c>
      <c r="B2" s="958" t="s">
        <v>2</v>
      </c>
      <c r="C2" s="958"/>
      <c r="D2" s="958"/>
      <c r="E2" s="958"/>
      <c r="F2" s="958"/>
      <c r="G2" s="958"/>
      <c r="H2" s="958"/>
    </row>
    <row r="3" spans="1:8" x14ac:dyDescent="0.25">
      <c r="A3" s="237"/>
      <c r="B3" s="957" t="s">
        <v>4</v>
      </c>
      <c r="C3" s="957"/>
      <c r="D3" s="957"/>
      <c r="E3" s="957"/>
      <c r="F3" s="957"/>
      <c r="G3" s="957"/>
      <c r="H3" s="957"/>
    </row>
    <row r="4" spans="1:8" x14ac:dyDescent="0.25">
      <c r="A4" s="237" t="s">
        <v>362</v>
      </c>
      <c r="B4" s="957" t="s">
        <v>6</v>
      </c>
      <c r="C4" s="957"/>
      <c r="D4" s="957"/>
      <c r="E4" s="957"/>
      <c r="F4" s="957"/>
      <c r="G4" s="957"/>
      <c r="H4" s="957"/>
    </row>
    <row r="5" spans="1:8" x14ac:dyDescent="0.25">
      <c r="A5" s="237" t="s">
        <v>363</v>
      </c>
      <c r="B5" s="957">
        <v>4431</v>
      </c>
      <c r="C5" s="957"/>
      <c r="D5" s="957"/>
      <c r="E5" s="957"/>
      <c r="F5" s="957"/>
      <c r="G5" s="957"/>
      <c r="H5" s="957"/>
    </row>
    <row r="6" spans="1:8" x14ac:dyDescent="0.25">
      <c r="A6" s="237" t="s">
        <v>364</v>
      </c>
      <c r="B6" s="957" t="s">
        <v>12</v>
      </c>
      <c r="C6" s="957"/>
      <c r="D6" s="959" t="s">
        <v>365</v>
      </c>
      <c r="E6" s="959"/>
      <c r="F6" s="309">
        <v>46022</v>
      </c>
      <c r="G6" s="46" t="s">
        <v>465</v>
      </c>
      <c r="H6" s="235">
        <v>12</v>
      </c>
    </row>
    <row r="7" spans="1:8" x14ac:dyDescent="0.25">
      <c r="A7" s="311" t="s">
        <v>367</v>
      </c>
      <c r="B7" s="958" t="s">
        <v>8</v>
      </c>
      <c r="C7" s="958"/>
      <c r="D7" s="958"/>
      <c r="E7" s="199"/>
      <c r="F7" s="199"/>
      <c r="G7" s="199"/>
      <c r="H7" s="199"/>
    </row>
    <row r="8" spans="1:8" x14ac:dyDescent="0.25">
      <c r="A8" s="238" t="s">
        <v>466</v>
      </c>
      <c r="B8" s="958" t="s">
        <v>34</v>
      </c>
      <c r="C8" s="958"/>
      <c r="D8" s="958"/>
      <c r="E8" s="958"/>
      <c r="F8" s="958"/>
      <c r="G8" s="958"/>
      <c r="H8" s="958"/>
    </row>
    <row r="9" spans="1:8" x14ac:dyDescent="0.25">
      <c r="A9" s="238"/>
      <c r="B9" s="957">
        <v>555555</v>
      </c>
      <c r="C9" s="957"/>
      <c r="D9" s="957"/>
      <c r="E9" s="957"/>
      <c r="F9" s="957"/>
      <c r="G9" s="957"/>
      <c r="H9" s="957"/>
    </row>
    <row r="10" spans="1:8" x14ac:dyDescent="0.25">
      <c r="A10" s="238" t="s">
        <v>467</v>
      </c>
      <c r="B10" s="957" t="s">
        <v>38</v>
      </c>
      <c r="C10" s="957"/>
      <c r="D10" s="957"/>
      <c r="E10" s="959" t="s">
        <v>468</v>
      </c>
      <c r="F10" s="959"/>
      <c r="G10" s="957" t="s">
        <v>36</v>
      </c>
      <c r="H10" s="957"/>
    </row>
    <row r="11" spans="1:8" x14ac:dyDescent="0.25">
      <c r="A11" s="238" t="s">
        <v>469</v>
      </c>
      <c r="B11" s="954">
        <v>44713</v>
      </c>
      <c r="C11" s="954"/>
      <c r="D11" s="954"/>
      <c r="E11" s="975" t="s">
        <v>470</v>
      </c>
      <c r="F11" s="975"/>
      <c r="G11" s="954">
        <v>45991</v>
      </c>
      <c r="H11" s="954"/>
    </row>
    <row r="12" spans="1:8" ht="6" customHeight="1" x14ac:dyDescent="0.25"/>
    <row r="13" spans="1:8" x14ac:dyDescent="0.25">
      <c r="A13" s="788" t="s">
        <v>1403</v>
      </c>
      <c r="B13" s="788"/>
      <c r="C13" s="788"/>
      <c r="D13" s="788"/>
      <c r="E13" s="788"/>
      <c r="F13" s="788"/>
      <c r="G13" s="788"/>
      <c r="H13" s="788"/>
    </row>
    <row r="14" spans="1:8" x14ac:dyDescent="0.25">
      <c r="A14" s="788" t="s">
        <v>1404</v>
      </c>
      <c r="B14" s="788"/>
      <c r="C14" s="788"/>
      <c r="D14" s="788"/>
      <c r="E14" s="788"/>
      <c r="F14" s="788"/>
      <c r="G14" s="788"/>
      <c r="H14" s="788"/>
    </row>
    <row r="15" spans="1:8" ht="6" customHeight="1" x14ac:dyDescent="0.25">
      <c r="A15" s="484"/>
      <c r="B15" s="484"/>
      <c r="C15" s="484"/>
      <c r="D15" s="484"/>
      <c r="E15" s="484"/>
      <c r="F15" s="484"/>
      <c r="G15" s="484"/>
      <c r="H15" s="484"/>
    </row>
    <row r="16" spans="1:8" ht="14.45" customHeight="1" x14ac:dyDescent="0.25">
      <c r="A16" s="1379" t="s">
        <v>988</v>
      </c>
      <c r="B16" s="1379"/>
      <c r="C16" s="988" t="s">
        <v>989</v>
      </c>
      <c r="D16" s="988"/>
      <c r="E16" s="988" t="s">
        <v>989</v>
      </c>
      <c r="F16" s="988"/>
      <c r="G16" s="1435" t="s">
        <v>1008</v>
      </c>
      <c r="H16" s="1436"/>
    </row>
    <row r="17" spans="1:8" x14ac:dyDescent="0.25">
      <c r="A17" s="1379"/>
      <c r="B17" s="1379"/>
      <c r="C17" s="1378">
        <v>46022</v>
      </c>
      <c r="D17" s="1378"/>
      <c r="E17" s="1378">
        <v>46022</v>
      </c>
      <c r="F17" s="1378"/>
      <c r="G17" s="485" t="s">
        <v>1009</v>
      </c>
      <c r="H17" s="485" t="s">
        <v>1034</v>
      </c>
    </row>
    <row r="18" spans="1:8" x14ac:dyDescent="0.25">
      <c r="A18" s="1396" t="s">
        <v>1405</v>
      </c>
      <c r="B18" s="1397"/>
      <c r="C18" s="1293">
        <v>0</v>
      </c>
      <c r="D18" s="1294"/>
      <c r="E18" s="1293">
        <v>0</v>
      </c>
      <c r="F18" s="1294"/>
      <c r="G18" s="489">
        <v>0</v>
      </c>
      <c r="H18" s="427">
        <v>0</v>
      </c>
    </row>
    <row r="19" spans="1:8" x14ac:dyDescent="0.25">
      <c r="A19" s="1396" t="s">
        <v>1406</v>
      </c>
      <c r="B19" s="1397"/>
      <c r="C19" s="1293">
        <v>0</v>
      </c>
      <c r="D19" s="1294"/>
      <c r="E19" s="1293">
        <v>0</v>
      </c>
      <c r="F19" s="1294"/>
      <c r="G19" s="489">
        <v>0</v>
      </c>
      <c r="H19" s="427">
        <v>0</v>
      </c>
    </row>
    <row r="20" spans="1:8" x14ac:dyDescent="0.25">
      <c r="A20" s="1396" t="s">
        <v>1407</v>
      </c>
      <c r="B20" s="1397"/>
      <c r="C20" s="1293">
        <v>0</v>
      </c>
      <c r="D20" s="1294"/>
      <c r="E20" s="1293">
        <v>0</v>
      </c>
      <c r="F20" s="1294"/>
      <c r="G20" s="489">
        <v>0</v>
      </c>
      <c r="H20" s="427">
        <v>0</v>
      </c>
    </row>
    <row r="21" spans="1:8" x14ac:dyDescent="0.25">
      <c r="A21" s="1321" t="s">
        <v>1408</v>
      </c>
      <c r="B21" s="1323"/>
      <c r="C21" s="1293">
        <v>0</v>
      </c>
      <c r="D21" s="1294"/>
      <c r="E21" s="1293">
        <v>0</v>
      </c>
      <c r="F21" s="1294"/>
      <c r="G21" s="489">
        <v>0</v>
      </c>
      <c r="H21" s="427">
        <v>0</v>
      </c>
    </row>
    <row r="22" spans="1:8" x14ac:dyDescent="0.25">
      <c r="A22" s="1321" t="s">
        <v>1409</v>
      </c>
      <c r="B22" s="1323"/>
      <c r="C22" s="1293">
        <v>0</v>
      </c>
      <c r="D22" s="1294"/>
      <c r="E22" s="1293">
        <v>0</v>
      </c>
      <c r="F22" s="1294"/>
      <c r="G22" s="489">
        <v>0</v>
      </c>
      <c r="H22" s="427">
        <v>0</v>
      </c>
    </row>
    <row r="23" spans="1:8" x14ac:dyDescent="0.25">
      <c r="A23" s="1321" t="s">
        <v>1410</v>
      </c>
      <c r="B23" s="1323"/>
      <c r="C23" s="1293">
        <v>0</v>
      </c>
      <c r="D23" s="1294"/>
      <c r="E23" s="1293">
        <v>0</v>
      </c>
      <c r="F23" s="1294"/>
      <c r="G23" s="489">
        <v>0</v>
      </c>
      <c r="H23" s="427">
        <v>0</v>
      </c>
    </row>
    <row r="24" spans="1:8" ht="29.45" customHeight="1" x14ac:dyDescent="0.25">
      <c r="A24" s="1326" t="s">
        <v>1411</v>
      </c>
      <c r="B24" s="1328"/>
      <c r="C24" s="1293">
        <v>0</v>
      </c>
      <c r="D24" s="1294"/>
      <c r="E24" s="1293">
        <v>0</v>
      </c>
      <c r="F24" s="1294"/>
      <c r="G24" s="489">
        <v>0</v>
      </c>
      <c r="H24" s="427">
        <v>0</v>
      </c>
    </row>
    <row r="25" spans="1:8" x14ac:dyDescent="0.25">
      <c r="A25" s="1321" t="s">
        <v>1412</v>
      </c>
      <c r="B25" s="1323"/>
      <c r="C25" s="1293">
        <v>0</v>
      </c>
      <c r="D25" s="1294"/>
      <c r="E25" s="1293">
        <v>0</v>
      </c>
      <c r="F25" s="1294"/>
      <c r="G25" s="489">
        <v>0</v>
      </c>
      <c r="H25" s="427">
        <v>0</v>
      </c>
    </row>
    <row r="26" spans="1:8" x14ac:dyDescent="0.25">
      <c r="A26" s="1345" t="s">
        <v>1413</v>
      </c>
      <c r="B26" s="1346"/>
      <c r="C26" s="1353">
        <v>0</v>
      </c>
      <c r="D26" s="1354"/>
      <c r="E26" s="1353">
        <v>0</v>
      </c>
      <c r="F26" s="1354"/>
      <c r="G26" s="569">
        <v>0</v>
      </c>
      <c r="H26" s="431">
        <v>0</v>
      </c>
    </row>
    <row r="27" spans="1:8" x14ac:dyDescent="0.25">
      <c r="A27" s="1396" t="s">
        <v>1414</v>
      </c>
      <c r="B27" s="1397"/>
      <c r="C27" s="1293">
        <v>0</v>
      </c>
      <c r="D27" s="1294"/>
      <c r="E27" s="1293">
        <v>0</v>
      </c>
      <c r="F27" s="1294"/>
      <c r="G27" s="489">
        <v>0</v>
      </c>
      <c r="H27" s="427">
        <v>0</v>
      </c>
    </row>
    <row r="28" spans="1:8" x14ac:dyDescent="0.25">
      <c r="A28" s="1396" t="s">
        <v>1415</v>
      </c>
      <c r="B28" s="1397"/>
      <c r="C28" s="1293">
        <v>0</v>
      </c>
      <c r="D28" s="1294"/>
      <c r="E28" s="1293">
        <v>0</v>
      </c>
      <c r="F28" s="1294"/>
      <c r="G28" s="489">
        <v>0</v>
      </c>
      <c r="H28" s="427">
        <v>0</v>
      </c>
    </row>
    <row r="29" spans="1:8" x14ac:dyDescent="0.25">
      <c r="A29" s="1396" t="s">
        <v>1416</v>
      </c>
      <c r="B29" s="1397"/>
      <c r="C29" s="1293">
        <v>0</v>
      </c>
      <c r="D29" s="1294"/>
      <c r="E29" s="1293">
        <v>0</v>
      </c>
      <c r="F29" s="1294"/>
      <c r="G29" s="489">
        <v>0</v>
      </c>
      <c r="H29" s="427">
        <v>0</v>
      </c>
    </row>
    <row r="30" spans="1:8" x14ac:dyDescent="0.25">
      <c r="A30" s="1396" t="s">
        <v>1417</v>
      </c>
      <c r="B30" s="1397"/>
      <c r="C30" s="1293">
        <v>0</v>
      </c>
      <c r="D30" s="1294"/>
      <c r="E30" s="1293">
        <v>0</v>
      </c>
      <c r="F30" s="1294"/>
      <c r="G30" s="489">
        <v>0</v>
      </c>
      <c r="H30" s="427">
        <v>0</v>
      </c>
    </row>
    <row r="31" spans="1:8" x14ac:dyDescent="0.25">
      <c r="A31" s="1396" t="s">
        <v>1418</v>
      </c>
      <c r="B31" s="1397"/>
      <c r="C31" s="1293">
        <v>0</v>
      </c>
      <c r="D31" s="1294"/>
      <c r="E31" s="1293">
        <v>0</v>
      </c>
      <c r="F31" s="1294"/>
      <c r="G31" s="489">
        <v>0</v>
      </c>
      <c r="H31" s="427">
        <v>0</v>
      </c>
    </row>
    <row r="32" spans="1:8" x14ac:dyDescent="0.25">
      <c r="A32" s="1326" t="s">
        <v>1419</v>
      </c>
      <c r="B32" s="1328"/>
      <c r="C32" s="1293">
        <v>0</v>
      </c>
      <c r="D32" s="1294"/>
      <c r="E32" s="1293">
        <v>0</v>
      </c>
      <c r="F32" s="1294"/>
      <c r="G32" s="489">
        <v>0</v>
      </c>
      <c r="H32" s="427">
        <v>0</v>
      </c>
    </row>
    <row r="33" spans="1:8" ht="33.6" customHeight="1" x14ac:dyDescent="0.25">
      <c r="A33" s="1326" t="s">
        <v>1420</v>
      </c>
      <c r="B33" s="1328"/>
      <c r="C33" s="1293">
        <v>0</v>
      </c>
      <c r="D33" s="1294"/>
      <c r="E33" s="1293">
        <v>0</v>
      </c>
      <c r="F33" s="1294"/>
      <c r="G33" s="489">
        <v>0</v>
      </c>
      <c r="H33" s="427">
        <v>0</v>
      </c>
    </row>
    <row r="34" spans="1:8" ht="25.9" customHeight="1" x14ac:dyDescent="0.25">
      <c r="A34" s="1326" t="s">
        <v>1421</v>
      </c>
      <c r="B34" s="1328"/>
      <c r="C34" s="1293">
        <v>0</v>
      </c>
      <c r="D34" s="1294"/>
      <c r="E34" s="1293">
        <v>0</v>
      </c>
      <c r="F34" s="1294"/>
      <c r="G34" s="489">
        <v>0</v>
      </c>
      <c r="H34" s="427">
        <v>0</v>
      </c>
    </row>
    <row r="35" spans="1:8" x14ac:dyDescent="0.25">
      <c r="A35" s="1326" t="s">
        <v>1422</v>
      </c>
      <c r="B35" s="1328"/>
      <c r="C35" s="1293">
        <v>0</v>
      </c>
      <c r="D35" s="1294"/>
      <c r="E35" s="1293">
        <v>0</v>
      </c>
      <c r="F35" s="1294"/>
      <c r="G35" s="489">
        <v>0</v>
      </c>
      <c r="H35" s="427">
        <v>0</v>
      </c>
    </row>
    <row r="36" spans="1:8" x14ac:dyDescent="0.25">
      <c r="A36" s="1437" t="s">
        <v>1423</v>
      </c>
      <c r="B36" s="1346"/>
      <c r="C36" s="1353">
        <v>0</v>
      </c>
      <c r="D36" s="1354"/>
      <c r="E36" s="1353">
        <v>0</v>
      </c>
      <c r="F36" s="1354"/>
      <c r="G36" s="569">
        <v>0</v>
      </c>
      <c r="H36" s="431">
        <v>0</v>
      </c>
    </row>
    <row r="37" spans="1:8" x14ac:dyDescent="0.25">
      <c r="A37" s="1438"/>
      <c r="B37" s="1438"/>
      <c r="C37" s="1385"/>
      <c r="D37" s="1385"/>
      <c r="E37" s="1385"/>
      <c r="F37" s="1385"/>
      <c r="G37" s="1385"/>
      <c r="H37" s="1385"/>
    </row>
    <row r="38" spans="1:8" x14ac:dyDescent="0.25">
      <c r="A38" s="241" t="s">
        <v>908</v>
      </c>
      <c r="B38" s="241"/>
      <c r="C38" s="241"/>
      <c r="D38" s="241"/>
      <c r="E38" s="241"/>
      <c r="F38" s="241"/>
      <c r="G38" s="241"/>
      <c r="H38" s="241"/>
    </row>
    <row r="39" spans="1:8" x14ac:dyDescent="0.25">
      <c r="A39" s="1103"/>
      <c r="B39" s="1104"/>
      <c r="C39" s="1104"/>
      <c r="D39" s="1104"/>
      <c r="E39" s="1104"/>
      <c r="F39" s="1104"/>
      <c r="G39" s="1104"/>
      <c r="H39" s="1105"/>
    </row>
    <row r="40" spans="1:8" x14ac:dyDescent="0.25">
      <c r="A40" s="1106"/>
      <c r="B40" s="1107"/>
      <c r="C40" s="1107"/>
      <c r="D40" s="1107"/>
      <c r="E40" s="1107"/>
      <c r="F40" s="1107"/>
      <c r="G40" s="1107"/>
      <c r="H40" s="1108"/>
    </row>
    <row r="41" spans="1:8" x14ac:dyDescent="0.25">
      <c r="A41" s="1106"/>
      <c r="B41" s="1107"/>
      <c r="C41" s="1107"/>
      <c r="D41" s="1107"/>
      <c r="E41" s="1107"/>
      <c r="F41" s="1107"/>
      <c r="G41" s="1107"/>
      <c r="H41" s="1108"/>
    </row>
    <row r="42" spans="1:8" x14ac:dyDescent="0.25">
      <c r="A42" s="1106"/>
      <c r="B42" s="1107"/>
      <c r="C42" s="1107"/>
      <c r="D42" s="1107"/>
      <c r="E42" s="1107"/>
      <c r="F42" s="1107"/>
      <c r="G42" s="1107"/>
      <c r="H42" s="1108"/>
    </row>
    <row r="43" spans="1:8" x14ac:dyDescent="0.25">
      <c r="A43" s="1106"/>
      <c r="B43" s="1107"/>
      <c r="C43" s="1107"/>
      <c r="D43" s="1107"/>
      <c r="E43" s="1107"/>
      <c r="F43" s="1107"/>
      <c r="G43" s="1107"/>
      <c r="H43" s="1108"/>
    </row>
    <row r="44" spans="1:8" x14ac:dyDescent="0.25">
      <c r="A44" s="1106"/>
      <c r="B44" s="1107"/>
      <c r="C44" s="1107"/>
      <c r="D44" s="1107"/>
      <c r="E44" s="1107"/>
      <c r="F44" s="1107"/>
      <c r="G44" s="1107"/>
      <c r="H44" s="1108"/>
    </row>
    <row r="45" spans="1:8" x14ac:dyDescent="0.25">
      <c r="A45" s="1109"/>
      <c r="B45" s="1110"/>
      <c r="C45" s="1110"/>
      <c r="D45" s="1110"/>
      <c r="E45" s="1110"/>
      <c r="F45" s="1110"/>
      <c r="G45" s="1110"/>
      <c r="H45" s="1111"/>
    </row>
  </sheetData>
  <mergeCells count="85">
    <mergeCell ref="B2:H2"/>
    <mergeCell ref="B3:H3"/>
    <mergeCell ref="B4:H4"/>
    <mergeCell ref="B5:H5"/>
    <mergeCell ref="B6:C6"/>
    <mergeCell ref="D6:E6"/>
    <mergeCell ref="G16:H16"/>
    <mergeCell ref="C17:D17"/>
    <mergeCell ref="B7:D7"/>
    <mergeCell ref="B8:H8"/>
    <mergeCell ref="B9:H9"/>
    <mergeCell ref="B10:D10"/>
    <mergeCell ref="E10:F10"/>
    <mergeCell ref="G10:H10"/>
    <mergeCell ref="B11:D11"/>
    <mergeCell ref="E11:F11"/>
    <mergeCell ref="G11:H11"/>
    <mergeCell ref="A13:H13"/>
    <mergeCell ref="A14:H14"/>
    <mergeCell ref="E17:F17"/>
    <mergeCell ref="A16:B17"/>
    <mergeCell ref="C16:D16"/>
    <mergeCell ref="E16:F16"/>
    <mergeCell ref="A20:B20"/>
    <mergeCell ref="C20:D20"/>
    <mergeCell ref="E20:F20"/>
    <mergeCell ref="A21:B21"/>
    <mergeCell ref="C21:D21"/>
    <mergeCell ref="E21:F21"/>
    <mergeCell ref="A18:B18"/>
    <mergeCell ref="C18:D18"/>
    <mergeCell ref="E18:F18"/>
    <mergeCell ref="A19:B19"/>
    <mergeCell ref="C19:D19"/>
    <mergeCell ref="E19:F19"/>
    <mergeCell ref="A22:B22"/>
    <mergeCell ref="C22:D22"/>
    <mergeCell ref="E22:F22"/>
    <mergeCell ref="A23:B23"/>
    <mergeCell ref="C23:D23"/>
    <mergeCell ref="E23:F23"/>
    <mergeCell ref="A24:B24"/>
    <mergeCell ref="C24:D24"/>
    <mergeCell ref="E24:F24"/>
    <mergeCell ref="A25:B25"/>
    <mergeCell ref="C25:D25"/>
    <mergeCell ref="E25:F25"/>
    <mergeCell ref="A26:B26"/>
    <mergeCell ref="C26:D26"/>
    <mergeCell ref="E26:F26"/>
    <mergeCell ref="A27:B27"/>
    <mergeCell ref="C27:D27"/>
    <mergeCell ref="E27:F27"/>
    <mergeCell ref="A28:B28"/>
    <mergeCell ref="C28:D28"/>
    <mergeCell ref="E28:F28"/>
    <mergeCell ref="A29:B29"/>
    <mergeCell ref="C29:D29"/>
    <mergeCell ref="E29:F29"/>
    <mergeCell ref="A30:B30"/>
    <mergeCell ref="C30:D30"/>
    <mergeCell ref="E30:F30"/>
    <mergeCell ref="A31:B31"/>
    <mergeCell ref="C31:D31"/>
    <mergeCell ref="E31:F31"/>
    <mergeCell ref="A32:B32"/>
    <mergeCell ref="C32:D32"/>
    <mergeCell ref="E32:F32"/>
    <mergeCell ref="A33:B33"/>
    <mergeCell ref="C33:D33"/>
    <mergeCell ref="E33:F33"/>
    <mergeCell ref="A34:B34"/>
    <mergeCell ref="C34:D34"/>
    <mergeCell ref="E34:F34"/>
    <mergeCell ref="A35:B35"/>
    <mergeCell ref="C35:D35"/>
    <mergeCell ref="E35:F35"/>
    <mergeCell ref="G37:H37"/>
    <mergeCell ref="A39:H45"/>
    <mergeCell ref="A36:B36"/>
    <mergeCell ref="C36:D36"/>
    <mergeCell ref="E36:F36"/>
    <mergeCell ref="A37:B37"/>
    <mergeCell ref="C37:D37"/>
    <mergeCell ref="E37:F37"/>
  </mergeCells>
  <pageMargins left="0.7" right="0.7" top="0.75" bottom="0.75" header="0.3" footer="0.3"/>
  <drawing r:id="rId1"/>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977738-443D-4E22-9FF1-91EA782491E0}">
  <dimension ref="A2:H49"/>
  <sheetViews>
    <sheetView workbookViewId="0">
      <selection activeCell="D14" sqref="A1:XFD1048576"/>
    </sheetView>
  </sheetViews>
  <sheetFormatPr baseColWidth="10" defaultRowHeight="15" x14ac:dyDescent="0.25"/>
  <cols>
    <col min="1" max="1" width="26" customWidth="1"/>
    <col min="2" max="2" width="21.7109375" customWidth="1"/>
    <col min="3" max="3" width="8.7109375" customWidth="1"/>
    <col min="4" max="4" width="13.7109375" customWidth="1"/>
    <col min="5" max="5" width="6.28515625" customWidth="1"/>
    <col min="6" max="6" width="20.5703125" customWidth="1"/>
    <col min="7" max="7" width="16.5703125" customWidth="1"/>
    <col min="8" max="8" width="8" customWidth="1"/>
  </cols>
  <sheetData>
    <row r="2" spans="1:8" x14ac:dyDescent="0.25">
      <c r="A2" s="237" t="s">
        <v>464</v>
      </c>
      <c r="B2" s="958" t="s">
        <v>2</v>
      </c>
      <c r="C2" s="958"/>
      <c r="D2" s="958"/>
      <c r="E2" s="958"/>
      <c r="F2" s="958"/>
      <c r="G2" s="958"/>
      <c r="H2" s="958"/>
    </row>
    <row r="3" spans="1:8" x14ac:dyDescent="0.25">
      <c r="A3" s="237"/>
      <c r="B3" s="957" t="s">
        <v>4</v>
      </c>
      <c r="C3" s="957"/>
      <c r="D3" s="957"/>
      <c r="E3" s="957"/>
      <c r="F3" s="957"/>
      <c r="G3" s="957"/>
      <c r="H3" s="957"/>
    </row>
    <row r="4" spans="1:8" x14ac:dyDescent="0.25">
      <c r="A4" s="237" t="s">
        <v>362</v>
      </c>
      <c r="B4" s="957" t="s">
        <v>6</v>
      </c>
      <c r="C4" s="957"/>
      <c r="D4" s="957"/>
      <c r="E4" s="957"/>
      <c r="F4" s="957"/>
      <c r="G4" s="957"/>
      <c r="H4" s="957"/>
    </row>
    <row r="5" spans="1:8" x14ac:dyDescent="0.25">
      <c r="A5" s="237" t="s">
        <v>363</v>
      </c>
      <c r="B5" s="957">
        <v>4431</v>
      </c>
      <c r="C5" s="957"/>
      <c r="D5" s="957"/>
      <c r="E5" s="957"/>
      <c r="F5" s="957"/>
      <c r="G5" s="957"/>
      <c r="H5" s="957"/>
    </row>
    <row r="6" spans="1:8" x14ac:dyDescent="0.25">
      <c r="A6" s="237" t="s">
        <v>364</v>
      </c>
      <c r="B6" s="957" t="s">
        <v>12</v>
      </c>
      <c r="C6" s="957"/>
      <c r="D6" s="959" t="s">
        <v>365</v>
      </c>
      <c r="E6" s="959"/>
      <c r="F6" s="309">
        <v>46022</v>
      </c>
      <c r="G6" s="46" t="s">
        <v>465</v>
      </c>
      <c r="H6" s="235">
        <v>12</v>
      </c>
    </row>
    <row r="7" spans="1:8" x14ac:dyDescent="0.25">
      <c r="A7" s="311" t="s">
        <v>367</v>
      </c>
      <c r="B7" s="958" t="s">
        <v>8</v>
      </c>
      <c r="C7" s="958"/>
      <c r="D7" s="958"/>
      <c r="E7" s="199"/>
      <c r="F7" s="199"/>
      <c r="G7" s="199"/>
      <c r="H7" s="199"/>
    </row>
    <row r="8" spans="1:8" x14ac:dyDescent="0.25">
      <c r="A8" s="238" t="s">
        <v>466</v>
      </c>
      <c r="B8" s="958" t="s">
        <v>34</v>
      </c>
      <c r="C8" s="958"/>
      <c r="D8" s="958"/>
      <c r="E8" s="958"/>
      <c r="F8" s="958"/>
      <c r="G8" s="958"/>
      <c r="H8" s="958"/>
    </row>
    <row r="9" spans="1:8" x14ac:dyDescent="0.25">
      <c r="A9" s="238"/>
      <c r="B9" s="957">
        <v>555555</v>
      </c>
      <c r="C9" s="957"/>
      <c r="D9" s="957"/>
      <c r="E9" s="957"/>
      <c r="F9" s="957"/>
      <c r="G9" s="957"/>
      <c r="H9" s="957"/>
    </row>
    <row r="10" spans="1:8" x14ac:dyDescent="0.25">
      <c r="A10" s="238" t="s">
        <v>467</v>
      </c>
      <c r="B10" s="957" t="s">
        <v>38</v>
      </c>
      <c r="C10" s="957"/>
      <c r="D10" s="957"/>
      <c r="E10" s="959" t="s">
        <v>468</v>
      </c>
      <c r="F10" s="959"/>
      <c r="G10" s="957" t="s">
        <v>36</v>
      </c>
      <c r="H10" s="957"/>
    </row>
    <row r="11" spans="1:8" x14ac:dyDescent="0.25">
      <c r="A11" s="238" t="s">
        <v>469</v>
      </c>
      <c r="B11" s="954">
        <v>44713</v>
      </c>
      <c r="C11" s="954"/>
      <c r="D11" s="954"/>
      <c r="E11" s="975" t="s">
        <v>470</v>
      </c>
      <c r="F11" s="975"/>
      <c r="G11" s="954">
        <v>45991</v>
      </c>
      <c r="H11" s="954"/>
    </row>
    <row r="12" spans="1:8" ht="8.4499999999999993" customHeight="1" x14ac:dyDescent="0.25"/>
    <row r="13" spans="1:8" x14ac:dyDescent="0.25">
      <c r="A13" s="788" t="s">
        <v>1424</v>
      </c>
      <c r="B13" s="788"/>
      <c r="C13" s="788"/>
      <c r="D13" s="788"/>
      <c r="E13" s="788"/>
      <c r="F13" s="788"/>
      <c r="G13" s="788"/>
      <c r="H13" s="788"/>
    </row>
    <row r="14" spans="1:8" x14ac:dyDescent="0.25">
      <c r="A14" s="788" t="s">
        <v>1425</v>
      </c>
      <c r="B14" s="788"/>
      <c r="C14" s="788"/>
      <c r="D14" s="788"/>
      <c r="E14" s="788"/>
      <c r="F14" s="788"/>
      <c r="G14" s="788"/>
      <c r="H14" s="788"/>
    </row>
    <row r="15" spans="1:8" ht="8.4499999999999993" customHeight="1" x14ac:dyDescent="0.25">
      <c r="A15" s="484"/>
      <c r="B15" s="484"/>
      <c r="C15" s="484"/>
      <c r="D15" s="484"/>
      <c r="E15" s="484"/>
      <c r="F15" s="484"/>
      <c r="G15" s="484"/>
      <c r="H15" s="484"/>
    </row>
    <row r="16" spans="1:8" ht="14.45" customHeight="1" x14ac:dyDescent="0.25">
      <c r="A16" s="1379" t="s">
        <v>988</v>
      </c>
      <c r="B16" s="1379"/>
      <c r="C16" s="988" t="s">
        <v>989</v>
      </c>
      <c r="D16" s="988"/>
      <c r="E16" s="988" t="s">
        <v>989</v>
      </c>
      <c r="F16" s="988"/>
      <c r="G16" s="1435" t="s">
        <v>1056</v>
      </c>
      <c r="H16" s="1436"/>
    </row>
    <row r="17" spans="1:8" x14ac:dyDescent="0.25">
      <c r="A17" s="1379"/>
      <c r="B17" s="1379"/>
      <c r="C17" s="1378">
        <v>46022</v>
      </c>
      <c r="D17" s="1378"/>
      <c r="E17" s="1378">
        <v>46022</v>
      </c>
      <c r="F17" s="1378"/>
      <c r="G17" s="485" t="s">
        <v>1009</v>
      </c>
      <c r="H17" s="485" t="s">
        <v>1034</v>
      </c>
    </row>
    <row r="18" spans="1:8" x14ac:dyDescent="0.25">
      <c r="A18" s="1455" t="s">
        <v>1426</v>
      </c>
      <c r="B18" s="1456"/>
      <c r="C18" s="1456"/>
      <c r="D18" s="1456"/>
      <c r="E18" s="1456"/>
      <c r="F18" s="1456"/>
      <c r="G18" s="1456"/>
      <c r="H18" s="1457"/>
    </row>
    <row r="19" spans="1:8" x14ac:dyDescent="0.25">
      <c r="A19" s="1458" t="s">
        <v>1427</v>
      </c>
      <c r="B19" s="1459"/>
      <c r="C19" s="1459"/>
      <c r="D19" s="1459"/>
      <c r="E19" s="1459"/>
      <c r="F19" s="1459"/>
      <c r="G19" s="1459"/>
      <c r="H19" s="1460"/>
    </row>
    <row r="20" spans="1:8" x14ac:dyDescent="0.25">
      <c r="A20" s="1396" t="s">
        <v>1428</v>
      </c>
      <c r="B20" s="1397"/>
      <c r="C20" s="1444"/>
      <c r="D20" s="1445"/>
      <c r="E20" s="1444"/>
      <c r="F20" s="1445"/>
      <c r="G20" s="570">
        <f>C20-E20</f>
        <v>0</v>
      </c>
      <c r="H20" s="571">
        <f>IFERROR(((C20-E20)/E20),)</f>
        <v>0</v>
      </c>
    </row>
    <row r="21" spans="1:8" x14ac:dyDescent="0.25">
      <c r="A21" s="1321" t="s">
        <v>1429</v>
      </c>
      <c r="B21" s="1323"/>
      <c r="C21" s="1444"/>
      <c r="D21" s="1445"/>
      <c r="E21" s="1444"/>
      <c r="F21" s="1445"/>
      <c r="G21" s="570">
        <f t="shared" ref="G21:G25" si="0">C21-E21</f>
        <v>0</v>
      </c>
      <c r="H21" s="571">
        <f t="shared" ref="H21:H25" si="1">IFERROR(((C21-E21)/E21),)</f>
        <v>0</v>
      </c>
    </row>
    <row r="22" spans="1:8" x14ac:dyDescent="0.25">
      <c r="A22" s="1321" t="s">
        <v>1430</v>
      </c>
      <c r="B22" s="1323"/>
      <c r="C22" s="1444"/>
      <c r="D22" s="1445"/>
      <c r="E22" s="1444"/>
      <c r="F22" s="1445"/>
      <c r="G22" s="570">
        <f t="shared" si="0"/>
        <v>0</v>
      </c>
      <c r="H22" s="571">
        <f t="shared" si="1"/>
        <v>0</v>
      </c>
    </row>
    <row r="23" spans="1:8" x14ac:dyDescent="0.25">
      <c r="A23" s="1321" t="s">
        <v>1431</v>
      </c>
      <c r="B23" s="1323"/>
      <c r="C23" s="1444"/>
      <c r="D23" s="1445"/>
      <c r="E23" s="1444"/>
      <c r="F23" s="1445"/>
      <c r="G23" s="570">
        <f t="shared" si="0"/>
        <v>0</v>
      </c>
      <c r="H23" s="571">
        <f t="shared" si="1"/>
        <v>0</v>
      </c>
    </row>
    <row r="24" spans="1:8" ht="30.6" customHeight="1" x14ac:dyDescent="0.25">
      <c r="A24" s="1326" t="s">
        <v>1432</v>
      </c>
      <c r="B24" s="1328"/>
      <c r="C24" s="1444"/>
      <c r="D24" s="1445"/>
      <c r="E24" s="1444"/>
      <c r="F24" s="1445"/>
      <c r="G24" s="570">
        <f t="shared" si="0"/>
        <v>0</v>
      </c>
      <c r="H24" s="571">
        <f t="shared" si="1"/>
        <v>0</v>
      </c>
    </row>
    <row r="25" spans="1:8" ht="30.6" customHeight="1" x14ac:dyDescent="0.25">
      <c r="A25" s="1326" t="s">
        <v>1433</v>
      </c>
      <c r="B25" s="1328"/>
      <c r="C25" s="1444"/>
      <c r="D25" s="1445"/>
      <c r="E25" s="1444"/>
      <c r="F25" s="1445"/>
      <c r="G25" s="570">
        <f t="shared" si="0"/>
        <v>0</v>
      </c>
      <c r="H25" s="571">
        <f t="shared" si="1"/>
        <v>0</v>
      </c>
    </row>
    <row r="26" spans="1:8" x14ac:dyDescent="0.25">
      <c r="A26" s="1450" t="s">
        <v>1434</v>
      </c>
      <c r="B26" s="1451"/>
      <c r="C26" s="1451"/>
      <c r="D26" s="1451"/>
      <c r="E26" s="1451"/>
      <c r="F26" s="1451"/>
      <c r="G26" s="1451"/>
      <c r="H26" s="1452"/>
    </row>
    <row r="27" spans="1:8" x14ac:dyDescent="0.25">
      <c r="A27" s="1453" t="s">
        <v>1435</v>
      </c>
      <c r="B27" s="1454"/>
      <c r="C27" s="1444"/>
      <c r="D27" s="1445"/>
      <c r="E27" s="1444"/>
      <c r="F27" s="1445"/>
      <c r="G27" s="570">
        <f>C27-E27</f>
        <v>0</v>
      </c>
      <c r="H27" s="571">
        <f t="shared" ref="H27:H40" si="2">IFERROR(((C27-E27)/E27),)</f>
        <v>0</v>
      </c>
    </row>
    <row r="28" spans="1:8" x14ac:dyDescent="0.25">
      <c r="A28" s="1453" t="s">
        <v>1436</v>
      </c>
      <c r="B28" s="1454"/>
      <c r="C28" s="1444"/>
      <c r="D28" s="1445"/>
      <c r="E28" s="1444"/>
      <c r="F28" s="1445"/>
      <c r="G28" s="570">
        <f t="shared" ref="G28:G40" si="3">C28-E28</f>
        <v>0</v>
      </c>
      <c r="H28" s="571">
        <f t="shared" si="2"/>
        <v>0</v>
      </c>
    </row>
    <row r="29" spans="1:8" x14ac:dyDescent="0.25">
      <c r="A29" s="1446" t="s">
        <v>1437</v>
      </c>
      <c r="B29" s="1447"/>
      <c r="C29" s="1448"/>
      <c r="D29" s="1449"/>
      <c r="E29" s="1448"/>
      <c r="F29" s="1449"/>
      <c r="G29" s="570">
        <f t="shared" si="3"/>
        <v>0</v>
      </c>
      <c r="H29" s="571">
        <f t="shared" si="2"/>
        <v>0</v>
      </c>
    </row>
    <row r="30" spans="1:8" x14ac:dyDescent="0.25">
      <c r="A30" s="1453" t="s">
        <v>1438</v>
      </c>
      <c r="B30" s="1454"/>
      <c r="C30" s="1444"/>
      <c r="D30" s="1445"/>
      <c r="E30" s="1444"/>
      <c r="F30" s="1445"/>
      <c r="G30" s="570">
        <f t="shared" si="3"/>
        <v>0</v>
      </c>
      <c r="H30" s="571">
        <f t="shared" si="2"/>
        <v>0</v>
      </c>
    </row>
    <row r="31" spans="1:8" x14ac:dyDescent="0.25">
      <c r="A31" s="1446" t="s">
        <v>1439</v>
      </c>
      <c r="B31" s="1447"/>
      <c r="C31" s="1448"/>
      <c r="D31" s="1449"/>
      <c r="E31" s="1448"/>
      <c r="F31" s="1449"/>
      <c r="G31" s="570">
        <f t="shared" si="3"/>
        <v>0</v>
      </c>
      <c r="H31" s="571">
        <f t="shared" si="2"/>
        <v>0</v>
      </c>
    </row>
    <row r="32" spans="1:8" x14ac:dyDescent="0.25">
      <c r="A32" s="1453" t="s">
        <v>1440</v>
      </c>
      <c r="B32" s="1454"/>
      <c r="C32" s="1444"/>
      <c r="D32" s="1445"/>
      <c r="E32" s="1444"/>
      <c r="F32" s="1445"/>
      <c r="G32" s="570">
        <f t="shared" si="3"/>
        <v>0</v>
      </c>
      <c r="H32" s="571">
        <f t="shared" si="2"/>
        <v>0</v>
      </c>
    </row>
    <row r="33" spans="1:8" x14ac:dyDescent="0.25">
      <c r="A33" s="1453" t="s">
        <v>1441</v>
      </c>
      <c r="B33" s="1454"/>
      <c r="C33" s="1444"/>
      <c r="D33" s="1445"/>
      <c r="E33" s="1444"/>
      <c r="F33" s="1445"/>
      <c r="G33" s="570">
        <f t="shared" si="3"/>
        <v>0</v>
      </c>
      <c r="H33" s="571">
        <f t="shared" si="2"/>
        <v>0</v>
      </c>
    </row>
    <row r="34" spans="1:8" x14ac:dyDescent="0.25">
      <c r="A34" s="1446" t="s">
        <v>1442</v>
      </c>
      <c r="B34" s="1447"/>
      <c r="C34" s="1448"/>
      <c r="D34" s="1449"/>
      <c r="E34" s="1448"/>
      <c r="F34" s="1449"/>
      <c r="G34" s="570">
        <f t="shared" si="3"/>
        <v>0</v>
      </c>
      <c r="H34" s="571">
        <f t="shared" si="2"/>
        <v>0</v>
      </c>
    </row>
    <row r="35" spans="1:8" x14ac:dyDescent="0.25">
      <c r="A35" s="1453" t="s">
        <v>1443</v>
      </c>
      <c r="B35" s="1454"/>
      <c r="C35" s="1444"/>
      <c r="D35" s="1445"/>
      <c r="E35" s="1444"/>
      <c r="F35" s="1445"/>
      <c r="G35" s="570">
        <f t="shared" si="3"/>
        <v>0</v>
      </c>
      <c r="H35" s="571">
        <f t="shared" si="2"/>
        <v>0</v>
      </c>
    </row>
    <row r="36" spans="1:8" x14ac:dyDescent="0.25">
      <c r="A36" s="1453" t="s">
        <v>1444</v>
      </c>
      <c r="B36" s="1454"/>
      <c r="C36" s="1444"/>
      <c r="D36" s="1445"/>
      <c r="E36" s="1444"/>
      <c r="F36" s="1445"/>
      <c r="G36" s="570">
        <f t="shared" si="3"/>
        <v>0</v>
      </c>
      <c r="H36" s="571">
        <f t="shared" si="2"/>
        <v>0</v>
      </c>
    </row>
    <row r="37" spans="1:8" x14ac:dyDescent="0.25">
      <c r="A37" s="1446" t="s">
        <v>1445</v>
      </c>
      <c r="B37" s="1447"/>
      <c r="C37" s="1448"/>
      <c r="D37" s="1449"/>
      <c r="E37" s="1448"/>
      <c r="F37" s="1449"/>
      <c r="G37" s="570">
        <f t="shared" si="3"/>
        <v>0</v>
      </c>
      <c r="H37" s="571">
        <f t="shared" si="2"/>
        <v>0</v>
      </c>
    </row>
    <row r="38" spans="1:8" x14ac:dyDescent="0.25">
      <c r="A38" s="1446" t="s">
        <v>1446</v>
      </c>
      <c r="B38" s="1447"/>
      <c r="C38" s="1448"/>
      <c r="D38" s="1449"/>
      <c r="E38" s="1448"/>
      <c r="F38" s="1449"/>
      <c r="G38" s="570">
        <f t="shared" si="3"/>
        <v>0</v>
      </c>
      <c r="H38" s="571">
        <f t="shared" si="2"/>
        <v>0</v>
      </c>
    </row>
    <row r="39" spans="1:8" x14ac:dyDescent="0.25">
      <c r="A39" s="1453" t="s">
        <v>1447</v>
      </c>
      <c r="B39" s="1454"/>
      <c r="C39" s="1444"/>
      <c r="D39" s="1445"/>
      <c r="E39" s="1444"/>
      <c r="F39" s="1445"/>
      <c r="G39" s="570">
        <f t="shared" si="3"/>
        <v>0</v>
      </c>
      <c r="H39" s="571">
        <f t="shared" si="2"/>
        <v>0</v>
      </c>
    </row>
    <row r="40" spans="1:8" ht="33.6" customHeight="1" x14ac:dyDescent="0.25">
      <c r="A40" s="1446" t="s">
        <v>1448</v>
      </c>
      <c r="B40" s="1447"/>
      <c r="C40" s="1448"/>
      <c r="D40" s="1449"/>
      <c r="E40" s="1448"/>
      <c r="F40" s="1449"/>
      <c r="G40" s="570">
        <f t="shared" si="3"/>
        <v>0</v>
      </c>
      <c r="H40" s="571">
        <f t="shared" si="2"/>
        <v>0</v>
      </c>
    </row>
    <row r="41" spans="1:8" ht="14.45" customHeight="1" x14ac:dyDescent="0.25">
      <c r="A41" s="1450" t="s">
        <v>1449</v>
      </c>
      <c r="B41" s="1451"/>
      <c r="C41" s="1451"/>
      <c r="D41" s="1451"/>
      <c r="E41" s="1451"/>
      <c r="F41" s="1451"/>
      <c r="G41" s="1451"/>
      <c r="H41" s="1452"/>
    </row>
    <row r="42" spans="1:8" ht="29.45" customHeight="1" x14ac:dyDescent="0.25">
      <c r="A42" s="1453" t="s">
        <v>1450</v>
      </c>
      <c r="B42" s="1454"/>
      <c r="C42" s="1444"/>
      <c r="D42" s="1445"/>
      <c r="E42" s="1444"/>
      <c r="F42" s="1445"/>
      <c r="G42" s="570">
        <f>C42-E42</f>
        <v>0</v>
      </c>
      <c r="H42" s="571">
        <f>IFERROR(((C42-E42)/E42),)</f>
        <v>0</v>
      </c>
    </row>
    <row r="43" spans="1:8" ht="14.45" customHeight="1" x14ac:dyDescent="0.25">
      <c r="A43" s="1450" t="s">
        <v>1451</v>
      </c>
      <c r="B43" s="1451"/>
      <c r="C43" s="1451"/>
      <c r="D43" s="1451"/>
      <c r="E43" s="1451"/>
      <c r="F43" s="1451"/>
      <c r="G43" s="1451"/>
      <c r="H43" s="1452"/>
    </row>
    <row r="44" spans="1:8" x14ac:dyDescent="0.25">
      <c r="A44" s="1453" t="s">
        <v>1452</v>
      </c>
      <c r="B44" s="1454"/>
      <c r="C44" s="1444"/>
      <c r="D44" s="1445"/>
      <c r="E44" s="1444"/>
      <c r="F44" s="1445"/>
      <c r="G44" s="570">
        <f>C44-E44</f>
        <v>0</v>
      </c>
      <c r="H44" s="571">
        <f t="shared" ref="H44:H47" si="4">IFERROR(((C44-E44)/E44),)</f>
        <v>0</v>
      </c>
    </row>
    <row r="45" spans="1:8" x14ac:dyDescent="0.25">
      <c r="A45" s="1453" t="s">
        <v>1453</v>
      </c>
      <c r="B45" s="1454"/>
      <c r="C45" s="1444"/>
      <c r="D45" s="1445"/>
      <c r="E45" s="1444"/>
      <c r="F45" s="1445"/>
      <c r="G45" s="570">
        <f t="shared" ref="G45:G47" si="5">C45-E45</f>
        <v>0</v>
      </c>
      <c r="H45" s="571">
        <f t="shared" si="4"/>
        <v>0</v>
      </c>
    </row>
    <row r="46" spans="1:8" x14ac:dyDescent="0.25">
      <c r="A46" s="1442" t="s">
        <v>1454</v>
      </c>
      <c r="B46" s="1443"/>
      <c r="C46" s="1444"/>
      <c r="D46" s="1445"/>
      <c r="E46" s="1444"/>
      <c r="F46" s="1445"/>
      <c r="G46" s="570">
        <f t="shared" si="5"/>
        <v>0</v>
      </c>
      <c r="H46" s="571">
        <f t="shared" si="4"/>
        <v>0</v>
      </c>
    </row>
    <row r="47" spans="1:8" ht="30.6" customHeight="1" x14ac:dyDescent="0.25">
      <c r="A47" s="1446" t="s">
        <v>1455</v>
      </c>
      <c r="B47" s="1447"/>
      <c r="C47" s="1448"/>
      <c r="D47" s="1449"/>
      <c r="E47" s="1448"/>
      <c r="F47" s="1449"/>
      <c r="G47" s="570">
        <f t="shared" si="5"/>
        <v>0</v>
      </c>
      <c r="H47" s="571">
        <f t="shared" si="4"/>
        <v>0</v>
      </c>
    </row>
    <row r="48" spans="1:8" x14ac:dyDescent="0.25">
      <c r="A48" s="1439"/>
      <c r="B48" s="1439"/>
      <c r="C48" s="1439"/>
      <c r="D48" s="1439"/>
      <c r="E48" s="1439"/>
      <c r="F48" s="1439"/>
      <c r="G48" s="1439"/>
      <c r="H48" s="1439"/>
    </row>
    <row r="49" spans="1:8" x14ac:dyDescent="0.25">
      <c r="A49" s="1440"/>
      <c r="B49" s="1440"/>
      <c r="C49" s="1441"/>
      <c r="D49" s="1441"/>
      <c r="E49" s="1441"/>
      <c r="F49" s="1441"/>
      <c r="G49" s="1441"/>
      <c r="H49" s="1441"/>
    </row>
  </sheetData>
  <mergeCells count="108">
    <mergeCell ref="B7:D7"/>
    <mergeCell ref="B8:H8"/>
    <mergeCell ref="B9:H9"/>
    <mergeCell ref="B10:D10"/>
    <mergeCell ref="E10:F10"/>
    <mergeCell ref="G10:H10"/>
    <mergeCell ref="B2:H2"/>
    <mergeCell ref="B3:H3"/>
    <mergeCell ref="B4:H4"/>
    <mergeCell ref="B5:H5"/>
    <mergeCell ref="B6:C6"/>
    <mergeCell ref="D6:E6"/>
    <mergeCell ref="B11:D11"/>
    <mergeCell ref="E11:F11"/>
    <mergeCell ref="G11:H11"/>
    <mergeCell ref="A13:H13"/>
    <mergeCell ref="A14:H14"/>
    <mergeCell ref="A16:B17"/>
    <mergeCell ref="C16:D16"/>
    <mergeCell ref="E16:F16"/>
    <mergeCell ref="G16:H16"/>
    <mergeCell ref="C17:D17"/>
    <mergeCell ref="A21:B21"/>
    <mergeCell ref="C21:D21"/>
    <mergeCell ref="E21:F21"/>
    <mergeCell ref="A22:B22"/>
    <mergeCell ref="C22:D22"/>
    <mergeCell ref="E22:F22"/>
    <mergeCell ref="E17:F17"/>
    <mergeCell ref="A18:H18"/>
    <mergeCell ref="A19:H19"/>
    <mergeCell ref="A20:B20"/>
    <mergeCell ref="C20:D20"/>
    <mergeCell ref="E20:F20"/>
    <mergeCell ref="A25:B25"/>
    <mergeCell ref="C25:D25"/>
    <mergeCell ref="E25:F25"/>
    <mergeCell ref="A26:H26"/>
    <mergeCell ref="A27:B27"/>
    <mergeCell ref="C27:D27"/>
    <mergeCell ref="E27:F27"/>
    <mergeCell ref="A23:B23"/>
    <mergeCell ref="C23:D23"/>
    <mergeCell ref="E23:F23"/>
    <mergeCell ref="A24:B24"/>
    <mergeCell ref="C24:D24"/>
    <mergeCell ref="E24:F24"/>
    <mergeCell ref="A30:B30"/>
    <mergeCell ref="C30:D30"/>
    <mergeCell ref="E30:F30"/>
    <mergeCell ref="A31:B31"/>
    <mergeCell ref="C31:D31"/>
    <mergeCell ref="E31:F31"/>
    <mergeCell ref="A28:B28"/>
    <mergeCell ref="C28:D28"/>
    <mergeCell ref="E28:F28"/>
    <mergeCell ref="A29:B29"/>
    <mergeCell ref="C29:D29"/>
    <mergeCell ref="E29:F29"/>
    <mergeCell ref="A34:B34"/>
    <mergeCell ref="C34:D34"/>
    <mergeCell ref="E34:F34"/>
    <mergeCell ref="A35:B35"/>
    <mergeCell ref="C35:D35"/>
    <mergeCell ref="E35:F35"/>
    <mergeCell ref="A32:B32"/>
    <mergeCell ref="C32:D32"/>
    <mergeCell ref="E32:F32"/>
    <mergeCell ref="A33:B33"/>
    <mergeCell ref="C33:D33"/>
    <mergeCell ref="E33:F33"/>
    <mergeCell ref="A38:B38"/>
    <mergeCell ref="C38:D38"/>
    <mergeCell ref="E38:F38"/>
    <mergeCell ref="A39:B39"/>
    <mergeCell ref="C39:D39"/>
    <mergeCell ref="E39:F39"/>
    <mergeCell ref="A36:B36"/>
    <mergeCell ref="C36:D36"/>
    <mergeCell ref="E36:F36"/>
    <mergeCell ref="A37:B37"/>
    <mergeCell ref="C37:D37"/>
    <mergeCell ref="E37:F37"/>
    <mergeCell ref="A43:H43"/>
    <mergeCell ref="A44:B44"/>
    <mergeCell ref="C44:D44"/>
    <mergeCell ref="E44:F44"/>
    <mergeCell ref="A45:B45"/>
    <mergeCell ref="C45:D45"/>
    <mergeCell ref="E45:F45"/>
    <mergeCell ref="A40:B40"/>
    <mergeCell ref="C40:D40"/>
    <mergeCell ref="E40:F40"/>
    <mergeCell ref="A41:H41"/>
    <mergeCell ref="A42:B42"/>
    <mergeCell ref="C42:D42"/>
    <mergeCell ref="E42:F42"/>
    <mergeCell ref="A48:H48"/>
    <mergeCell ref="A49:B49"/>
    <mergeCell ref="C49:D49"/>
    <mergeCell ref="E49:F49"/>
    <mergeCell ref="G49:H49"/>
    <mergeCell ref="A46:B46"/>
    <mergeCell ref="C46:D46"/>
    <mergeCell ref="E46:F46"/>
    <mergeCell ref="A47:B47"/>
    <mergeCell ref="C47:D47"/>
    <mergeCell ref="E47:F47"/>
  </mergeCells>
  <pageMargins left="0.7" right="0.7" top="0.75" bottom="0.75" header="0.3" footer="0.3"/>
  <drawing r:id="rId1"/>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1E3E3F-37E6-4913-A5D4-9E57EC0DD884}">
  <dimension ref="A2:H32"/>
  <sheetViews>
    <sheetView workbookViewId="0">
      <selection activeCell="A16" sqref="A16:H16"/>
    </sheetView>
  </sheetViews>
  <sheetFormatPr baseColWidth="10" defaultRowHeight="15" x14ac:dyDescent="0.25"/>
  <cols>
    <col min="1" max="1" width="26" customWidth="1"/>
    <col min="2" max="2" width="27.28515625" customWidth="1"/>
    <col min="3" max="3" width="12.140625" customWidth="1"/>
    <col min="4" max="4" width="13.7109375" customWidth="1"/>
    <col min="5" max="5" width="9.28515625" customWidth="1"/>
    <col min="6" max="6" width="23.28515625" customWidth="1"/>
    <col min="7" max="7" width="16.5703125" customWidth="1"/>
    <col min="8" max="8" width="5.140625" customWidth="1"/>
  </cols>
  <sheetData>
    <row r="2" spans="1:8" x14ac:dyDescent="0.25">
      <c r="A2" s="237" t="s">
        <v>464</v>
      </c>
      <c r="B2" s="958" t="s">
        <v>2</v>
      </c>
      <c r="C2" s="958"/>
      <c r="D2" s="958"/>
      <c r="E2" s="958"/>
      <c r="F2" s="958"/>
      <c r="G2" s="958"/>
      <c r="H2" s="958"/>
    </row>
    <row r="3" spans="1:8" x14ac:dyDescent="0.25">
      <c r="A3" s="237"/>
      <c r="B3" s="957" t="s">
        <v>4</v>
      </c>
      <c r="C3" s="957"/>
      <c r="D3" s="957"/>
      <c r="E3" s="957"/>
      <c r="F3" s="957"/>
      <c r="G3" s="957"/>
      <c r="H3" s="957"/>
    </row>
    <row r="4" spans="1:8" x14ac:dyDescent="0.25">
      <c r="A4" s="237" t="s">
        <v>362</v>
      </c>
      <c r="B4" s="957" t="s">
        <v>6</v>
      </c>
      <c r="C4" s="957"/>
      <c r="D4" s="957"/>
      <c r="E4" s="957"/>
      <c r="F4" s="957"/>
      <c r="G4" s="957"/>
      <c r="H4" s="957"/>
    </row>
    <row r="5" spans="1:8" x14ac:dyDescent="0.25">
      <c r="A5" s="237" t="s">
        <v>363</v>
      </c>
      <c r="B5" s="957">
        <v>4431</v>
      </c>
      <c r="C5" s="957"/>
      <c r="D5" s="957"/>
      <c r="E5" s="957"/>
      <c r="F5" s="957"/>
      <c r="G5" s="957"/>
      <c r="H5" s="957"/>
    </row>
    <row r="6" spans="1:8" x14ac:dyDescent="0.25">
      <c r="A6" s="237" t="s">
        <v>364</v>
      </c>
      <c r="B6" s="957" t="s">
        <v>12</v>
      </c>
      <c r="C6" s="957"/>
      <c r="D6" s="959" t="s">
        <v>365</v>
      </c>
      <c r="E6" s="959"/>
      <c r="F6" s="309">
        <v>46022</v>
      </c>
      <c r="G6" s="46" t="s">
        <v>465</v>
      </c>
      <c r="H6" s="235">
        <v>12</v>
      </c>
    </row>
    <row r="7" spans="1:8" x14ac:dyDescent="0.25">
      <c r="A7" s="311" t="s">
        <v>367</v>
      </c>
      <c r="B7" s="958" t="s">
        <v>8</v>
      </c>
      <c r="C7" s="958"/>
      <c r="D7" s="958"/>
      <c r="E7" s="199"/>
      <c r="F7" s="199"/>
      <c r="G7" s="199"/>
      <c r="H7" s="199"/>
    </row>
    <row r="8" spans="1:8" x14ac:dyDescent="0.25">
      <c r="A8" s="238" t="s">
        <v>466</v>
      </c>
      <c r="B8" s="958" t="s">
        <v>34</v>
      </c>
      <c r="C8" s="958"/>
      <c r="D8" s="958"/>
      <c r="E8" s="958"/>
      <c r="F8" s="958"/>
      <c r="G8" s="958"/>
      <c r="H8" s="958"/>
    </row>
    <row r="9" spans="1:8" x14ac:dyDescent="0.25">
      <c r="A9" s="238"/>
      <c r="B9" s="957">
        <v>555555</v>
      </c>
      <c r="C9" s="957"/>
      <c r="D9" s="957"/>
      <c r="E9" s="957"/>
      <c r="F9" s="957"/>
      <c r="G9" s="957"/>
      <c r="H9" s="957"/>
    </row>
    <row r="10" spans="1:8" x14ac:dyDescent="0.25">
      <c r="A10" s="238" t="s">
        <v>467</v>
      </c>
      <c r="B10" s="957" t="s">
        <v>38</v>
      </c>
      <c r="C10" s="957"/>
      <c r="D10" s="957"/>
      <c r="E10" s="959" t="s">
        <v>468</v>
      </c>
      <c r="F10" s="959"/>
      <c r="G10" s="957" t="s">
        <v>36</v>
      </c>
      <c r="H10" s="957"/>
    </row>
    <row r="11" spans="1:8" x14ac:dyDescent="0.25">
      <c r="A11" s="238" t="s">
        <v>469</v>
      </c>
      <c r="B11" s="954">
        <v>44713</v>
      </c>
      <c r="C11" s="954"/>
      <c r="D11" s="954"/>
      <c r="E11" s="975" t="s">
        <v>470</v>
      </c>
      <c r="F11" s="975"/>
      <c r="G11" s="954">
        <v>45991</v>
      </c>
      <c r="H11" s="954"/>
    </row>
    <row r="12" spans="1:8" ht="6" customHeight="1" x14ac:dyDescent="0.25"/>
    <row r="13" spans="1:8" x14ac:dyDescent="0.25">
      <c r="A13" s="1475" t="s">
        <v>1456</v>
      </c>
      <c r="B13" s="1475"/>
      <c r="C13" s="1475"/>
      <c r="D13" s="1475"/>
      <c r="E13" s="1475"/>
      <c r="F13" s="1475"/>
      <c r="G13" s="1475"/>
      <c r="H13" s="1475"/>
    </row>
    <row r="14" spans="1:8" x14ac:dyDescent="0.25">
      <c r="A14" s="1475" t="s">
        <v>1457</v>
      </c>
      <c r="B14" s="1475"/>
      <c r="C14" s="1475"/>
      <c r="D14" s="1475"/>
      <c r="E14" s="1475"/>
      <c r="F14" s="1475"/>
      <c r="G14" s="1475"/>
      <c r="H14" s="1475"/>
    </row>
    <row r="15" spans="1:8" ht="6" customHeight="1" x14ac:dyDescent="0.25">
      <c r="A15" s="573"/>
      <c r="B15" s="573"/>
      <c r="C15" s="573"/>
      <c r="D15" s="573"/>
      <c r="E15" s="573"/>
      <c r="F15" s="573"/>
      <c r="G15" s="573"/>
      <c r="H15" s="573"/>
    </row>
    <row r="16" spans="1:8" x14ac:dyDescent="0.25">
      <c r="A16" s="1476" t="s">
        <v>1458</v>
      </c>
      <c r="B16" s="1476"/>
      <c r="C16" s="1476"/>
      <c r="D16" s="1476"/>
      <c r="E16" s="1476"/>
      <c r="F16" s="1476"/>
      <c r="G16" s="1476"/>
      <c r="H16" s="1476"/>
    </row>
    <row r="17" spans="1:8" x14ac:dyDescent="0.25">
      <c r="A17" s="1461" t="s">
        <v>1459</v>
      </c>
      <c r="B17" s="1462"/>
      <c r="C17" s="1462"/>
      <c r="D17" s="1462"/>
      <c r="E17" s="1462"/>
      <c r="F17" s="1462"/>
      <c r="G17" s="1462"/>
      <c r="H17" s="1463"/>
    </row>
    <row r="18" spans="1:8" ht="49.9" customHeight="1" x14ac:dyDescent="0.25">
      <c r="A18" s="1467" t="s">
        <v>1460</v>
      </c>
      <c r="B18" s="1468"/>
      <c r="C18" s="1468"/>
      <c r="D18" s="1468"/>
      <c r="E18" s="1468"/>
      <c r="F18" s="1468"/>
      <c r="G18" s="1468"/>
      <c r="H18" s="1469"/>
    </row>
    <row r="19" spans="1:8" ht="37.9" customHeight="1" x14ac:dyDescent="0.25">
      <c r="A19" s="1467" t="s">
        <v>1461</v>
      </c>
      <c r="B19" s="1468"/>
      <c r="C19" s="1468"/>
      <c r="D19" s="1468"/>
      <c r="E19" s="1468"/>
      <c r="F19" s="1468"/>
      <c r="G19" s="1468"/>
      <c r="H19" s="1469"/>
    </row>
    <row r="20" spans="1:8" ht="39" customHeight="1" x14ac:dyDescent="0.25">
      <c r="A20" s="1467" t="s">
        <v>1462</v>
      </c>
      <c r="B20" s="1468"/>
      <c r="C20" s="1468"/>
      <c r="D20" s="1468"/>
      <c r="E20" s="1468"/>
      <c r="F20" s="1468"/>
      <c r="G20" s="1468"/>
      <c r="H20" s="1469"/>
    </row>
    <row r="21" spans="1:8" ht="37.15" customHeight="1" x14ac:dyDescent="0.25">
      <c r="A21" s="1467" t="s">
        <v>1463</v>
      </c>
      <c r="B21" s="1468"/>
      <c r="C21" s="1468"/>
      <c r="D21" s="1468"/>
      <c r="E21" s="1468"/>
      <c r="F21" s="1468"/>
      <c r="G21" s="1468"/>
      <c r="H21" s="1469"/>
    </row>
    <row r="22" spans="1:8" ht="40.9" customHeight="1" x14ac:dyDescent="0.25">
      <c r="A22" s="1467" t="s">
        <v>1464</v>
      </c>
      <c r="B22" s="1468"/>
      <c r="C22" s="1468"/>
      <c r="D22" s="1468"/>
      <c r="E22" s="1468"/>
      <c r="F22" s="1468"/>
      <c r="G22" s="1468"/>
      <c r="H22" s="1469"/>
    </row>
    <row r="23" spans="1:8" x14ac:dyDescent="0.25">
      <c r="A23" s="1461" t="s">
        <v>1465</v>
      </c>
      <c r="B23" s="1462"/>
      <c r="C23" s="1462"/>
      <c r="D23" s="1462"/>
      <c r="E23" s="1462"/>
      <c r="F23" s="1462"/>
      <c r="G23" s="1462"/>
      <c r="H23" s="1463"/>
    </row>
    <row r="24" spans="1:8" ht="50.45" customHeight="1" x14ac:dyDescent="0.25">
      <c r="A24" s="1467" t="s">
        <v>1466</v>
      </c>
      <c r="B24" s="1468"/>
      <c r="C24" s="1468"/>
      <c r="D24" s="1468"/>
      <c r="E24" s="1468"/>
      <c r="F24" s="1468"/>
      <c r="G24" s="1468"/>
      <c r="H24" s="1469"/>
    </row>
    <row r="25" spans="1:8" ht="50.45" customHeight="1" x14ac:dyDescent="0.25">
      <c r="A25" s="1467" t="s">
        <v>1467</v>
      </c>
      <c r="B25" s="1468"/>
      <c r="C25" s="1468"/>
      <c r="D25" s="1468"/>
      <c r="E25" s="1468"/>
      <c r="F25" s="1468"/>
      <c r="G25" s="1468"/>
      <c r="H25" s="1469"/>
    </row>
    <row r="26" spans="1:8" ht="50.45" customHeight="1" x14ac:dyDescent="0.25">
      <c r="A26" s="1470" t="s">
        <v>1468</v>
      </c>
      <c r="B26" s="1471"/>
      <c r="C26" s="1471"/>
      <c r="D26" s="1471"/>
      <c r="E26" s="1471"/>
      <c r="F26" s="1471"/>
      <c r="G26" s="1471"/>
      <c r="H26" s="1472"/>
    </row>
    <row r="27" spans="1:8" ht="26.45" customHeight="1" x14ac:dyDescent="0.25">
      <c r="A27" s="1470" t="s">
        <v>1469</v>
      </c>
      <c r="B27" s="1473"/>
      <c r="C27" s="1473"/>
      <c r="D27" s="1473"/>
      <c r="E27" s="1473"/>
      <c r="F27" s="1473"/>
      <c r="G27" s="1473"/>
      <c r="H27" s="1474"/>
    </row>
    <row r="28" spans="1:8" ht="27" customHeight="1" x14ac:dyDescent="0.25">
      <c r="A28" s="1464" t="s">
        <v>1470</v>
      </c>
      <c r="B28" s="1465"/>
      <c r="C28" s="1465"/>
      <c r="D28" s="1465"/>
      <c r="E28" s="1465"/>
      <c r="F28" s="1465"/>
      <c r="G28" s="1465"/>
      <c r="H28" s="1466"/>
    </row>
    <row r="29" spans="1:8" x14ac:dyDescent="0.25">
      <c r="A29" s="1461" t="s">
        <v>1471</v>
      </c>
      <c r="B29" s="1462"/>
      <c r="C29" s="1462"/>
      <c r="D29" s="1462"/>
      <c r="E29" s="1462"/>
      <c r="F29" s="1462"/>
      <c r="G29" s="1462"/>
      <c r="H29" s="1463"/>
    </row>
    <row r="30" spans="1:8" ht="39.6" customHeight="1" x14ac:dyDescent="0.25">
      <c r="A30" s="1464" t="s">
        <v>1472</v>
      </c>
      <c r="B30" s="1465"/>
      <c r="C30" s="1465"/>
      <c r="D30" s="1465"/>
      <c r="E30" s="1465"/>
      <c r="F30" s="1465"/>
      <c r="G30" s="1465"/>
      <c r="H30" s="1466"/>
    </row>
    <row r="31" spans="1:8" ht="37.9" customHeight="1" x14ac:dyDescent="0.25">
      <c r="A31" s="1464" t="s">
        <v>1473</v>
      </c>
      <c r="B31" s="1465"/>
      <c r="C31" s="1465"/>
      <c r="D31" s="1465"/>
      <c r="E31" s="1465"/>
      <c r="F31" s="1465"/>
      <c r="G31" s="1465"/>
      <c r="H31" s="1466"/>
    </row>
    <row r="32" spans="1:8" ht="26.45" customHeight="1" x14ac:dyDescent="0.25">
      <c r="A32" s="1464" t="s">
        <v>1474</v>
      </c>
      <c r="B32" s="1465"/>
      <c r="C32" s="1465"/>
      <c r="D32" s="1465"/>
      <c r="E32" s="1465"/>
      <c r="F32" s="1465"/>
      <c r="G32" s="1465"/>
      <c r="H32" s="1466"/>
    </row>
  </sheetData>
  <mergeCells count="34">
    <mergeCell ref="B2:H2"/>
    <mergeCell ref="B3:H3"/>
    <mergeCell ref="B4:H4"/>
    <mergeCell ref="B5:H5"/>
    <mergeCell ref="B6:C6"/>
    <mergeCell ref="D6:E6"/>
    <mergeCell ref="B7:D7"/>
    <mergeCell ref="B8:H8"/>
    <mergeCell ref="B9:H9"/>
    <mergeCell ref="B10:D10"/>
    <mergeCell ref="E10:F10"/>
    <mergeCell ref="G10:H10"/>
    <mergeCell ref="A22:H22"/>
    <mergeCell ref="B11:D11"/>
    <mergeCell ref="E11:F11"/>
    <mergeCell ref="G11:H11"/>
    <mergeCell ref="A13:H13"/>
    <mergeCell ref="A14:H14"/>
    <mergeCell ref="A16:H16"/>
    <mergeCell ref="A17:H17"/>
    <mergeCell ref="A18:H18"/>
    <mergeCell ref="A19:H19"/>
    <mergeCell ref="A20:H20"/>
    <mergeCell ref="A21:H21"/>
    <mergeCell ref="A29:H29"/>
    <mergeCell ref="A30:H30"/>
    <mergeCell ref="A31:H31"/>
    <mergeCell ref="A32:H32"/>
    <mergeCell ref="A23:H23"/>
    <mergeCell ref="A24:H24"/>
    <mergeCell ref="A25:H25"/>
    <mergeCell ref="A26:H26"/>
    <mergeCell ref="A27:H27"/>
    <mergeCell ref="A28:H28"/>
  </mergeCells>
  <pageMargins left="0.7" right="0.7" top="0.75" bottom="0.75" header="0.3" footer="0.3"/>
  <drawing r:id="rId1"/>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1FFDD8-EDE4-463E-A6A2-DDCD408BA4AE}">
  <dimension ref="A2:H40"/>
  <sheetViews>
    <sheetView topLeftCell="H1" workbookViewId="0">
      <selection activeCell="K10" sqref="K10"/>
    </sheetView>
  </sheetViews>
  <sheetFormatPr baseColWidth="10" defaultRowHeight="15" x14ac:dyDescent="0.25"/>
  <cols>
    <col min="1" max="1" width="26" customWidth="1"/>
    <col min="2" max="2" width="27.28515625" customWidth="1"/>
    <col min="3" max="3" width="12.140625" customWidth="1"/>
    <col min="4" max="4" width="13.7109375" customWidth="1"/>
    <col min="5" max="5" width="13.140625" customWidth="1"/>
    <col min="6" max="6" width="19.7109375" customWidth="1"/>
    <col min="7" max="7" width="16.5703125" customWidth="1"/>
    <col min="8" max="8" width="13.5703125" customWidth="1"/>
  </cols>
  <sheetData>
    <row r="2" spans="1:8" x14ac:dyDescent="0.25">
      <c r="A2" s="237" t="s">
        <v>464</v>
      </c>
      <c r="B2" s="958" t="s">
        <v>2</v>
      </c>
      <c r="C2" s="958"/>
      <c r="D2" s="958"/>
      <c r="E2" s="958"/>
      <c r="F2" s="958"/>
      <c r="G2" s="958"/>
      <c r="H2" s="958"/>
    </row>
    <row r="3" spans="1:8" x14ac:dyDescent="0.25">
      <c r="A3" s="237"/>
      <c r="B3" s="957" t="s">
        <v>4</v>
      </c>
      <c r="C3" s="957"/>
      <c r="D3" s="957"/>
      <c r="E3" s="957"/>
      <c r="F3" s="957"/>
      <c r="G3" s="957"/>
      <c r="H3" s="957"/>
    </row>
    <row r="4" spans="1:8" x14ac:dyDescent="0.25">
      <c r="A4" s="237" t="s">
        <v>362</v>
      </c>
      <c r="B4" s="957" t="s">
        <v>6</v>
      </c>
      <c r="C4" s="957"/>
      <c r="D4" s="957"/>
      <c r="E4" s="957"/>
      <c r="F4" s="957"/>
      <c r="G4" s="957"/>
      <c r="H4" s="957"/>
    </row>
    <row r="5" spans="1:8" x14ac:dyDescent="0.25">
      <c r="A5" s="237" t="s">
        <v>363</v>
      </c>
      <c r="B5" s="957">
        <v>4431</v>
      </c>
      <c r="C5" s="957"/>
      <c r="D5" s="957"/>
      <c r="E5" s="957"/>
      <c r="F5" s="957"/>
      <c r="G5" s="957"/>
      <c r="H5" s="957"/>
    </row>
    <row r="6" spans="1:8" x14ac:dyDescent="0.25">
      <c r="A6" s="237" t="s">
        <v>364</v>
      </c>
      <c r="B6" s="957" t="s">
        <v>12</v>
      </c>
      <c r="C6" s="957"/>
      <c r="D6" s="959" t="s">
        <v>365</v>
      </c>
      <c r="E6" s="959"/>
      <c r="F6" s="309">
        <v>46022</v>
      </c>
      <c r="G6" s="46" t="s">
        <v>465</v>
      </c>
      <c r="H6" s="235">
        <v>12</v>
      </c>
    </row>
    <row r="7" spans="1:8" x14ac:dyDescent="0.25">
      <c r="A7" s="311" t="s">
        <v>367</v>
      </c>
      <c r="B7" s="958" t="s">
        <v>8</v>
      </c>
      <c r="C7" s="958"/>
      <c r="D7" s="958"/>
      <c r="E7" s="199"/>
      <c r="F7" s="199"/>
      <c r="G7" s="199"/>
      <c r="H7" s="199"/>
    </row>
    <row r="8" spans="1:8" x14ac:dyDescent="0.25">
      <c r="A8" s="238" t="s">
        <v>466</v>
      </c>
      <c r="B8" s="958" t="s">
        <v>34</v>
      </c>
      <c r="C8" s="958"/>
      <c r="D8" s="958"/>
      <c r="E8" s="958"/>
      <c r="F8" s="958"/>
      <c r="G8" s="958"/>
      <c r="H8" s="958"/>
    </row>
    <row r="9" spans="1:8" x14ac:dyDescent="0.25">
      <c r="A9" s="238"/>
      <c r="B9" s="957">
        <v>555555</v>
      </c>
      <c r="C9" s="957"/>
      <c r="D9" s="957"/>
      <c r="E9" s="957"/>
      <c r="F9" s="957"/>
      <c r="G9" s="957"/>
      <c r="H9" s="957"/>
    </row>
    <row r="10" spans="1:8" x14ac:dyDescent="0.25">
      <c r="A10" s="238" t="s">
        <v>467</v>
      </c>
      <c r="B10" s="957" t="s">
        <v>38</v>
      </c>
      <c r="C10" s="957"/>
      <c r="D10" s="957"/>
      <c r="E10" s="959" t="s">
        <v>468</v>
      </c>
      <c r="F10" s="959"/>
      <c r="G10" s="957" t="s">
        <v>36</v>
      </c>
      <c r="H10" s="957"/>
    </row>
    <row r="11" spans="1:8" x14ac:dyDescent="0.25">
      <c r="A11" s="238" t="s">
        <v>469</v>
      </c>
      <c r="B11" s="954">
        <v>44713</v>
      </c>
      <c r="C11" s="954"/>
      <c r="D11" s="954"/>
      <c r="E11" s="975" t="s">
        <v>470</v>
      </c>
      <c r="F11" s="975"/>
      <c r="G11" s="954">
        <v>45991</v>
      </c>
      <c r="H11" s="954"/>
    </row>
    <row r="12" spans="1:8" ht="5.45" customHeight="1" x14ac:dyDescent="0.25"/>
    <row r="13" spans="1:8" x14ac:dyDescent="0.25">
      <c r="A13" s="788" t="s">
        <v>1475</v>
      </c>
      <c r="B13" s="788"/>
      <c r="C13" s="788"/>
      <c r="D13" s="788"/>
      <c r="E13" s="788"/>
      <c r="F13" s="788"/>
      <c r="G13" s="788"/>
      <c r="H13" s="788"/>
    </row>
    <row r="14" spans="1:8" x14ac:dyDescent="0.25">
      <c r="A14" s="788" t="s">
        <v>1476</v>
      </c>
      <c r="B14" s="788"/>
      <c r="C14" s="788"/>
      <c r="D14" s="788"/>
      <c r="E14" s="788"/>
      <c r="F14" s="788"/>
      <c r="G14" s="788"/>
      <c r="H14" s="788"/>
    </row>
    <row r="15" spans="1:8" ht="8.4499999999999993" customHeight="1" x14ac:dyDescent="0.25">
      <c r="A15" s="197"/>
      <c r="B15" s="197"/>
      <c r="C15" s="197"/>
      <c r="D15" s="197"/>
      <c r="E15" s="197"/>
      <c r="F15" s="197"/>
      <c r="G15" s="197"/>
      <c r="H15" s="197"/>
    </row>
    <row r="16" spans="1:8" x14ac:dyDescent="0.25">
      <c r="A16" s="788" t="s">
        <v>1477</v>
      </c>
      <c r="B16" s="788"/>
      <c r="C16" s="788"/>
      <c r="D16" s="788"/>
      <c r="E16" s="788"/>
      <c r="F16" s="788"/>
      <c r="G16" s="788"/>
      <c r="H16" s="788"/>
    </row>
    <row r="17" spans="1:8" ht="12.6" customHeight="1" x14ac:dyDescent="0.25">
      <c r="A17" s="484"/>
      <c r="B17" s="484"/>
      <c r="C17" s="484"/>
      <c r="D17" s="484"/>
      <c r="E17" s="484"/>
      <c r="F17" s="484"/>
      <c r="G17" s="484"/>
      <c r="H17" s="484"/>
    </row>
    <row r="18" spans="1:8" ht="25.5" x14ac:dyDescent="0.25">
      <c r="A18" s="1374" t="s">
        <v>1478</v>
      </c>
      <c r="B18" s="1374" t="s">
        <v>1479</v>
      </c>
      <c r="C18" s="574" t="s">
        <v>1480</v>
      </c>
      <c r="D18" s="574" t="s">
        <v>1481</v>
      </c>
      <c r="E18" s="574" t="s">
        <v>1482</v>
      </c>
      <c r="F18" s="574" t="s">
        <v>1483</v>
      </c>
      <c r="G18" s="574" t="s">
        <v>1484</v>
      </c>
      <c r="H18" s="574" t="s">
        <v>1485</v>
      </c>
    </row>
    <row r="19" spans="1:8" x14ac:dyDescent="0.25">
      <c r="A19" s="1374"/>
      <c r="B19" s="1374"/>
      <c r="C19" s="574">
        <v>1</v>
      </c>
      <c r="D19" s="574">
        <v>2</v>
      </c>
      <c r="E19" s="574">
        <v>3</v>
      </c>
      <c r="F19" s="574" t="s">
        <v>1486</v>
      </c>
      <c r="G19" s="574" t="s">
        <v>1487</v>
      </c>
      <c r="H19" s="575" t="s">
        <v>1488</v>
      </c>
    </row>
    <row r="20" spans="1:8" x14ac:dyDescent="0.25">
      <c r="A20" s="408"/>
      <c r="B20" s="408"/>
      <c r="C20" s="410"/>
      <c r="D20" s="410"/>
      <c r="E20" s="410"/>
      <c r="F20" s="410"/>
      <c r="G20" s="410"/>
      <c r="H20" s="576"/>
    </row>
    <row r="21" spans="1:8" x14ac:dyDescent="0.25">
      <c r="A21" s="408"/>
      <c r="B21" s="408"/>
      <c r="C21" s="410"/>
      <c r="D21" s="410"/>
      <c r="E21" s="410"/>
      <c r="F21" s="410"/>
      <c r="G21" s="410"/>
      <c r="H21" s="576"/>
    </row>
    <row r="22" spans="1:8" x14ac:dyDescent="0.25">
      <c r="A22" s="408"/>
      <c r="B22" s="408"/>
      <c r="C22" s="410"/>
      <c r="D22" s="410"/>
      <c r="E22" s="410"/>
      <c r="F22" s="410"/>
      <c r="G22" s="410"/>
      <c r="H22" s="576"/>
    </row>
    <row r="23" spans="1:8" x14ac:dyDescent="0.25">
      <c r="A23" s="408"/>
      <c r="B23" s="408"/>
      <c r="C23" s="410"/>
      <c r="D23" s="410"/>
      <c r="E23" s="410"/>
      <c r="F23" s="410"/>
      <c r="G23" s="410"/>
      <c r="H23" s="576"/>
    </row>
    <row r="24" spans="1:8" x14ac:dyDescent="0.25">
      <c r="A24" s="408"/>
      <c r="B24" s="408"/>
      <c r="C24" s="410"/>
      <c r="D24" s="410"/>
      <c r="E24" s="410"/>
      <c r="F24" s="410"/>
      <c r="G24" s="410"/>
      <c r="H24" s="576"/>
    </row>
    <row r="25" spans="1:8" x14ac:dyDescent="0.25">
      <c r="A25" s="408"/>
      <c r="B25" s="408"/>
      <c r="C25" s="410"/>
      <c r="D25" s="410"/>
      <c r="E25" s="410"/>
      <c r="F25" s="410"/>
      <c r="G25" s="410"/>
      <c r="H25" s="576"/>
    </row>
    <row r="26" spans="1:8" x14ac:dyDescent="0.25">
      <c r="A26" s="408"/>
      <c r="B26" s="408"/>
      <c r="C26" s="410"/>
      <c r="D26" s="410"/>
      <c r="E26" s="410"/>
      <c r="F26" s="410"/>
      <c r="G26" s="410"/>
      <c r="H26" s="576"/>
    </row>
    <row r="27" spans="1:8" x14ac:dyDescent="0.25">
      <c r="A27" s="408"/>
      <c r="B27" s="408"/>
      <c r="C27" s="410"/>
      <c r="D27" s="410"/>
      <c r="E27" s="410"/>
      <c r="F27" s="410"/>
      <c r="G27" s="410"/>
      <c r="H27" s="576"/>
    </row>
    <row r="28" spans="1:8" x14ac:dyDescent="0.25">
      <c r="A28" s="408"/>
      <c r="B28" s="408"/>
      <c r="C28" s="410"/>
      <c r="D28" s="410"/>
      <c r="E28" s="410"/>
      <c r="F28" s="410"/>
      <c r="G28" s="410"/>
      <c r="H28" s="576"/>
    </row>
    <row r="29" spans="1:8" x14ac:dyDescent="0.25">
      <c r="A29" s="408"/>
      <c r="B29" s="408"/>
      <c r="C29" s="410"/>
      <c r="D29" s="410"/>
      <c r="E29" s="410"/>
      <c r="F29" s="410"/>
      <c r="G29" s="410"/>
      <c r="H29" s="576"/>
    </row>
    <row r="30" spans="1:8" x14ac:dyDescent="0.25">
      <c r="A30" s="408"/>
      <c r="B30" s="408"/>
      <c r="C30" s="410"/>
      <c r="D30" s="410"/>
      <c r="E30" s="410"/>
      <c r="F30" s="410"/>
      <c r="G30" s="410"/>
      <c r="H30" s="576"/>
    </row>
    <row r="31" spans="1:8" x14ac:dyDescent="0.25">
      <c r="A31" s="408"/>
      <c r="B31" s="408"/>
      <c r="C31" s="410"/>
      <c r="D31" s="410"/>
      <c r="E31" s="410"/>
      <c r="F31" s="410"/>
      <c r="G31" s="410"/>
      <c r="H31" s="576"/>
    </row>
    <row r="32" spans="1:8" x14ac:dyDescent="0.25">
      <c r="A32" s="408"/>
      <c r="B32" s="408"/>
      <c r="C32" s="410"/>
      <c r="D32" s="410"/>
      <c r="E32" s="410"/>
      <c r="F32" s="410"/>
      <c r="G32" s="410"/>
      <c r="H32" s="576"/>
    </row>
    <row r="33" spans="1:8" x14ac:dyDescent="0.25">
      <c r="A33" s="408"/>
      <c r="B33" s="408"/>
      <c r="C33" s="410"/>
      <c r="D33" s="410"/>
      <c r="E33" s="410"/>
      <c r="F33" s="410"/>
      <c r="G33" s="410"/>
      <c r="H33" s="576"/>
    </row>
    <row r="34" spans="1:8" x14ac:dyDescent="0.25">
      <c r="A34" s="408"/>
      <c r="B34" s="408"/>
      <c r="C34" s="410"/>
      <c r="D34" s="410"/>
      <c r="E34" s="410"/>
      <c r="F34" s="410"/>
      <c r="G34" s="410"/>
      <c r="H34" s="576"/>
    </row>
    <row r="35" spans="1:8" x14ac:dyDescent="0.25">
      <c r="A35" s="408"/>
      <c r="B35" s="408"/>
      <c r="C35" s="410"/>
      <c r="D35" s="410"/>
      <c r="E35" s="410"/>
      <c r="F35" s="410"/>
      <c r="G35" s="410"/>
      <c r="H35" s="576"/>
    </row>
    <row r="36" spans="1:8" x14ac:dyDescent="0.25">
      <c r="A36" s="408"/>
      <c r="B36" s="408"/>
      <c r="C36" s="410"/>
      <c r="D36" s="410"/>
      <c r="E36" s="410"/>
      <c r="F36" s="410"/>
      <c r="G36" s="410"/>
      <c r="H36" s="576"/>
    </row>
    <row r="37" spans="1:8" x14ac:dyDescent="0.25">
      <c r="A37" s="408"/>
      <c r="B37" s="408"/>
      <c r="C37" s="410"/>
      <c r="D37" s="410"/>
      <c r="E37" s="410"/>
      <c r="F37" s="410"/>
      <c r="G37" s="410"/>
      <c r="H37" s="576"/>
    </row>
    <row r="38" spans="1:8" x14ac:dyDescent="0.25">
      <c r="A38" s="408"/>
      <c r="B38" s="408"/>
      <c r="C38" s="410"/>
      <c r="D38" s="410"/>
      <c r="E38" s="410"/>
      <c r="F38" s="410"/>
      <c r="G38" s="410"/>
      <c r="H38" s="576"/>
    </row>
    <row r="39" spans="1:8" ht="5.45" customHeight="1" x14ac:dyDescent="0.25">
      <c r="A39" s="315"/>
      <c r="B39" s="315"/>
      <c r="C39" s="315"/>
      <c r="D39" s="315"/>
      <c r="E39" s="315"/>
      <c r="F39" s="315"/>
      <c r="G39" s="315"/>
      <c r="H39" s="315"/>
    </row>
    <row r="40" spans="1:8" x14ac:dyDescent="0.25">
      <c r="A40" s="463" t="s">
        <v>1489</v>
      </c>
      <c r="B40" s="315"/>
      <c r="C40" s="315"/>
      <c r="D40" s="315"/>
      <c r="E40" s="315"/>
      <c r="F40" s="315"/>
      <c r="G40" s="315"/>
      <c r="H40" s="315"/>
    </row>
  </sheetData>
  <mergeCells count="20">
    <mergeCell ref="B2:H2"/>
    <mergeCell ref="B3:H3"/>
    <mergeCell ref="B4:H4"/>
    <mergeCell ref="B5:H5"/>
    <mergeCell ref="B6:C6"/>
    <mergeCell ref="D6:E6"/>
    <mergeCell ref="B7:D7"/>
    <mergeCell ref="B8:H8"/>
    <mergeCell ref="B9:H9"/>
    <mergeCell ref="B10:D10"/>
    <mergeCell ref="E10:F10"/>
    <mergeCell ref="G10:H10"/>
    <mergeCell ref="A18:A19"/>
    <mergeCell ref="B18:B19"/>
    <mergeCell ref="B11:D11"/>
    <mergeCell ref="E11:F11"/>
    <mergeCell ref="G11:H11"/>
    <mergeCell ref="A13:H13"/>
    <mergeCell ref="A14:H14"/>
    <mergeCell ref="A16:H16"/>
  </mergeCells>
  <pageMargins left="0.7" right="0.7" top="0.75" bottom="0.75" header="0.3" footer="0.3"/>
  <drawing r:id="rId1"/>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A2FC36-7B69-4E62-B1FE-30C53BECA8B9}">
  <dimension ref="A1:F16"/>
  <sheetViews>
    <sheetView workbookViewId="0">
      <selection activeCell="B17" sqref="B17"/>
    </sheetView>
  </sheetViews>
  <sheetFormatPr baseColWidth="10" defaultColWidth="11.42578125" defaultRowHeight="13.15" customHeight="1" x14ac:dyDescent="0.25"/>
  <cols>
    <col min="1" max="1" width="38.42578125" style="481" customWidth="1"/>
    <col min="2" max="2" width="12.5703125" style="481" customWidth="1"/>
    <col min="3" max="3" width="7.7109375" style="481" customWidth="1"/>
    <col min="4" max="4" width="15.7109375" style="481" customWidth="1"/>
    <col min="5" max="5" width="14.42578125" style="481" customWidth="1"/>
    <col min="6" max="6" width="14.140625" style="481" customWidth="1"/>
    <col min="7" max="7" width="14.28515625" style="481" customWidth="1"/>
    <col min="8" max="8" width="4.5703125" style="481" customWidth="1"/>
    <col min="9" max="16384" width="11.42578125" style="481"/>
  </cols>
  <sheetData>
    <row r="1" spans="1:6" ht="16.5" customHeight="1" x14ac:dyDescent="0.25">
      <c r="A1" s="1477" t="s">
        <v>1490</v>
      </c>
      <c r="B1" s="1478"/>
      <c r="C1" s="1478"/>
      <c r="D1" s="1478"/>
      <c r="E1" s="1478"/>
      <c r="F1" s="1478"/>
    </row>
    <row r="2" spans="1:6" ht="15" x14ac:dyDescent="0.25">
      <c r="A2" s="1478"/>
      <c r="B2" s="1478"/>
      <c r="C2" s="1478"/>
      <c r="D2" s="1478"/>
      <c r="E2" s="1478"/>
      <c r="F2" s="1478"/>
    </row>
    <row r="3" spans="1:6" ht="15" customHeight="1" x14ac:dyDescent="0.25">
      <c r="A3" s="1478"/>
      <c r="B3" s="1478"/>
      <c r="C3" s="1478"/>
      <c r="D3" s="1478"/>
      <c r="E3" s="1478"/>
      <c r="F3" s="1478"/>
    </row>
    <row r="4" spans="1:6" ht="15" x14ac:dyDescent="0.25">
      <c r="A4" s="1478"/>
      <c r="B4" s="1478"/>
      <c r="C4" s="1478"/>
      <c r="D4" s="1478"/>
      <c r="E4" s="1478"/>
      <c r="F4" s="1478"/>
    </row>
    <row r="5" spans="1:6" ht="15" customHeight="1" x14ac:dyDescent="0.25">
      <c r="A5" s="1478"/>
      <c r="B5" s="1478"/>
      <c r="C5" s="1478"/>
      <c r="D5" s="1478"/>
      <c r="E5" s="1478"/>
      <c r="F5" s="1478"/>
    </row>
    <row r="6" spans="1:6" ht="15" x14ac:dyDescent="0.25">
      <c r="A6" s="1478"/>
      <c r="B6" s="1478"/>
      <c r="C6" s="1478"/>
      <c r="D6" s="1478"/>
      <c r="E6" s="1478"/>
      <c r="F6" s="1478"/>
    </row>
    <row r="7" spans="1:6" ht="15" x14ac:dyDescent="0.25">
      <c r="A7" s="1478"/>
      <c r="B7" s="1478"/>
      <c r="C7" s="1478"/>
      <c r="D7" s="1478"/>
      <c r="E7" s="1478"/>
      <c r="F7" s="1478"/>
    </row>
    <row r="8" spans="1:6" ht="21.75" customHeight="1" x14ac:dyDescent="0.25">
      <c r="A8" s="1478"/>
      <c r="B8" s="1478"/>
      <c r="C8" s="1478"/>
      <c r="D8" s="1478"/>
      <c r="E8" s="1478"/>
      <c r="F8" s="1478"/>
    </row>
    <row r="9" spans="1:6" ht="6" customHeight="1" x14ac:dyDescent="0.25">
      <c r="A9" s="1478"/>
      <c r="B9" s="1478"/>
      <c r="C9" s="1478"/>
      <c r="D9" s="1478"/>
      <c r="E9" s="1478"/>
      <c r="F9" s="1478"/>
    </row>
    <row r="10" spans="1:6" ht="22.5" customHeight="1" x14ac:dyDescent="0.25">
      <c r="A10" s="1478"/>
      <c r="B10" s="1478"/>
      <c r="C10" s="1478"/>
      <c r="D10" s="1478"/>
      <c r="E10" s="1478"/>
      <c r="F10" s="1478"/>
    </row>
    <row r="11" spans="1:6" ht="5.25" customHeight="1" x14ac:dyDescent="0.25">
      <c r="A11" s="1478"/>
      <c r="B11" s="1478"/>
      <c r="C11" s="1478"/>
      <c r="D11" s="1478"/>
      <c r="E11" s="1478"/>
      <c r="F11" s="1478"/>
    </row>
    <row r="12" spans="1:6" ht="21.75" customHeight="1" x14ac:dyDescent="0.25">
      <c r="A12" s="1478"/>
      <c r="B12" s="1478"/>
      <c r="C12" s="1478"/>
      <c r="D12" s="1478"/>
      <c r="E12" s="1478"/>
      <c r="F12" s="1478"/>
    </row>
    <row r="13" spans="1:6" ht="22.5" customHeight="1" x14ac:dyDescent="0.25">
      <c r="A13" s="1478"/>
      <c r="B13" s="1478"/>
      <c r="C13" s="1478"/>
      <c r="D13" s="1478"/>
      <c r="E13" s="1478"/>
      <c r="F13" s="1478"/>
    </row>
    <row r="14" spans="1:6" ht="22.5" customHeight="1" x14ac:dyDescent="0.25">
      <c r="A14" s="1478"/>
      <c r="B14" s="1478"/>
      <c r="C14" s="1478"/>
      <c r="D14" s="1478"/>
      <c r="E14" s="1478"/>
      <c r="F14" s="1478"/>
    </row>
    <row r="15" spans="1:6" ht="14.25" customHeight="1" x14ac:dyDescent="0.25">
      <c r="A15" s="1478"/>
      <c r="B15" s="1478"/>
      <c r="C15" s="1478"/>
      <c r="D15" s="1478"/>
      <c r="E15" s="1478"/>
      <c r="F15" s="1478"/>
    </row>
    <row r="16" spans="1:6" ht="13.15" customHeight="1" x14ac:dyDescent="0.25">
      <c r="A16" s="1479"/>
      <c r="B16" s="1479"/>
      <c r="C16" s="1480"/>
      <c r="D16" s="1480"/>
      <c r="E16" s="1480"/>
      <c r="F16" s="1480"/>
    </row>
  </sheetData>
  <mergeCells count="4">
    <mergeCell ref="A1:F15"/>
    <mergeCell ref="A16:B16"/>
    <mergeCell ref="C16:D16"/>
    <mergeCell ref="E16:F16"/>
  </mergeCells>
  <pageMargins left="0.7" right="0.7" top="0.75" bottom="0.75" header="0.3" footer="0.3"/>
  <drawing r:id="rId1"/>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83FB4B-789B-4B83-BA8F-A02820454B95}">
  <dimension ref="A1:S40"/>
  <sheetViews>
    <sheetView workbookViewId="0">
      <selection sqref="A1:XFD1048576"/>
    </sheetView>
  </sheetViews>
  <sheetFormatPr baseColWidth="10" defaultColWidth="11.42578125" defaultRowHeight="13.15" customHeight="1" x14ac:dyDescent="0.2"/>
  <cols>
    <col min="1" max="1" width="19.140625" style="308" customWidth="1"/>
    <col min="2" max="2" width="12.7109375" style="308" customWidth="1"/>
    <col min="3" max="3" width="14.5703125" style="308" customWidth="1"/>
    <col min="4" max="4" width="8.5703125" style="308" customWidth="1"/>
    <col min="5" max="5" width="2" style="308" customWidth="1"/>
    <col min="6" max="6" width="17.42578125" style="308" customWidth="1"/>
    <col min="7" max="7" width="18.85546875" style="308" customWidth="1"/>
    <col min="8" max="8" width="6.85546875" style="308" customWidth="1"/>
    <col min="9" max="9" width="9.85546875" style="308" customWidth="1"/>
    <col min="10" max="10" width="8.42578125" style="308" customWidth="1"/>
    <col min="11" max="11" width="8.140625" style="308" customWidth="1"/>
    <col min="12" max="12" width="9.85546875" style="308" customWidth="1"/>
    <col min="13" max="18" width="11.42578125" style="308"/>
    <col min="19" max="19" width="17.42578125" style="308" customWidth="1"/>
    <col min="20" max="16384" width="11.42578125" style="308"/>
  </cols>
  <sheetData>
    <row r="1" spans="1:19" ht="14.25" x14ac:dyDescent="0.2">
      <c r="A1" s="1491"/>
      <c r="B1" s="1491"/>
      <c r="C1" s="1488"/>
      <c r="D1" s="1488"/>
      <c r="E1" s="1488"/>
      <c r="F1" s="1488"/>
      <c r="G1" s="1488"/>
      <c r="H1" s="1488"/>
      <c r="I1" s="1488"/>
      <c r="J1" s="1488"/>
    </row>
    <row r="2" spans="1:19" ht="14.25" x14ac:dyDescent="0.2">
      <c r="A2" s="199" t="s">
        <v>361</v>
      </c>
      <c r="B2" s="199"/>
      <c r="C2" s="958" t="s">
        <v>2</v>
      </c>
      <c r="D2" s="958"/>
      <c r="E2" s="958"/>
      <c r="F2" s="958"/>
      <c r="G2" s="958"/>
      <c r="H2" s="958"/>
      <c r="I2" s="958"/>
      <c r="J2" s="958"/>
    </row>
    <row r="3" spans="1:19" ht="14.25" x14ac:dyDescent="0.2">
      <c r="A3" s="199"/>
      <c r="B3" s="199"/>
      <c r="C3" s="957" t="s">
        <v>4</v>
      </c>
      <c r="D3" s="957"/>
      <c r="E3" s="957"/>
      <c r="F3" s="957"/>
      <c r="G3" s="957"/>
      <c r="H3" s="957"/>
      <c r="I3" s="957"/>
      <c r="J3" s="957"/>
    </row>
    <row r="4" spans="1:19" ht="14.25" x14ac:dyDescent="0.2">
      <c r="A4" s="199" t="s">
        <v>362</v>
      </c>
      <c r="B4" s="199"/>
      <c r="C4" s="957" t="s">
        <v>6</v>
      </c>
      <c r="D4" s="957"/>
      <c r="E4" s="957"/>
      <c r="F4" s="957"/>
      <c r="G4" s="957"/>
      <c r="H4" s="957"/>
      <c r="I4" s="957"/>
      <c r="J4" s="957"/>
    </row>
    <row r="5" spans="1:19" ht="14.25" x14ac:dyDescent="0.2">
      <c r="A5" s="199" t="s">
        <v>363</v>
      </c>
      <c r="B5" s="199"/>
      <c r="C5" s="1492">
        <v>4431</v>
      </c>
      <c r="D5" s="1492"/>
      <c r="E5" s="1492"/>
      <c r="F5" s="1492"/>
      <c r="G5" s="1492"/>
      <c r="H5" s="1492"/>
      <c r="I5" s="1492"/>
      <c r="J5" s="1492"/>
    </row>
    <row r="6" spans="1:19" ht="14.25" x14ac:dyDescent="0.2">
      <c r="A6" s="199" t="s">
        <v>364</v>
      </c>
      <c r="B6" s="199"/>
      <c r="C6" s="957" t="s">
        <v>12</v>
      </c>
      <c r="D6" s="957"/>
      <c r="E6" s="1490" t="s">
        <v>365</v>
      </c>
      <c r="F6" s="1490"/>
      <c r="G6" s="202">
        <v>46022</v>
      </c>
      <c r="H6" s="770" t="s">
        <v>465</v>
      </c>
      <c r="I6" s="770"/>
      <c r="J6" s="235">
        <v>12</v>
      </c>
    </row>
    <row r="7" spans="1:19" ht="14.25" x14ac:dyDescent="0.2">
      <c r="A7" s="198" t="s">
        <v>367</v>
      </c>
      <c r="B7" s="24"/>
      <c r="C7" s="1487" t="s">
        <v>8</v>
      </c>
      <c r="D7" s="1487"/>
      <c r="E7" s="1487"/>
      <c r="F7" s="1487"/>
      <c r="G7" s="1487"/>
      <c r="H7" s="1487"/>
      <c r="I7" s="1487"/>
      <c r="J7" s="1487"/>
    </row>
    <row r="8" spans="1:19" ht="14.25" x14ac:dyDescent="0.2">
      <c r="A8" s="199" t="s">
        <v>466</v>
      </c>
      <c r="B8" s="24"/>
      <c r="C8" s="959" t="s">
        <v>34</v>
      </c>
      <c r="D8" s="959"/>
      <c r="E8" s="959"/>
      <c r="F8" s="959"/>
      <c r="G8" s="959"/>
      <c r="H8" s="959"/>
      <c r="I8" s="959"/>
      <c r="J8" s="959"/>
    </row>
    <row r="9" spans="1:19" ht="14.25" x14ac:dyDescent="0.2">
      <c r="A9" s="199"/>
      <c r="B9" s="24"/>
      <c r="C9" s="770">
        <v>555555</v>
      </c>
      <c r="D9" s="770"/>
      <c r="E9" s="770"/>
      <c r="F9" s="770"/>
      <c r="G9" s="770"/>
      <c r="H9" s="770"/>
      <c r="I9" s="770"/>
      <c r="J9" s="770"/>
    </row>
    <row r="10" spans="1:19" ht="14.25" x14ac:dyDescent="0.2">
      <c r="A10" s="199" t="s">
        <v>467</v>
      </c>
      <c r="B10" s="24"/>
      <c r="C10" s="770" t="s">
        <v>38</v>
      </c>
      <c r="D10" s="770"/>
      <c r="E10" s="770"/>
      <c r="F10" s="770" t="s">
        <v>468</v>
      </c>
      <c r="G10" s="770"/>
      <c r="H10" s="770" t="s">
        <v>36</v>
      </c>
      <c r="I10" s="770"/>
      <c r="J10" s="770"/>
    </row>
    <row r="11" spans="1:19" ht="14.25" x14ac:dyDescent="0.2">
      <c r="A11" s="199" t="s">
        <v>469</v>
      </c>
      <c r="B11" s="24"/>
      <c r="C11" s="975">
        <v>44713</v>
      </c>
      <c r="D11" s="975"/>
      <c r="E11" s="975"/>
      <c r="F11" s="770" t="s">
        <v>470</v>
      </c>
      <c r="G11" s="770"/>
      <c r="H11" s="975">
        <v>45991</v>
      </c>
      <c r="I11" s="975"/>
      <c r="J11" s="975"/>
    </row>
    <row r="12" spans="1:19" ht="14.25" x14ac:dyDescent="0.2">
      <c r="A12" s="1488" t="s">
        <v>1491</v>
      </c>
      <c r="B12" s="1488"/>
      <c r="C12" s="1488"/>
      <c r="D12" s="1488"/>
      <c r="E12" s="1488"/>
      <c r="F12" s="1488"/>
      <c r="G12" s="1488"/>
      <c r="H12" s="1488"/>
      <c r="I12" s="1488"/>
      <c r="J12" s="1488"/>
    </row>
    <row r="13" spans="1:19" ht="14.25" x14ac:dyDescent="0.2">
      <c r="A13" s="24"/>
      <c r="B13" s="24"/>
      <c r="C13" s="24"/>
      <c r="D13" s="24"/>
      <c r="E13" s="24"/>
      <c r="F13" s="24"/>
      <c r="G13" s="24"/>
      <c r="H13" s="24"/>
      <c r="I13" s="24"/>
      <c r="J13" s="24"/>
    </row>
    <row r="14" spans="1:19" ht="14.25" x14ac:dyDescent="0.2">
      <c r="A14" s="577" t="s">
        <v>1492</v>
      </c>
      <c r="B14" s="1489" t="s">
        <v>721</v>
      </c>
      <c r="C14" s="1489"/>
      <c r="D14" s="1489"/>
      <c r="E14" s="1489"/>
      <c r="F14" s="1489"/>
      <c r="G14" s="1489"/>
      <c r="H14" s="1489"/>
      <c r="I14" s="577" t="s">
        <v>665</v>
      </c>
      <c r="J14" s="577" t="s">
        <v>722</v>
      </c>
    </row>
    <row r="15" spans="1:19" ht="14.25" x14ac:dyDescent="0.2">
      <c r="A15" s="578" t="s">
        <v>1493</v>
      </c>
      <c r="B15" s="1484" t="s">
        <v>1494</v>
      </c>
      <c r="C15" s="1485"/>
      <c r="D15" s="1485"/>
      <c r="E15" s="1485"/>
      <c r="F15" s="1485"/>
      <c r="G15" s="1485"/>
      <c r="H15" s="1486"/>
      <c r="I15" s="275" t="s">
        <v>726</v>
      </c>
      <c r="J15" s="275" t="s">
        <v>727</v>
      </c>
      <c r="R15" s="579"/>
      <c r="S15" s="28"/>
    </row>
    <row r="16" spans="1:19" ht="14.25" x14ac:dyDescent="0.2">
      <c r="A16" s="578" t="s">
        <v>1493</v>
      </c>
      <c r="B16" s="1484" t="s">
        <v>1495</v>
      </c>
      <c r="C16" s="1485"/>
      <c r="D16" s="1485"/>
      <c r="E16" s="1485"/>
      <c r="F16" s="1485"/>
      <c r="G16" s="1485"/>
      <c r="H16" s="1486"/>
      <c r="I16" s="275" t="s">
        <v>726</v>
      </c>
      <c r="J16" s="275" t="s">
        <v>727</v>
      </c>
      <c r="R16" s="579"/>
      <c r="S16" s="28"/>
    </row>
    <row r="17" spans="1:19" ht="14.25" x14ac:dyDescent="0.2">
      <c r="A17" s="578" t="s">
        <v>1493</v>
      </c>
      <c r="B17" s="1484" t="s">
        <v>1496</v>
      </c>
      <c r="C17" s="1485"/>
      <c r="D17" s="1485"/>
      <c r="E17" s="1485"/>
      <c r="F17" s="1485"/>
      <c r="G17" s="1485"/>
      <c r="H17" s="1486"/>
      <c r="I17" s="275" t="s">
        <v>726</v>
      </c>
      <c r="J17" s="275" t="s">
        <v>727</v>
      </c>
      <c r="R17" s="579"/>
      <c r="S17" s="28"/>
    </row>
    <row r="18" spans="1:19" ht="14.25" x14ac:dyDescent="0.2">
      <c r="A18" s="578" t="s">
        <v>1493</v>
      </c>
      <c r="B18" s="1484" t="s">
        <v>1497</v>
      </c>
      <c r="C18" s="1485"/>
      <c r="D18" s="1485"/>
      <c r="E18" s="1485"/>
      <c r="F18" s="1485"/>
      <c r="G18" s="1485"/>
      <c r="H18" s="1486"/>
      <c r="I18" s="275" t="s">
        <v>726</v>
      </c>
      <c r="J18" s="275" t="s">
        <v>727</v>
      </c>
      <c r="R18" s="579"/>
      <c r="S18" s="28"/>
    </row>
    <row r="19" spans="1:19" ht="14.25" x14ac:dyDescent="0.2">
      <c r="A19" s="578" t="s">
        <v>1498</v>
      </c>
      <c r="B19" s="1484" t="s">
        <v>1499</v>
      </c>
      <c r="C19" s="1485"/>
      <c r="D19" s="1485"/>
      <c r="E19" s="1485"/>
      <c r="F19" s="1485"/>
      <c r="G19" s="1485"/>
      <c r="H19" s="1486"/>
      <c r="I19" s="275" t="s">
        <v>726</v>
      </c>
      <c r="J19" s="275" t="s">
        <v>727</v>
      </c>
      <c r="R19" s="579"/>
      <c r="S19" s="28"/>
    </row>
    <row r="20" spans="1:19" ht="14.25" x14ac:dyDescent="0.2">
      <c r="A20" s="578" t="s">
        <v>1498</v>
      </c>
      <c r="B20" s="1484" t="s">
        <v>1500</v>
      </c>
      <c r="C20" s="1485"/>
      <c r="D20" s="1485"/>
      <c r="E20" s="1485"/>
      <c r="F20" s="1485"/>
      <c r="G20" s="1485"/>
      <c r="H20" s="1486"/>
      <c r="I20" s="275" t="s">
        <v>726</v>
      </c>
      <c r="J20" s="275" t="s">
        <v>727</v>
      </c>
      <c r="R20" s="579"/>
      <c r="S20" s="28"/>
    </row>
    <row r="21" spans="1:19" ht="14.25" x14ac:dyDescent="0.2">
      <c r="A21" s="578" t="s">
        <v>1501</v>
      </c>
      <c r="B21" s="1484" t="s">
        <v>1502</v>
      </c>
      <c r="C21" s="1485"/>
      <c r="D21" s="1485"/>
      <c r="E21" s="1485"/>
      <c r="F21" s="1485"/>
      <c r="G21" s="1485"/>
      <c r="H21" s="1486"/>
      <c r="I21" s="275" t="s">
        <v>726</v>
      </c>
      <c r="J21" s="275" t="s">
        <v>727</v>
      </c>
      <c r="R21" s="579"/>
      <c r="S21" s="28"/>
    </row>
    <row r="22" spans="1:19" ht="14.25" x14ac:dyDescent="0.2">
      <c r="A22" s="578" t="s">
        <v>1503</v>
      </c>
      <c r="B22" s="1484" t="s">
        <v>1504</v>
      </c>
      <c r="C22" s="1485"/>
      <c r="D22" s="1485"/>
      <c r="E22" s="1485"/>
      <c r="F22" s="1485"/>
      <c r="G22" s="1485"/>
      <c r="H22" s="1486"/>
      <c r="I22" s="275" t="s">
        <v>726</v>
      </c>
      <c r="J22" s="275" t="s">
        <v>727</v>
      </c>
      <c r="R22" s="579"/>
      <c r="S22" s="28"/>
    </row>
    <row r="23" spans="1:19" ht="14.25" x14ac:dyDescent="0.2">
      <c r="A23" s="578" t="s">
        <v>1505</v>
      </c>
      <c r="B23" s="1484" t="s">
        <v>1506</v>
      </c>
      <c r="C23" s="1485"/>
      <c r="D23" s="1485"/>
      <c r="E23" s="1485"/>
      <c r="F23" s="1485"/>
      <c r="G23" s="1485"/>
      <c r="H23" s="1486"/>
      <c r="I23" s="275" t="s">
        <v>726</v>
      </c>
      <c r="J23" s="275" t="s">
        <v>727</v>
      </c>
      <c r="R23" s="579"/>
      <c r="S23" s="28"/>
    </row>
    <row r="24" spans="1:19" ht="14.25" x14ac:dyDescent="0.2">
      <c r="A24" s="578" t="s">
        <v>1507</v>
      </c>
      <c r="B24" s="1484" t="s">
        <v>1508</v>
      </c>
      <c r="C24" s="1485"/>
      <c r="D24" s="1485"/>
      <c r="E24" s="1485"/>
      <c r="F24" s="1485"/>
      <c r="G24" s="1485"/>
      <c r="H24" s="1486"/>
      <c r="I24" s="275" t="s">
        <v>726</v>
      </c>
      <c r="J24" s="275" t="s">
        <v>727</v>
      </c>
      <c r="R24" s="579"/>
      <c r="S24" s="28"/>
    </row>
    <row r="25" spans="1:19" ht="14.25" x14ac:dyDescent="0.2">
      <c r="A25" s="578" t="s">
        <v>1509</v>
      </c>
      <c r="B25" s="1484" t="s">
        <v>1510</v>
      </c>
      <c r="C25" s="1485"/>
      <c r="D25" s="1485"/>
      <c r="E25" s="1485"/>
      <c r="F25" s="1485"/>
      <c r="G25" s="1485"/>
      <c r="H25" s="1486"/>
      <c r="I25" s="275" t="s">
        <v>726</v>
      </c>
      <c r="J25" s="275" t="s">
        <v>727</v>
      </c>
      <c r="R25" s="579"/>
      <c r="S25" s="28"/>
    </row>
    <row r="26" spans="1:19" ht="14.25" x14ac:dyDescent="0.2">
      <c r="A26" s="578" t="s">
        <v>1511</v>
      </c>
      <c r="B26" s="1484" t="s">
        <v>1512</v>
      </c>
      <c r="C26" s="1485"/>
      <c r="D26" s="1485"/>
      <c r="E26" s="1485"/>
      <c r="F26" s="1485"/>
      <c r="G26" s="1485"/>
      <c r="H26" s="1486"/>
      <c r="I26" s="275" t="s">
        <v>726</v>
      </c>
      <c r="J26" s="275" t="s">
        <v>727</v>
      </c>
      <c r="R26" s="579"/>
      <c r="S26" s="28"/>
    </row>
    <row r="27" spans="1:19" ht="14.25" x14ac:dyDescent="0.2">
      <c r="A27" s="578" t="s">
        <v>1513</v>
      </c>
      <c r="B27" s="1484" t="s">
        <v>1514</v>
      </c>
      <c r="C27" s="1485"/>
      <c r="D27" s="1485"/>
      <c r="E27" s="1485"/>
      <c r="F27" s="1485"/>
      <c r="G27" s="1485"/>
      <c r="H27" s="1486"/>
      <c r="I27" s="275" t="s">
        <v>726</v>
      </c>
      <c r="J27" s="275" t="s">
        <v>727</v>
      </c>
      <c r="R27" s="579"/>
      <c r="S27" s="28"/>
    </row>
    <row r="28" spans="1:19" ht="14.25" x14ac:dyDescent="0.2">
      <c r="A28" s="578" t="s">
        <v>1515</v>
      </c>
      <c r="B28" s="1484" t="s">
        <v>1516</v>
      </c>
      <c r="C28" s="1485"/>
      <c r="D28" s="1485"/>
      <c r="E28" s="1485"/>
      <c r="F28" s="1485"/>
      <c r="G28" s="1485"/>
      <c r="H28" s="1486"/>
      <c r="I28" s="275" t="s">
        <v>726</v>
      </c>
      <c r="J28" s="275" t="s">
        <v>727</v>
      </c>
      <c r="R28" s="579"/>
      <c r="S28" s="28"/>
    </row>
    <row r="29" spans="1:19" ht="14.25" x14ac:dyDescent="0.2">
      <c r="A29" s="578" t="s">
        <v>1517</v>
      </c>
      <c r="B29" s="1484" t="s">
        <v>1518</v>
      </c>
      <c r="C29" s="1485"/>
      <c r="D29" s="1485"/>
      <c r="E29" s="1485"/>
      <c r="F29" s="1485"/>
      <c r="G29" s="1485"/>
      <c r="H29" s="1486"/>
      <c r="I29" s="275" t="s">
        <v>726</v>
      </c>
      <c r="J29" s="275" t="s">
        <v>727</v>
      </c>
      <c r="R29" s="579"/>
      <c r="S29" s="28"/>
    </row>
    <row r="30" spans="1:19" ht="14.25" x14ac:dyDescent="0.2">
      <c r="A30" s="578" t="s">
        <v>1519</v>
      </c>
      <c r="B30" s="1481" t="s">
        <v>1520</v>
      </c>
      <c r="C30" s="1482"/>
      <c r="D30" s="1482"/>
      <c r="E30" s="1482"/>
      <c r="F30" s="1482"/>
      <c r="G30" s="1482"/>
      <c r="H30" s="1483"/>
      <c r="I30" s="275" t="s">
        <v>726</v>
      </c>
      <c r="J30" s="275" t="s">
        <v>727</v>
      </c>
      <c r="R30" s="579"/>
      <c r="S30" s="28"/>
    </row>
    <row r="31" spans="1:19" ht="14.25" x14ac:dyDescent="0.2">
      <c r="A31" s="578" t="s">
        <v>1521</v>
      </c>
      <c r="B31" s="1481" t="s">
        <v>1522</v>
      </c>
      <c r="C31" s="1482"/>
      <c r="D31" s="1482"/>
      <c r="E31" s="1482"/>
      <c r="F31" s="1482"/>
      <c r="G31" s="1482"/>
      <c r="H31" s="1483"/>
      <c r="I31" s="275" t="s">
        <v>726</v>
      </c>
      <c r="J31" s="275" t="s">
        <v>727</v>
      </c>
      <c r="R31" s="579"/>
      <c r="S31" s="28"/>
    </row>
    <row r="32" spans="1:19" ht="14.25" x14ac:dyDescent="0.2">
      <c r="A32" s="578" t="s">
        <v>1523</v>
      </c>
      <c r="B32" s="1481" t="s">
        <v>1524</v>
      </c>
      <c r="C32" s="1482"/>
      <c r="D32" s="1482"/>
      <c r="E32" s="1482"/>
      <c r="F32" s="1482"/>
      <c r="G32" s="1482"/>
      <c r="H32" s="1483"/>
      <c r="I32" s="275" t="s">
        <v>726</v>
      </c>
      <c r="J32" s="275" t="s">
        <v>727</v>
      </c>
      <c r="R32" s="579"/>
      <c r="S32" s="28"/>
    </row>
    <row r="33" spans="1:19" ht="14.25" x14ac:dyDescent="0.2">
      <c r="A33" s="578" t="s">
        <v>1525</v>
      </c>
      <c r="B33" s="1481" t="s">
        <v>1526</v>
      </c>
      <c r="C33" s="1482"/>
      <c r="D33" s="1482"/>
      <c r="E33" s="1482"/>
      <c r="F33" s="1482"/>
      <c r="G33" s="1482"/>
      <c r="H33" s="1483"/>
      <c r="I33" s="275" t="s">
        <v>726</v>
      </c>
      <c r="J33" s="275" t="s">
        <v>727</v>
      </c>
      <c r="R33" s="579"/>
      <c r="S33" s="28"/>
    </row>
    <row r="34" spans="1:19" ht="14.25" x14ac:dyDescent="0.2">
      <c r="A34" s="578" t="s">
        <v>1527</v>
      </c>
      <c r="B34" s="1481" t="s">
        <v>1528</v>
      </c>
      <c r="C34" s="1482"/>
      <c r="D34" s="1482"/>
      <c r="E34" s="1482"/>
      <c r="F34" s="1482"/>
      <c r="G34" s="1482"/>
      <c r="H34" s="1483"/>
      <c r="I34" s="275" t="s">
        <v>726</v>
      </c>
      <c r="J34" s="275" t="s">
        <v>727</v>
      </c>
      <c r="R34" s="579"/>
      <c r="S34" s="28"/>
    </row>
    <row r="35" spans="1:19" ht="14.25" x14ac:dyDescent="0.2">
      <c r="A35" s="578" t="s">
        <v>1529</v>
      </c>
      <c r="B35" s="1481" t="s">
        <v>1530</v>
      </c>
      <c r="C35" s="1482"/>
      <c r="D35" s="1482"/>
      <c r="E35" s="1482"/>
      <c r="F35" s="1482"/>
      <c r="G35" s="1482"/>
      <c r="H35" s="1483"/>
      <c r="I35" s="275" t="s">
        <v>726</v>
      </c>
      <c r="J35" s="275" t="s">
        <v>727</v>
      </c>
      <c r="R35" s="579"/>
      <c r="S35" s="28"/>
    </row>
    <row r="36" spans="1:19" ht="14.25" x14ac:dyDescent="0.2">
      <c r="A36" s="578" t="s">
        <v>1531</v>
      </c>
      <c r="B36" s="1481" t="s">
        <v>1532</v>
      </c>
      <c r="C36" s="1482"/>
      <c r="D36" s="1482"/>
      <c r="E36" s="1482"/>
      <c r="F36" s="1482"/>
      <c r="G36" s="1482"/>
      <c r="H36" s="1483"/>
      <c r="I36" s="275" t="s">
        <v>726</v>
      </c>
      <c r="J36" s="275" t="s">
        <v>727</v>
      </c>
      <c r="R36" s="579"/>
      <c r="S36" s="28"/>
    </row>
    <row r="37" spans="1:19" ht="14.25" x14ac:dyDescent="0.2">
      <c r="A37" s="24"/>
      <c r="B37" s="24"/>
      <c r="C37" s="24"/>
      <c r="D37" s="24"/>
      <c r="E37" s="24"/>
      <c r="F37" s="24"/>
      <c r="G37" s="24"/>
      <c r="H37" s="24"/>
      <c r="I37" s="24"/>
      <c r="J37" s="24"/>
      <c r="R37" s="579"/>
      <c r="S37" s="28"/>
    </row>
    <row r="38" spans="1:19" ht="14.25" x14ac:dyDescent="0.2">
      <c r="A38" s="580" t="s">
        <v>1533</v>
      </c>
      <c r="B38" s="580"/>
      <c r="C38" s="581"/>
      <c r="D38" s="24"/>
      <c r="E38" s="24"/>
      <c r="F38" s="24"/>
      <c r="G38" s="24"/>
      <c r="H38" s="24"/>
      <c r="I38" s="24"/>
      <c r="J38" s="24"/>
      <c r="R38" s="579"/>
      <c r="S38" s="28"/>
    </row>
    <row r="39" spans="1:19" ht="14.25" x14ac:dyDescent="0.2">
      <c r="R39" s="579"/>
      <c r="S39" s="28"/>
    </row>
    <row r="40" spans="1:19" ht="14.25" x14ac:dyDescent="0.2">
      <c r="R40" s="579"/>
      <c r="S40" s="28"/>
    </row>
  </sheetData>
  <mergeCells count="41">
    <mergeCell ref="C6:D6"/>
    <mergeCell ref="E6:F6"/>
    <mergeCell ref="H6:I6"/>
    <mergeCell ref="A1:J1"/>
    <mergeCell ref="C2:J2"/>
    <mergeCell ref="C3:J3"/>
    <mergeCell ref="C4:J4"/>
    <mergeCell ref="C5:J5"/>
    <mergeCell ref="B15:H15"/>
    <mergeCell ref="C7:J7"/>
    <mergeCell ref="C8:J8"/>
    <mergeCell ref="C9:J9"/>
    <mergeCell ref="C10:E10"/>
    <mergeCell ref="F10:G10"/>
    <mergeCell ref="H10:J10"/>
    <mergeCell ref="C11:E11"/>
    <mergeCell ref="F11:G11"/>
    <mergeCell ref="H11:J11"/>
    <mergeCell ref="A12:J12"/>
    <mergeCell ref="B14:H14"/>
    <mergeCell ref="B27:H27"/>
    <mergeCell ref="B16:H16"/>
    <mergeCell ref="B17:H17"/>
    <mergeCell ref="B18:H18"/>
    <mergeCell ref="B19:H19"/>
    <mergeCell ref="B20:H20"/>
    <mergeCell ref="B21:H21"/>
    <mergeCell ref="B22:H22"/>
    <mergeCell ref="B23:H23"/>
    <mergeCell ref="B24:H24"/>
    <mergeCell ref="B25:H25"/>
    <mergeCell ref="B26:H26"/>
    <mergeCell ref="B34:H34"/>
    <mergeCell ref="B35:H35"/>
    <mergeCell ref="B36:H36"/>
    <mergeCell ref="B28:H28"/>
    <mergeCell ref="B29:H29"/>
    <mergeCell ref="B30:H30"/>
    <mergeCell ref="B31:H31"/>
    <mergeCell ref="B32:H32"/>
    <mergeCell ref="B33:H33"/>
  </mergeCells>
  <pageMargins left="0.7" right="0.7" top="0.75" bottom="0.75" header="0.3" footer="0.3"/>
  <drawing r:id="rId1"/>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BB025C-889F-4653-BE30-047EF4EEBF7E}">
  <dimension ref="A1:J84"/>
  <sheetViews>
    <sheetView workbookViewId="0">
      <selection activeCell="E13" sqref="A1:XFD1048576"/>
    </sheetView>
  </sheetViews>
  <sheetFormatPr baseColWidth="10" defaultColWidth="11.42578125" defaultRowHeight="13.15" customHeight="1" x14ac:dyDescent="0.2"/>
  <cols>
    <col min="1" max="1" width="8.85546875" style="308" customWidth="1"/>
    <col min="2" max="2" width="21.5703125" style="308" customWidth="1"/>
    <col min="3" max="6" width="10" style="308" customWidth="1"/>
    <col min="7" max="7" width="16.140625" style="308" customWidth="1"/>
    <col min="8" max="8" width="14.42578125" style="308" customWidth="1"/>
    <col min="9" max="9" width="13.7109375" style="308" customWidth="1"/>
    <col min="10" max="10" width="6.28515625" style="308" customWidth="1"/>
    <col min="11" max="11" width="8.140625" style="308" customWidth="1"/>
    <col min="12" max="12" width="10.42578125" style="308" customWidth="1"/>
    <col min="13" max="16384" width="11.42578125" style="308"/>
  </cols>
  <sheetData>
    <row r="1" spans="1:10" ht="11.45" customHeight="1" x14ac:dyDescent="0.2">
      <c r="A1" s="1491"/>
      <c r="B1" s="1491"/>
      <c r="C1" s="1488"/>
      <c r="D1" s="1488"/>
      <c r="E1" s="1488"/>
      <c r="F1" s="1488"/>
      <c r="G1" s="1488"/>
      <c r="H1" s="1488"/>
      <c r="I1" s="1488"/>
      <c r="J1" s="1488"/>
    </row>
    <row r="2" spans="1:10" ht="14.25" x14ac:dyDescent="0.2">
      <c r="A2" s="199" t="s">
        <v>361</v>
      </c>
      <c r="B2" s="199"/>
      <c r="C2" s="1505" t="s">
        <v>2</v>
      </c>
      <c r="D2" s="958"/>
      <c r="E2" s="958"/>
      <c r="F2" s="958"/>
      <c r="G2" s="958"/>
      <c r="H2" s="958"/>
      <c r="I2" s="958"/>
      <c r="J2" s="958"/>
    </row>
    <row r="3" spans="1:10" ht="14.25" x14ac:dyDescent="0.2">
      <c r="A3" s="199"/>
      <c r="B3" s="199"/>
      <c r="C3" s="1506" t="s">
        <v>4</v>
      </c>
      <c r="D3" s="1506"/>
      <c r="E3" s="1506"/>
      <c r="F3" s="1506"/>
      <c r="G3" s="1506"/>
      <c r="H3" s="1506"/>
      <c r="I3" s="1506"/>
      <c r="J3" s="1506"/>
    </row>
    <row r="4" spans="1:10" ht="14.25" x14ac:dyDescent="0.2">
      <c r="A4" s="199" t="s">
        <v>362</v>
      </c>
      <c r="B4" s="199"/>
      <c r="C4" s="1506" t="s">
        <v>6</v>
      </c>
      <c r="D4" s="957"/>
      <c r="E4" s="957"/>
      <c r="F4" s="957"/>
      <c r="G4" s="957"/>
      <c r="H4" s="957"/>
      <c r="I4" s="957"/>
      <c r="J4" s="957"/>
    </row>
    <row r="5" spans="1:10" ht="15" customHeight="1" x14ac:dyDescent="0.2">
      <c r="A5" s="199" t="s">
        <v>363</v>
      </c>
      <c r="B5" s="199"/>
      <c r="C5" s="1492">
        <v>4431</v>
      </c>
      <c r="D5" s="1492"/>
      <c r="E5" s="1492"/>
      <c r="F5" s="1492"/>
      <c r="G5" s="1492"/>
      <c r="H5" s="1492"/>
      <c r="I5" s="1492"/>
      <c r="J5" s="1492"/>
    </row>
    <row r="6" spans="1:10" ht="14.25" x14ac:dyDescent="0.2">
      <c r="A6" s="199" t="s">
        <v>364</v>
      </c>
      <c r="B6" s="199"/>
      <c r="C6" s="957" t="s">
        <v>12</v>
      </c>
      <c r="D6" s="957"/>
      <c r="E6" s="1490" t="s">
        <v>365</v>
      </c>
      <c r="F6" s="1490"/>
      <c r="G6" s="202">
        <v>46022</v>
      </c>
      <c r="H6" s="770" t="s">
        <v>465</v>
      </c>
      <c r="I6" s="770"/>
      <c r="J6" s="235">
        <v>12</v>
      </c>
    </row>
    <row r="7" spans="1:10" ht="14.25" x14ac:dyDescent="0.2">
      <c r="A7" s="199" t="s">
        <v>367</v>
      </c>
      <c r="B7" s="199"/>
      <c r="C7" s="1487" t="s">
        <v>8</v>
      </c>
      <c r="D7" s="1487"/>
      <c r="E7" s="1487"/>
      <c r="F7" s="1487"/>
      <c r="G7" s="1487"/>
      <c r="H7" s="1487"/>
      <c r="I7" s="1487"/>
      <c r="J7" s="1487"/>
    </row>
    <row r="8" spans="1:10" ht="17.45" customHeight="1" x14ac:dyDescent="0.2">
      <c r="A8" s="199" t="s">
        <v>466</v>
      </c>
      <c r="B8" s="203"/>
      <c r="C8" s="959" t="s">
        <v>34</v>
      </c>
      <c r="D8" s="959"/>
      <c r="E8" s="959"/>
      <c r="F8" s="959"/>
      <c r="G8" s="959"/>
      <c r="H8" s="959"/>
      <c r="I8" s="959"/>
      <c r="J8" s="959"/>
    </row>
    <row r="9" spans="1:10" ht="14.25" x14ac:dyDescent="0.2">
      <c r="A9" s="198"/>
      <c r="B9" s="203"/>
      <c r="C9" s="770">
        <v>555555</v>
      </c>
      <c r="D9" s="770"/>
      <c r="E9" s="770"/>
      <c r="F9" s="770"/>
      <c r="G9" s="770"/>
      <c r="H9" s="770"/>
      <c r="I9" s="770"/>
      <c r="J9" s="770"/>
    </row>
    <row r="10" spans="1:10" ht="17.45" customHeight="1" x14ac:dyDescent="0.2">
      <c r="A10" s="199" t="s">
        <v>467</v>
      </c>
      <c r="B10" s="203"/>
      <c r="C10" s="770" t="s">
        <v>38</v>
      </c>
      <c r="D10" s="770"/>
      <c r="E10" s="770" t="s">
        <v>468</v>
      </c>
      <c r="F10" s="770"/>
      <c r="G10" s="770"/>
      <c r="H10" s="770" t="s">
        <v>36</v>
      </c>
      <c r="I10" s="770"/>
      <c r="J10" s="770"/>
    </row>
    <row r="11" spans="1:10" ht="17.45" customHeight="1" x14ac:dyDescent="0.2">
      <c r="A11" s="199" t="s">
        <v>469</v>
      </c>
      <c r="B11" s="203"/>
      <c r="C11" s="975">
        <v>44713</v>
      </c>
      <c r="D11" s="975"/>
      <c r="E11" s="770" t="s">
        <v>470</v>
      </c>
      <c r="F11" s="770"/>
      <c r="G11" s="770"/>
      <c r="H11" s="975">
        <v>45991</v>
      </c>
      <c r="I11" s="975"/>
      <c r="J11" s="975"/>
    </row>
    <row r="12" spans="1:10" ht="10.9" customHeight="1" thickBot="1" x14ac:dyDescent="0.25">
      <c r="A12" s="24"/>
      <c r="B12" s="24"/>
      <c r="C12" s="24"/>
      <c r="D12" s="24"/>
      <c r="E12" s="24"/>
      <c r="F12" s="24"/>
      <c r="G12" s="24"/>
      <c r="H12" s="24"/>
      <c r="I12" s="24"/>
      <c r="J12" s="24"/>
    </row>
    <row r="13" spans="1:10" ht="15" thickBot="1" x14ac:dyDescent="0.25">
      <c r="A13" s="1502" t="s">
        <v>1534</v>
      </c>
      <c r="B13" s="1503"/>
      <c r="C13" s="1503"/>
      <c r="D13" s="1503"/>
      <c r="E13" s="1503"/>
      <c r="F13" s="1503"/>
      <c r="G13" s="1503"/>
      <c r="H13" s="1503"/>
      <c r="I13" s="1503"/>
      <c r="J13" s="1504"/>
    </row>
    <row r="14" spans="1:10" ht="4.5" customHeight="1" x14ac:dyDescent="0.2">
      <c r="A14" s="24"/>
      <c r="B14" s="24"/>
      <c r="C14" s="24"/>
      <c r="D14" s="24"/>
      <c r="E14" s="24"/>
      <c r="F14" s="24"/>
      <c r="G14" s="24"/>
      <c r="H14" s="24"/>
      <c r="I14" s="24"/>
      <c r="J14" s="24"/>
    </row>
    <row r="15" spans="1:10" ht="14.25" x14ac:dyDescent="0.2">
      <c r="A15" s="1489" t="s">
        <v>1535</v>
      </c>
      <c r="B15" s="1489"/>
      <c r="C15" s="1489"/>
      <c r="D15" s="1489"/>
      <c r="E15" s="1489"/>
      <c r="F15" s="1489"/>
      <c r="G15" s="1489" t="s">
        <v>1536</v>
      </c>
      <c r="H15" s="1489" t="s">
        <v>1537</v>
      </c>
      <c r="I15" s="1489" t="s">
        <v>1538</v>
      </c>
      <c r="J15" s="1489"/>
    </row>
    <row r="16" spans="1:10" ht="14.25" x14ac:dyDescent="0.2">
      <c r="A16" s="1489"/>
      <c r="B16" s="1489"/>
      <c r="C16" s="1489"/>
      <c r="D16" s="1489"/>
      <c r="E16" s="1489"/>
      <c r="F16" s="1489"/>
      <c r="G16" s="1489"/>
      <c r="H16" s="1489"/>
      <c r="I16" s="577" t="s">
        <v>1539</v>
      </c>
      <c r="J16" s="577" t="s">
        <v>1540</v>
      </c>
    </row>
    <row r="17" spans="1:10" ht="14.25" x14ac:dyDescent="0.2">
      <c r="A17" s="582">
        <v>6011</v>
      </c>
      <c r="B17" s="1493" t="s">
        <v>1232</v>
      </c>
      <c r="C17" s="1494"/>
      <c r="D17" s="1494"/>
      <c r="E17" s="1494"/>
      <c r="F17" s="1495"/>
      <c r="G17" s="583">
        <v>0</v>
      </c>
      <c r="H17" s="583">
        <v>0</v>
      </c>
      <c r="I17" s="583">
        <v>0</v>
      </c>
      <c r="J17" s="427">
        <v>0</v>
      </c>
    </row>
    <row r="18" spans="1:10" ht="14.25" x14ac:dyDescent="0.2">
      <c r="A18" s="582">
        <v>6012</v>
      </c>
      <c r="B18" s="1493" t="s">
        <v>1541</v>
      </c>
      <c r="C18" s="1494"/>
      <c r="D18" s="1494"/>
      <c r="E18" s="1494"/>
      <c r="F18" s="1495"/>
      <c r="G18" s="583">
        <v>0</v>
      </c>
      <c r="H18" s="583">
        <v>0</v>
      </c>
      <c r="I18" s="583">
        <v>0</v>
      </c>
      <c r="J18" s="427">
        <v>0</v>
      </c>
    </row>
    <row r="19" spans="1:10" ht="14.25" x14ac:dyDescent="0.2">
      <c r="A19" s="582">
        <v>6013</v>
      </c>
      <c r="B19" s="1493" t="s">
        <v>1234</v>
      </c>
      <c r="C19" s="1494"/>
      <c r="D19" s="1494"/>
      <c r="E19" s="1494"/>
      <c r="F19" s="1495"/>
      <c r="G19" s="583">
        <v>0</v>
      </c>
      <c r="H19" s="583">
        <v>0</v>
      </c>
      <c r="I19" s="583">
        <v>0</v>
      </c>
      <c r="J19" s="427">
        <v>0</v>
      </c>
    </row>
    <row r="20" spans="1:10" ht="14.25" x14ac:dyDescent="0.2">
      <c r="A20" s="582">
        <v>6015</v>
      </c>
      <c r="B20" s="1493" t="s">
        <v>1542</v>
      </c>
      <c r="C20" s="1494"/>
      <c r="D20" s="1494"/>
      <c r="E20" s="1494"/>
      <c r="F20" s="1495"/>
      <c r="G20" s="583">
        <v>0</v>
      </c>
      <c r="H20" s="583">
        <v>0</v>
      </c>
      <c r="I20" s="583">
        <v>0</v>
      </c>
      <c r="J20" s="427">
        <v>0</v>
      </c>
    </row>
    <row r="21" spans="1:10" ht="14.25" x14ac:dyDescent="0.2">
      <c r="A21" s="582">
        <v>6019</v>
      </c>
      <c r="B21" s="1493" t="s">
        <v>1543</v>
      </c>
      <c r="C21" s="1494"/>
      <c r="D21" s="1494"/>
      <c r="E21" s="1494"/>
      <c r="F21" s="1495"/>
      <c r="G21" s="583">
        <v>0</v>
      </c>
      <c r="H21" s="583">
        <v>0</v>
      </c>
      <c r="I21" s="583">
        <v>0</v>
      </c>
      <c r="J21" s="427">
        <v>0</v>
      </c>
    </row>
    <row r="22" spans="1:10" ht="14.25" x14ac:dyDescent="0.2">
      <c r="A22" s="584" t="s">
        <v>605</v>
      </c>
      <c r="B22" s="1496" t="s">
        <v>626</v>
      </c>
      <c r="C22" s="1497"/>
      <c r="D22" s="1497"/>
      <c r="E22" s="1497"/>
      <c r="F22" s="1498"/>
      <c r="G22" s="585">
        <v>0</v>
      </c>
      <c r="H22" s="585">
        <v>0</v>
      </c>
      <c r="I22" s="585">
        <v>0</v>
      </c>
      <c r="J22" s="430">
        <v>0</v>
      </c>
    </row>
    <row r="23" spans="1:10" ht="14.25" x14ac:dyDescent="0.2">
      <c r="A23" s="582">
        <v>6031</v>
      </c>
      <c r="B23" s="1493" t="s">
        <v>1544</v>
      </c>
      <c r="C23" s="1494"/>
      <c r="D23" s="1494"/>
      <c r="E23" s="1494"/>
      <c r="F23" s="1495"/>
      <c r="G23" s="583">
        <v>0</v>
      </c>
      <c r="H23" s="583">
        <v>0</v>
      </c>
      <c r="I23" s="583">
        <v>0</v>
      </c>
      <c r="J23" s="427">
        <v>0</v>
      </c>
    </row>
    <row r="24" spans="1:10" ht="14.25" x14ac:dyDescent="0.2">
      <c r="A24" s="584" t="s">
        <v>607</v>
      </c>
      <c r="B24" s="1496" t="s">
        <v>1544</v>
      </c>
      <c r="C24" s="1497"/>
      <c r="D24" s="1497"/>
      <c r="E24" s="1497"/>
      <c r="F24" s="1498"/>
      <c r="G24" s="585">
        <v>0</v>
      </c>
      <c r="H24" s="585">
        <v>0</v>
      </c>
      <c r="I24" s="585">
        <v>0</v>
      </c>
      <c r="J24" s="430">
        <v>0</v>
      </c>
    </row>
    <row r="25" spans="1:10" ht="14.25" x14ac:dyDescent="0.2">
      <c r="A25" s="582">
        <v>6021</v>
      </c>
      <c r="B25" s="1493" t="s">
        <v>1236</v>
      </c>
      <c r="C25" s="1494"/>
      <c r="D25" s="1494"/>
      <c r="E25" s="1494"/>
      <c r="F25" s="1495"/>
      <c r="G25" s="583">
        <v>0</v>
      </c>
      <c r="H25" s="583">
        <v>0</v>
      </c>
      <c r="I25" s="583">
        <v>0</v>
      </c>
      <c r="J25" s="427">
        <v>0</v>
      </c>
    </row>
    <row r="26" spans="1:10" ht="14.25" x14ac:dyDescent="0.2">
      <c r="A26" s="582">
        <v>6022</v>
      </c>
      <c r="B26" s="1493" t="s">
        <v>1545</v>
      </c>
      <c r="C26" s="1494"/>
      <c r="D26" s="1494"/>
      <c r="E26" s="1494"/>
      <c r="F26" s="1495"/>
      <c r="G26" s="583">
        <v>0</v>
      </c>
      <c r="H26" s="583">
        <v>0</v>
      </c>
      <c r="I26" s="583">
        <v>0</v>
      </c>
      <c r="J26" s="427">
        <v>0</v>
      </c>
    </row>
    <row r="27" spans="1:10" ht="14.25" x14ac:dyDescent="0.2">
      <c r="A27" s="582">
        <v>6023</v>
      </c>
      <c r="B27" s="1493" t="s">
        <v>1238</v>
      </c>
      <c r="C27" s="1494"/>
      <c r="D27" s="1494"/>
      <c r="E27" s="1494"/>
      <c r="F27" s="1495"/>
      <c r="G27" s="583">
        <v>0</v>
      </c>
      <c r="H27" s="583">
        <v>0</v>
      </c>
      <c r="I27" s="583">
        <v>0</v>
      </c>
      <c r="J27" s="427">
        <v>0</v>
      </c>
    </row>
    <row r="28" spans="1:10" ht="14.25" x14ac:dyDescent="0.2">
      <c r="A28" s="582">
        <v>6025</v>
      </c>
      <c r="B28" s="1493" t="s">
        <v>1546</v>
      </c>
      <c r="C28" s="1494"/>
      <c r="D28" s="1494"/>
      <c r="E28" s="1494"/>
      <c r="F28" s="1495"/>
      <c r="G28" s="583">
        <v>0</v>
      </c>
      <c r="H28" s="583">
        <v>0</v>
      </c>
      <c r="I28" s="583">
        <v>0</v>
      </c>
      <c r="J28" s="427">
        <v>0</v>
      </c>
    </row>
    <row r="29" spans="1:10" ht="14.25" x14ac:dyDescent="0.2">
      <c r="A29" s="582">
        <v>6029</v>
      </c>
      <c r="B29" s="1493" t="s">
        <v>1543</v>
      </c>
      <c r="C29" s="1494"/>
      <c r="D29" s="1494"/>
      <c r="E29" s="1494"/>
      <c r="F29" s="1495"/>
      <c r="G29" s="583">
        <v>0</v>
      </c>
      <c r="H29" s="583">
        <v>0</v>
      </c>
      <c r="I29" s="583">
        <v>0</v>
      </c>
      <c r="J29" s="427">
        <v>0</v>
      </c>
    </row>
    <row r="30" spans="1:10" ht="14.25" x14ac:dyDescent="0.2">
      <c r="A30" s="584" t="s">
        <v>609</v>
      </c>
      <c r="B30" s="1496" t="s">
        <v>1547</v>
      </c>
      <c r="C30" s="1497"/>
      <c r="D30" s="1497"/>
      <c r="E30" s="1497"/>
      <c r="F30" s="1498"/>
      <c r="G30" s="585">
        <v>0</v>
      </c>
      <c r="H30" s="585">
        <v>0</v>
      </c>
      <c r="I30" s="585">
        <v>0</v>
      </c>
      <c r="J30" s="430">
        <v>0</v>
      </c>
    </row>
    <row r="31" spans="1:10" ht="14.25" x14ac:dyDescent="0.2">
      <c r="A31" s="582">
        <v>6032</v>
      </c>
      <c r="B31" s="1493" t="s">
        <v>1548</v>
      </c>
      <c r="C31" s="1494"/>
      <c r="D31" s="1494"/>
      <c r="E31" s="1494"/>
      <c r="F31" s="1495"/>
      <c r="G31" s="583">
        <v>0</v>
      </c>
      <c r="H31" s="583">
        <v>0</v>
      </c>
      <c r="I31" s="583">
        <v>0</v>
      </c>
      <c r="J31" s="427">
        <v>0</v>
      </c>
    </row>
    <row r="32" spans="1:10" ht="14.25" x14ac:dyDescent="0.2">
      <c r="A32" s="582">
        <v>6033</v>
      </c>
      <c r="B32" s="1499" t="s">
        <v>1549</v>
      </c>
      <c r="C32" s="1500"/>
      <c r="D32" s="1500"/>
      <c r="E32" s="1500"/>
      <c r="F32" s="1501"/>
      <c r="G32" s="583">
        <v>0</v>
      </c>
      <c r="H32" s="583">
        <v>0</v>
      </c>
      <c r="I32" s="583">
        <v>0</v>
      </c>
      <c r="J32" s="427"/>
    </row>
    <row r="33" spans="1:10" ht="14.25" x14ac:dyDescent="0.2">
      <c r="A33" s="584" t="s">
        <v>611</v>
      </c>
      <c r="B33" s="1496" t="s">
        <v>1550</v>
      </c>
      <c r="C33" s="1497"/>
      <c r="D33" s="1497"/>
      <c r="E33" s="1497"/>
      <c r="F33" s="1498"/>
      <c r="G33" s="585">
        <v>0</v>
      </c>
      <c r="H33" s="585">
        <v>0</v>
      </c>
      <c r="I33" s="585">
        <v>0</v>
      </c>
      <c r="J33" s="430">
        <v>0</v>
      </c>
    </row>
    <row r="34" spans="1:10" ht="14.25" x14ac:dyDescent="0.2">
      <c r="A34" s="582">
        <v>6041</v>
      </c>
      <c r="B34" s="1493" t="s">
        <v>1240</v>
      </c>
      <c r="C34" s="1494"/>
      <c r="D34" s="1494"/>
      <c r="E34" s="1494"/>
      <c r="F34" s="1495"/>
      <c r="G34" s="583">
        <v>0</v>
      </c>
      <c r="H34" s="583">
        <v>0</v>
      </c>
      <c r="I34" s="583">
        <v>0</v>
      </c>
      <c r="J34" s="427">
        <v>0</v>
      </c>
    </row>
    <row r="35" spans="1:10" ht="14.25" x14ac:dyDescent="0.2">
      <c r="A35" s="582">
        <v>6042</v>
      </c>
      <c r="B35" s="1493" t="s">
        <v>1241</v>
      </c>
      <c r="C35" s="1494"/>
      <c r="D35" s="1494"/>
      <c r="E35" s="1494"/>
      <c r="F35" s="1495"/>
      <c r="G35" s="583">
        <v>0</v>
      </c>
      <c r="H35" s="583">
        <v>0</v>
      </c>
      <c r="I35" s="583">
        <v>0</v>
      </c>
      <c r="J35" s="427">
        <v>0</v>
      </c>
    </row>
    <row r="36" spans="1:10" ht="14.25" x14ac:dyDescent="0.2">
      <c r="A36" s="582">
        <v>6043</v>
      </c>
      <c r="B36" s="1493" t="s">
        <v>1242</v>
      </c>
      <c r="C36" s="1494"/>
      <c r="D36" s="1494"/>
      <c r="E36" s="1494"/>
      <c r="F36" s="1495"/>
      <c r="G36" s="583">
        <v>0</v>
      </c>
      <c r="H36" s="583">
        <v>0</v>
      </c>
      <c r="I36" s="583">
        <v>0</v>
      </c>
      <c r="J36" s="427">
        <v>0</v>
      </c>
    </row>
    <row r="37" spans="1:10" ht="16.899999999999999" customHeight="1" x14ac:dyDescent="0.2">
      <c r="A37" s="582">
        <v>6045</v>
      </c>
      <c r="B37" s="1493" t="s">
        <v>1551</v>
      </c>
      <c r="C37" s="1494"/>
      <c r="D37" s="1494"/>
      <c r="E37" s="1494"/>
      <c r="F37" s="1495"/>
      <c r="G37" s="583">
        <v>0</v>
      </c>
      <c r="H37" s="583">
        <v>0</v>
      </c>
      <c r="I37" s="583">
        <v>0</v>
      </c>
      <c r="J37" s="427">
        <v>0</v>
      </c>
    </row>
    <row r="38" spans="1:10" ht="14.25" x14ac:dyDescent="0.2">
      <c r="A38" s="582">
        <v>6046</v>
      </c>
      <c r="B38" s="1493" t="s">
        <v>1552</v>
      </c>
      <c r="C38" s="1494"/>
      <c r="D38" s="1494"/>
      <c r="E38" s="1494"/>
      <c r="F38" s="1495"/>
      <c r="G38" s="583">
        <v>0</v>
      </c>
      <c r="H38" s="583">
        <v>0</v>
      </c>
      <c r="I38" s="583">
        <v>0</v>
      </c>
      <c r="J38" s="427">
        <v>0</v>
      </c>
    </row>
    <row r="39" spans="1:10" ht="14.25" x14ac:dyDescent="0.2">
      <c r="A39" s="582">
        <v>6047</v>
      </c>
      <c r="B39" s="1493" t="s">
        <v>1553</v>
      </c>
      <c r="C39" s="1494"/>
      <c r="D39" s="1494"/>
      <c r="E39" s="1494"/>
      <c r="F39" s="1495"/>
      <c r="G39" s="583">
        <v>0</v>
      </c>
      <c r="H39" s="583">
        <v>0</v>
      </c>
      <c r="I39" s="583">
        <v>0</v>
      </c>
      <c r="J39" s="427">
        <v>0</v>
      </c>
    </row>
    <row r="40" spans="1:10" ht="14.25" x14ac:dyDescent="0.2">
      <c r="A40" s="582">
        <v>6049</v>
      </c>
      <c r="B40" s="1493" t="s">
        <v>1543</v>
      </c>
      <c r="C40" s="1494"/>
      <c r="D40" s="1494"/>
      <c r="E40" s="1494"/>
      <c r="F40" s="1495"/>
      <c r="G40" s="586">
        <v>0</v>
      </c>
      <c r="H40" s="586">
        <v>0</v>
      </c>
      <c r="I40" s="583">
        <v>0</v>
      </c>
      <c r="J40" s="427">
        <v>0</v>
      </c>
    </row>
    <row r="41" spans="1:10" ht="14.25" x14ac:dyDescent="0.2">
      <c r="A41" s="582">
        <v>6051</v>
      </c>
      <c r="B41" s="1493" t="s">
        <v>1554</v>
      </c>
      <c r="C41" s="1494"/>
      <c r="D41" s="1494"/>
      <c r="E41" s="1494"/>
      <c r="F41" s="1495"/>
      <c r="G41" s="583">
        <v>0</v>
      </c>
      <c r="H41" s="583">
        <v>0</v>
      </c>
      <c r="I41" s="583">
        <v>0</v>
      </c>
      <c r="J41" s="427">
        <v>0</v>
      </c>
    </row>
    <row r="42" spans="1:10" ht="14.25" x14ac:dyDescent="0.2">
      <c r="A42" s="582">
        <v>6052</v>
      </c>
      <c r="B42" s="1493" t="s">
        <v>1555</v>
      </c>
      <c r="C42" s="1494"/>
      <c r="D42" s="1494"/>
      <c r="E42" s="1494"/>
      <c r="F42" s="1495"/>
      <c r="G42" s="583">
        <v>0</v>
      </c>
      <c r="H42" s="583">
        <v>0</v>
      </c>
      <c r="I42" s="583">
        <v>0</v>
      </c>
      <c r="J42" s="427">
        <v>0</v>
      </c>
    </row>
    <row r="43" spans="1:10" ht="14.25" x14ac:dyDescent="0.2">
      <c r="A43" s="582">
        <v>6053</v>
      </c>
      <c r="B43" s="1493" t="s">
        <v>1556</v>
      </c>
      <c r="C43" s="1494"/>
      <c r="D43" s="1494"/>
      <c r="E43" s="1494"/>
      <c r="F43" s="1495"/>
      <c r="G43" s="583">
        <v>0</v>
      </c>
      <c r="H43" s="583">
        <v>0</v>
      </c>
      <c r="I43" s="583">
        <v>0</v>
      </c>
      <c r="J43" s="427">
        <v>0</v>
      </c>
    </row>
    <row r="44" spans="1:10" ht="14.25" x14ac:dyDescent="0.2">
      <c r="A44" s="582">
        <v>6054</v>
      </c>
      <c r="B44" s="1493" t="s">
        <v>1557</v>
      </c>
      <c r="C44" s="1494"/>
      <c r="D44" s="1494"/>
      <c r="E44" s="1494"/>
      <c r="F44" s="1495"/>
      <c r="G44" s="583">
        <v>0</v>
      </c>
      <c r="H44" s="583">
        <v>0</v>
      </c>
      <c r="I44" s="583">
        <v>0</v>
      </c>
      <c r="J44" s="427">
        <v>0</v>
      </c>
    </row>
    <row r="45" spans="1:10" ht="14.25" x14ac:dyDescent="0.2">
      <c r="A45" s="582">
        <v>6055</v>
      </c>
      <c r="B45" s="1493" t="s">
        <v>1558</v>
      </c>
      <c r="C45" s="1494"/>
      <c r="D45" s="1494"/>
      <c r="E45" s="1494"/>
      <c r="F45" s="1495"/>
      <c r="G45" s="583">
        <v>0</v>
      </c>
      <c r="H45" s="583">
        <v>0</v>
      </c>
      <c r="I45" s="583">
        <v>0</v>
      </c>
      <c r="J45" s="427">
        <v>0</v>
      </c>
    </row>
    <row r="46" spans="1:10" ht="14.25" x14ac:dyDescent="0.2">
      <c r="A46" s="582">
        <v>6056</v>
      </c>
      <c r="B46" s="1493" t="s">
        <v>1559</v>
      </c>
      <c r="C46" s="1494"/>
      <c r="D46" s="1494"/>
      <c r="E46" s="1494"/>
      <c r="F46" s="1495"/>
      <c r="G46" s="583">
        <v>0</v>
      </c>
      <c r="H46" s="583">
        <v>0</v>
      </c>
      <c r="I46" s="583">
        <v>0</v>
      </c>
      <c r="J46" s="427">
        <v>0</v>
      </c>
    </row>
    <row r="47" spans="1:10" ht="14.25" x14ac:dyDescent="0.2">
      <c r="A47" s="582">
        <v>6057</v>
      </c>
      <c r="B47" s="1493" t="s">
        <v>1560</v>
      </c>
      <c r="C47" s="1494"/>
      <c r="D47" s="1494"/>
      <c r="E47" s="1494"/>
      <c r="F47" s="1495"/>
      <c r="G47" s="583">
        <v>0</v>
      </c>
      <c r="H47" s="583">
        <v>0</v>
      </c>
      <c r="I47" s="583">
        <v>0</v>
      </c>
      <c r="J47" s="427">
        <v>0</v>
      </c>
    </row>
    <row r="48" spans="1:10" ht="14.25" x14ac:dyDescent="0.2">
      <c r="A48" s="582">
        <v>6058</v>
      </c>
      <c r="B48" s="1493" t="s">
        <v>1561</v>
      </c>
      <c r="C48" s="1494"/>
      <c r="D48" s="1494"/>
      <c r="E48" s="1494"/>
      <c r="F48" s="1495"/>
      <c r="G48" s="583">
        <v>0</v>
      </c>
      <c r="H48" s="583">
        <v>0</v>
      </c>
      <c r="I48" s="583">
        <v>0</v>
      </c>
      <c r="J48" s="427">
        <v>0</v>
      </c>
    </row>
    <row r="49" spans="1:10" ht="14.25" x14ac:dyDescent="0.2">
      <c r="A49" s="582">
        <v>6059</v>
      </c>
      <c r="B49" s="1493" t="s">
        <v>1543</v>
      </c>
      <c r="C49" s="1494"/>
      <c r="D49" s="1494"/>
      <c r="E49" s="1494"/>
      <c r="F49" s="1495"/>
      <c r="G49" s="586">
        <v>0</v>
      </c>
      <c r="H49" s="586">
        <v>0</v>
      </c>
      <c r="I49" s="583">
        <v>0</v>
      </c>
      <c r="J49" s="427">
        <v>0</v>
      </c>
    </row>
    <row r="50" spans="1:10" ht="14.25" x14ac:dyDescent="0.2">
      <c r="A50" s="582">
        <v>6061</v>
      </c>
      <c r="B50" s="1493" t="s">
        <v>1562</v>
      </c>
      <c r="C50" s="1494"/>
      <c r="D50" s="1494"/>
      <c r="E50" s="1494"/>
      <c r="F50" s="1495"/>
      <c r="G50" s="583">
        <v>0</v>
      </c>
      <c r="H50" s="583">
        <v>0</v>
      </c>
      <c r="I50" s="583">
        <v>0</v>
      </c>
      <c r="J50" s="427">
        <v>0</v>
      </c>
    </row>
    <row r="51" spans="1:10" ht="14.25" x14ac:dyDescent="0.2">
      <c r="A51" s="582">
        <v>6062</v>
      </c>
      <c r="B51" s="1493" t="s">
        <v>1563</v>
      </c>
      <c r="C51" s="1494"/>
      <c r="D51" s="1494"/>
      <c r="E51" s="1494"/>
      <c r="F51" s="1495"/>
      <c r="G51" s="583">
        <v>0</v>
      </c>
      <c r="H51" s="583">
        <v>0</v>
      </c>
      <c r="I51" s="583">
        <v>0</v>
      </c>
      <c r="J51" s="427">
        <v>0</v>
      </c>
    </row>
    <row r="52" spans="1:10" ht="14.25" x14ac:dyDescent="0.2">
      <c r="A52" s="582">
        <v>6063</v>
      </c>
      <c r="B52" s="1493" t="s">
        <v>1564</v>
      </c>
      <c r="C52" s="1494"/>
      <c r="D52" s="1494"/>
      <c r="E52" s="1494"/>
      <c r="F52" s="1495"/>
      <c r="G52" s="583">
        <v>0</v>
      </c>
      <c r="H52" s="583">
        <v>0</v>
      </c>
      <c r="I52" s="583">
        <v>0</v>
      </c>
      <c r="J52" s="427">
        <v>0</v>
      </c>
    </row>
    <row r="53" spans="1:10" ht="14.25" x14ac:dyDescent="0.2">
      <c r="A53" s="582">
        <v>6064</v>
      </c>
      <c r="B53" s="1493" t="s">
        <v>1565</v>
      </c>
      <c r="C53" s="1494"/>
      <c r="D53" s="1494"/>
      <c r="E53" s="1494"/>
      <c r="F53" s="1495"/>
      <c r="G53" s="583">
        <v>0</v>
      </c>
      <c r="H53" s="583">
        <v>0</v>
      </c>
      <c r="I53" s="583">
        <v>0</v>
      </c>
      <c r="J53" s="427">
        <v>0</v>
      </c>
    </row>
    <row r="54" spans="1:10" ht="14.25" x14ac:dyDescent="0.2">
      <c r="A54" s="582">
        <v>6068</v>
      </c>
      <c r="B54" s="1493" t="s">
        <v>1566</v>
      </c>
      <c r="C54" s="1494"/>
      <c r="D54" s="1494"/>
      <c r="E54" s="1494"/>
      <c r="F54" s="1495"/>
      <c r="G54" s="583">
        <v>0</v>
      </c>
      <c r="H54" s="583">
        <v>0</v>
      </c>
      <c r="I54" s="583">
        <v>0</v>
      </c>
      <c r="J54" s="427">
        <v>0</v>
      </c>
    </row>
    <row r="55" spans="1:10" ht="14.25" x14ac:dyDescent="0.2">
      <c r="A55" s="582">
        <v>6081</v>
      </c>
      <c r="B55" s="1493" t="s">
        <v>1567</v>
      </c>
      <c r="C55" s="1494"/>
      <c r="D55" s="1494"/>
      <c r="E55" s="1494"/>
      <c r="F55" s="1495"/>
      <c r="G55" s="583">
        <v>0</v>
      </c>
      <c r="H55" s="583">
        <v>0</v>
      </c>
      <c r="I55" s="583">
        <v>0</v>
      </c>
      <c r="J55" s="427">
        <v>0</v>
      </c>
    </row>
    <row r="56" spans="1:10" ht="14.25" x14ac:dyDescent="0.2">
      <c r="A56" s="582">
        <v>6082</v>
      </c>
      <c r="B56" s="1493" t="s">
        <v>1568</v>
      </c>
      <c r="C56" s="1494"/>
      <c r="D56" s="1494"/>
      <c r="E56" s="1494"/>
      <c r="F56" s="1495"/>
      <c r="G56" s="583">
        <v>0</v>
      </c>
      <c r="H56" s="583">
        <v>0</v>
      </c>
      <c r="I56" s="583">
        <v>0</v>
      </c>
      <c r="J56" s="427">
        <v>0</v>
      </c>
    </row>
    <row r="57" spans="1:10" ht="14.25" x14ac:dyDescent="0.2">
      <c r="A57" s="582">
        <v>6083</v>
      </c>
      <c r="B57" s="1493" t="s">
        <v>1569</v>
      </c>
      <c r="C57" s="1494"/>
      <c r="D57" s="1494"/>
      <c r="E57" s="1494"/>
      <c r="F57" s="1495"/>
      <c r="G57" s="583">
        <v>0</v>
      </c>
      <c r="H57" s="583">
        <v>0</v>
      </c>
      <c r="I57" s="583">
        <v>0</v>
      </c>
      <c r="J57" s="427">
        <v>0</v>
      </c>
    </row>
    <row r="58" spans="1:10" ht="14.25" x14ac:dyDescent="0.2">
      <c r="A58" s="582">
        <v>6085</v>
      </c>
      <c r="B58" s="1493" t="s">
        <v>1570</v>
      </c>
      <c r="C58" s="1494"/>
      <c r="D58" s="1494"/>
      <c r="E58" s="1494"/>
      <c r="F58" s="1495"/>
      <c r="G58" s="583">
        <v>0</v>
      </c>
      <c r="H58" s="583">
        <v>0</v>
      </c>
      <c r="I58" s="583">
        <v>0</v>
      </c>
      <c r="J58" s="427">
        <v>0</v>
      </c>
    </row>
    <row r="59" spans="1:10" ht="14.25" x14ac:dyDescent="0.2">
      <c r="A59" s="582">
        <v>6089</v>
      </c>
      <c r="B59" s="1493" t="s">
        <v>1543</v>
      </c>
      <c r="C59" s="1494"/>
      <c r="D59" s="1494"/>
      <c r="E59" s="1494"/>
      <c r="F59" s="1495"/>
      <c r="G59" s="586">
        <v>0</v>
      </c>
      <c r="H59" s="586">
        <v>0</v>
      </c>
      <c r="I59" s="583">
        <v>0</v>
      </c>
      <c r="J59" s="427">
        <v>0</v>
      </c>
    </row>
    <row r="60" spans="1:10" ht="14.25" x14ac:dyDescent="0.2">
      <c r="A60" s="584" t="s">
        <v>613</v>
      </c>
      <c r="B60" s="1496" t="s">
        <v>632</v>
      </c>
      <c r="C60" s="1497"/>
      <c r="D60" s="1497"/>
      <c r="E60" s="1497"/>
      <c r="F60" s="1498"/>
      <c r="G60" s="585">
        <v>0</v>
      </c>
      <c r="H60" s="585">
        <v>0</v>
      </c>
      <c r="I60" s="585">
        <v>0</v>
      </c>
      <c r="J60" s="430">
        <v>0</v>
      </c>
    </row>
    <row r="61" spans="1:10" ht="14.25" x14ac:dyDescent="0.2">
      <c r="A61" s="582">
        <v>6034</v>
      </c>
      <c r="B61" s="1493" t="s">
        <v>1571</v>
      </c>
      <c r="C61" s="1494"/>
      <c r="D61" s="1494"/>
      <c r="E61" s="1494"/>
      <c r="F61" s="1495"/>
      <c r="G61" s="583">
        <v>0</v>
      </c>
      <c r="H61" s="583">
        <v>0</v>
      </c>
      <c r="I61" s="583">
        <v>0</v>
      </c>
      <c r="J61" s="427">
        <v>0</v>
      </c>
    </row>
    <row r="62" spans="1:10" ht="14.25" x14ac:dyDescent="0.2">
      <c r="A62" s="582">
        <v>6035</v>
      </c>
      <c r="B62" s="1499" t="s">
        <v>1572</v>
      </c>
      <c r="C62" s="1500"/>
      <c r="D62" s="1500"/>
      <c r="E62" s="1500"/>
      <c r="F62" s="1501"/>
      <c r="G62" s="583">
        <v>0</v>
      </c>
      <c r="H62" s="583">
        <v>0</v>
      </c>
      <c r="I62" s="583">
        <v>0</v>
      </c>
      <c r="J62" s="427">
        <v>0</v>
      </c>
    </row>
    <row r="63" spans="1:10" ht="14.25" x14ac:dyDescent="0.2">
      <c r="A63" s="584" t="s">
        <v>615</v>
      </c>
      <c r="B63" s="1496" t="s">
        <v>1573</v>
      </c>
      <c r="C63" s="1497"/>
      <c r="D63" s="1497"/>
      <c r="E63" s="1497"/>
      <c r="F63" s="1498"/>
      <c r="G63" s="585">
        <v>0</v>
      </c>
      <c r="H63" s="585">
        <v>0</v>
      </c>
      <c r="I63" s="585">
        <v>0</v>
      </c>
      <c r="J63" s="430">
        <v>0</v>
      </c>
    </row>
    <row r="64" spans="1:10" ht="14.25" x14ac:dyDescent="0.2">
      <c r="A64" s="582">
        <v>612</v>
      </c>
      <c r="B64" s="1493" t="s">
        <v>1258</v>
      </c>
      <c r="C64" s="1494"/>
      <c r="D64" s="1494"/>
      <c r="E64" s="1494"/>
      <c r="F64" s="1495"/>
      <c r="G64" s="583">
        <v>0</v>
      </c>
      <c r="H64" s="583">
        <v>0</v>
      </c>
      <c r="I64" s="583">
        <v>0</v>
      </c>
      <c r="J64" s="427">
        <v>0</v>
      </c>
    </row>
    <row r="65" spans="1:10" ht="14.25" x14ac:dyDescent="0.2">
      <c r="A65" s="582">
        <v>613</v>
      </c>
      <c r="B65" s="1493" t="s">
        <v>1259</v>
      </c>
      <c r="C65" s="1494"/>
      <c r="D65" s="1494"/>
      <c r="E65" s="1494"/>
      <c r="F65" s="1495"/>
      <c r="G65" s="583">
        <v>0</v>
      </c>
      <c r="H65" s="583">
        <v>0</v>
      </c>
      <c r="I65" s="583">
        <v>0</v>
      </c>
      <c r="J65" s="427">
        <v>0</v>
      </c>
    </row>
    <row r="66" spans="1:10" ht="14.25" x14ac:dyDescent="0.2">
      <c r="A66" s="582">
        <v>614</v>
      </c>
      <c r="B66" s="1493" t="s">
        <v>1260</v>
      </c>
      <c r="C66" s="1494"/>
      <c r="D66" s="1494"/>
      <c r="E66" s="1494"/>
      <c r="F66" s="1495"/>
      <c r="G66" s="583">
        <v>0</v>
      </c>
      <c r="H66" s="583">
        <v>0</v>
      </c>
      <c r="I66" s="583">
        <v>0</v>
      </c>
      <c r="J66" s="427">
        <v>0</v>
      </c>
    </row>
    <row r="67" spans="1:10" ht="14.25" x14ac:dyDescent="0.2">
      <c r="A67" s="582">
        <v>616</v>
      </c>
      <c r="B67" s="1493" t="s">
        <v>1261</v>
      </c>
      <c r="C67" s="1494"/>
      <c r="D67" s="1494"/>
      <c r="E67" s="1494"/>
      <c r="F67" s="1495"/>
      <c r="G67" s="583">
        <v>0</v>
      </c>
      <c r="H67" s="583">
        <v>0</v>
      </c>
      <c r="I67" s="583">
        <v>0</v>
      </c>
      <c r="J67" s="427">
        <v>0</v>
      </c>
    </row>
    <row r="68" spans="1:10" ht="14.25" x14ac:dyDescent="0.2">
      <c r="A68" s="582">
        <v>618</v>
      </c>
      <c r="B68" s="1493" t="s">
        <v>1574</v>
      </c>
      <c r="C68" s="1494"/>
      <c r="D68" s="1494"/>
      <c r="E68" s="1494"/>
      <c r="F68" s="1495"/>
      <c r="G68" s="583">
        <v>0</v>
      </c>
      <c r="H68" s="583">
        <v>0</v>
      </c>
      <c r="I68" s="583">
        <v>0</v>
      </c>
      <c r="J68" s="427">
        <v>0</v>
      </c>
    </row>
    <row r="69" spans="1:10" ht="14.25" x14ac:dyDescent="0.2">
      <c r="A69" s="582">
        <v>6181</v>
      </c>
      <c r="B69" s="1493" t="s">
        <v>1262</v>
      </c>
      <c r="C69" s="1494"/>
      <c r="D69" s="1494"/>
      <c r="E69" s="1494"/>
      <c r="F69" s="1495"/>
      <c r="G69" s="583">
        <v>0</v>
      </c>
      <c r="H69" s="583">
        <v>0</v>
      </c>
      <c r="I69" s="583">
        <v>0</v>
      </c>
      <c r="J69" s="427">
        <v>0</v>
      </c>
    </row>
    <row r="70" spans="1:10" ht="14.25" x14ac:dyDescent="0.2">
      <c r="A70" s="582">
        <v>6183</v>
      </c>
      <c r="B70" s="1493" t="s">
        <v>1263</v>
      </c>
      <c r="C70" s="1494"/>
      <c r="D70" s="1494"/>
      <c r="E70" s="1494"/>
      <c r="F70" s="1495"/>
      <c r="G70" s="583">
        <v>0</v>
      </c>
      <c r="H70" s="583">
        <v>0</v>
      </c>
      <c r="I70" s="583">
        <v>0</v>
      </c>
      <c r="J70" s="427">
        <v>0</v>
      </c>
    </row>
    <row r="71" spans="1:10" ht="14.25" x14ac:dyDescent="0.2">
      <c r="A71" s="582">
        <v>619</v>
      </c>
      <c r="B71" s="1493" t="s">
        <v>1575</v>
      </c>
      <c r="C71" s="1494"/>
      <c r="D71" s="1494"/>
      <c r="E71" s="1494"/>
      <c r="F71" s="1495"/>
      <c r="G71" s="586">
        <v>0</v>
      </c>
      <c r="H71" s="586">
        <v>0</v>
      </c>
      <c r="I71" s="587">
        <v>0</v>
      </c>
      <c r="J71" s="427">
        <v>0</v>
      </c>
    </row>
    <row r="72" spans="1:10" ht="14.25" x14ac:dyDescent="0.2">
      <c r="A72" s="584" t="s">
        <v>617</v>
      </c>
      <c r="B72" s="1496" t="s">
        <v>636</v>
      </c>
      <c r="C72" s="1497"/>
      <c r="D72" s="1497"/>
      <c r="E72" s="1497"/>
      <c r="F72" s="1498"/>
      <c r="G72" s="585">
        <v>0</v>
      </c>
      <c r="H72" s="585">
        <v>0</v>
      </c>
      <c r="I72" s="585">
        <v>0</v>
      </c>
      <c r="J72" s="430">
        <v>0</v>
      </c>
    </row>
    <row r="73" spans="1:10" ht="14.25" x14ac:dyDescent="0.2">
      <c r="A73" s="582">
        <v>621</v>
      </c>
      <c r="B73" s="1493" t="s">
        <v>1266</v>
      </c>
      <c r="C73" s="1494"/>
      <c r="D73" s="1494"/>
      <c r="E73" s="1494"/>
      <c r="F73" s="1495"/>
      <c r="G73" s="583">
        <v>0</v>
      </c>
      <c r="H73" s="583">
        <v>0</v>
      </c>
      <c r="I73" s="583">
        <v>0</v>
      </c>
      <c r="J73" s="427">
        <v>0</v>
      </c>
    </row>
    <row r="74" spans="1:10" ht="14.25" x14ac:dyDescent="0.2">
      <c r="A74" s="582">
        <v>6221</v>
      </c>
      <c r="B74" s="1493" t="s">
        <v>1576</v>
      </c>
      <c r="C74" s="1494"/>
      <c r="D74" s="1494"/>
      <c r="E74" s="1494"/>
      <c r="F74" s="1495"/>
      <c r="G74" s="583">
        <v>0</v>
      </c>
      <c r="H74" s="583">
        <v>0</v>
      </c>
      <c r="I74" s="583">
        <v>0</v>
      </c>
      <c r="J74" s="427">
        <v>0</v>
      </c>
    </row>
    <row r="75" spans="1:10" ht="14.25" x14ac:dyDescent="0.2">
      <c r="A75" s="582">
        <v>6222</v>
      </c>
      <c r="B75" s="1493" t="s">
        <v>1577</v>
      </c>
      <c r="C75" s="1494"/>
      <c r="D75" s="1494"/>
      <c r="E75" s="1494"/>
      <c r="F75" s="1495"/>
      <c r="G75" s="583">
        <v>0</v>
      </c>
      <c r="H75" s="583">
        <v>0</v>
      </c>
      <c r="I75" s="583">
        <v>0</v>
      </c>
      <c r="J75" s="427">
        <v>0</v>
      </c>
    </row>
    <row r="76" spans="1:10" ht="14.25" x14ac:dyDescent="0.2">
      <c r="A76" s="582">
        <v>6223</v>
      </c>
      <c r="B76" s="1493" t="s">
        <v>1578</v>
      </c>
      <c r="C76" s="1494"/>
      <c r="D76" s="1494"/>
      <c r="E76" s="1494"/>
      <c r="F76" s="1495"/>
      <c r="G76" s="583">
        <v>0</v>
      </c>
      <c r="H76" s="583">
        <v>0</v>
      </c>
      <c r="I76" s="583">
        <v>0</v>
      </c>
      <c r="J76" s="427">
        <v>0</v>
      </c>
    </row>
    <row r="77" spans="1:10" ht="14.25" x14ac:dyDescent="0.2">
      <c r="A77" s="582">
        <v>6224</v>
      </c>
      <c r="B77" s="1493" t="s">
        <v>1579</v>
      </c>
      <c r="C77" s="1494"/>
      <c r="D77" s="1494"/>
      <c r="E77" s="1494"/>
      <c r="F77" s="1495"/>
      <c r="G77" s="583">
        <v>0</v>
      </c>
      <c r="H77" s="583">
        <v>0</v>
      </c>
      <c r="I77" s="583">
        <v>0</v>
      </c>
      <c r="J77" s="427">
        <v>0</v>
      </c>
    </row>
    <row r="78" spans="1:10" ht="14.25" x14ac:dyDescent="0.2">
      <c r="A78" s="582">
        <v>6225</v>
      </c>
      <c r="B78" s="1493" t="s">
        <v>1580</v>
      </c>
      <c r="C78" s="1494"/>
      <c r="D78" s="1494"/>
      <c r="E78" s="1494"/>
      <c r="F78" s="1495"/>
      <c r="G78" s="583">
        <v>0</v>
      </c>
      <c r="H78" s="583">
        <v>0</v>
      </c>
      <c r="I78" s="583">
        <v>0</v>
      </c>
      <c r="J78" s="427">
        <v>0</v>
      </c>
    </row>
    <row r="79" spans="1:10" ht="14.25" x14ac:dyDescent="0.2">
      <c r="A79" s="582">
        <v>6226</v>
      </c>
      <c r="B79" s="1493" t="s">
        <v>1581</v>
      </c>
      <c r="C79" s="1494"/>
      <c r="D79" s="1494"/>
      <c r="E79" s="1494"/>
      <c r="F79" s="1495"/>
      <c r="G79" s="583">
        <v>0</v>
      </c>
      <c r="H79" s="583">
        <v>0</v>
      </c>
      <c r="I79" s="583">
        <v>0</v>
      </c>
      <c r="J79" s="427">
        <v>0</v>
      </c>
    </row>
    <row r="80" spans="1:10" ht="14.25" x14ac:dyDescent="0.2">
      <c r="A80" s="582">
        <v>6228</v>
      </c>
      <c r="B80" s="1493" t="s">
        <v>1582</v>
      </c>
      <c r="C80" s="1494"/>
      <c r="D80" s="1494"/>
      <c r="E80" s="1494"/>
      <c r="F80" s="1495"/>
      <c r="G80" s="583">
        <v>0</v>
      </c>
      <c r="H80" s="583">
        <v>0</v>
      </c>
      <c r="I80" s="583">
        <v>0</v>
      </c>
      <c r="J80" s="427">
        <v>0</v>
      </c>
    </row>
    <row r="81" spans="1:10" ht="14.25" x14ac:dyDescent="0.2">
      <c r="A81" s="582">
        <v>6232</v>
      </c>
      <c r="B81" s="1493" t="s">
        <v>1583</v>
      </c>
      <c r="C81" s="1494"/>
      <c r="D81" s="1494"/>
      <c r="E81" s="1494"/>
      <c r="F81" s="1495"/>
      <c r="G81" s="583">
        <v>0</v>
      </c>
      <c r="H81" s="583">
        <v>0</v>
      </c>
      <c r="I81" s="583">
        <v>0</v>
      </c>
      <c r="J81" s="427">
        <v>0</v>
      </c>
    </row>
    <row r="82" spans="1:10" ht="14.25" x14ac:dyDescent="0.2">
      <c r="A82" s="582">
        <v>6233</v>
      </c>
      <c r="B82" s="1493" t="s">
        <v>1584</v>
      </c>
      <c r="C82" s="1494"/>
      <c r="D82" s="1494"/>
      <c r="E82" s="1494"/>
      <c r="F82" s="1495"/>
      <c r="G82" s="583">
        <v>0</v>
      </c>
      <c r="H82" s="583">
        <v>0</v>
      </c>
      <c r="I82" s="583">
        <v>0</v>
      </c>
      <c r="J82" s="427">
        <v>0</v>
      </c>
    </row>
    <row r="83" spans="1:10" ht="13.15" customHeight="1" x14ac:dyDescent="0.2">
      <c r="A83" s="582">
        <v>6234</v>
      </c>
      <c r="B83" s="1493" t="s">
        <v>1153</v>
      </c>
      <c r="C83" s="1494"/>
      <c r="D83" s="1494"/>
      <c r="E83" s="1494"/>
      <c r="F83" s="1495"/>
      <c r="G83" s="583">
        <v>0</v>
      </c>
      <c r="H83" s="583">
        <v>0</v>
      </c>
      <c r="I83" s="583">
        <v>0</v>
      </c>
      <c r="J83" s="427">
        <v>0</v>
      </c>
    </row>
    <row r="84" spans="1:10" ht="13.15" customHeight="1" x14ac:dyDescent="0.2">
      <c r="A84" s="582">
        <v>6238</v>
      </c>
      <c r="B84" s="1493" t="s">
        <v>1585</v>
      </c>
      <c r="C84" s="1494"/>
      <c r="D84" s="1494"/>
      <c r="E84" s="1494"/>
      <c r="F84" s="1495"/>
      <c r="G84" s="583">
        <v>0</v>
      </c>
      <c r="H84" s="583">
        <v>0</v>
      </c>
      <c r="I84" s="586">
        <v>0</v>
      </c>
      <c r="J84" s="588">
        <v>0</v>
      </c>
    </row>
  </sheetData>
  <mergeCells count="90">
    <mergeCell ref="C6:D6"/>
    <mergeCell ref="E6:F6"/>
    <mergeCell ref="H6:I6"/>
    <mergeCell ref="A1:J1"/>
    <mergeCell ref="C2:J2"/>
    <mergeCell ref="C3:J3"/>
    <mergeCell ref="C4:J4"/>
    <mergeCell ref="C5:J5"/>
    <mergeCell ref="C7:J7"/>
    <mergeCell ref="C8:J8"/>
    <mergeCell ref="C9:J9"/>
    <mergeCell ref="C10:D10"/>
    <mergeCell ref="E10:G10"/>
    <mergeCell ref="H10:J10"/>
    <mergeCell ref="C11:D11"/>
    <mergeCell ref="E11:G11"/>
    <mergeCell ref="H11:J11"/>
    <mergeCell ref="A13:J13"/>
    <mergeCell ref="A15:F16"/>
    <mergeCell ref="G15:G16"/>
    <mergeCell ref="H15:H16"/>
    <mergeCell ref="I15:J15"/>
    <mergeCell ref="B28:F28"/>
    <mergeCell ref="B17:F17"/>
    <mergeCell ref="B18:F18"/>
    <mergeCell ref="B19:F19"/>
    <mergeCell ref="B20:F20"/>
    <mergeCell ref="B21:F21"/>
    <mergeCell ref="B22:F22"/>
    <mergeCell ref="B23:F23"/>
    <mergeCell ref="B24:F24"/>
    <mergeCell ref="B25:F25"/>
    <mergeCell ref="B26:F26"/>
    <mergeCell ref="B27:F27"/>
    <mergeCell ref="B40:F40"/>
    <mergeCell ref="B29:F29"/>
    <mergeCell ref="B30:F30"/>
    <mergeCell ref="B31:F31"/>
    <mergeCell ref="B32:F32"/>
    <mergeCell ref="B33:F33"/>
    <mergeCell ref="B34:F34"/>
    <mergeCell ref="B35:F35"/>
    <mergeCell ref="B36:F36"/>
    <mergeCell ref="B37:F37"/>
    <mergeCell ref="B38:F38"/>
    <mergeCell ref="B39:F39"/>
    <mergeCell ref="B52:F52"/>
    <mergeCell ref="B41:F41"/>
    <mergeCell ref="B42:F42"/>
    <mergeCell ref="B43:F43"/>
    <mergeCell ref="B44:F44"/>
    <mergeCell ref="B45:F45"/>
    <mergeCell ref="B46:F46"/>
    <mergeCell ref="B47:F47"/>
    <mergeCell ref="B48:F48"/>
    <mergeCell ref="B49:F49"/>
    <mergeCell ref="B50:F50"/>
    <mergeCell ref="B51:F51"/>
    <mergeCell ref="B64:F64"/>
    <mergeCell ref="B53:F53"/>
    <mergeCell ref="B54:F54"/>
    <mergeCell ref="B55:F55"/>
    <mergeCell ref="B56:F56"/>
    <mergeCell ref="B57:F57"/>
    <mergeCell ref="B58:F58"/>
    <mergeCell ref="B59:F59"/>
    <mergeCell ref="B60:F60"/>
    <mergeCell ref="B61:F61"/>
    <mergeCell ref="B62:F62"/>
    <mergeCell ref="B63:F63"/>
    <mergeCell ref="B76:F76"/>
    <mergeCell ref="B65:F65"/>
    <mergeCell ref="B66:F66"/>
    <mergeCell ref="B67:F67"/>
    <mergeCell ref="B68:F68"/>
    <mergeCell ref="B69:F69"/>
    <mergeCell ref="B70:F70"/>
    <mergeCell ref="B71:F71"/>
    <mergeCell ref="B72:F72"/>
    <mergeCell ref="B73:F73"/>
    <mergeCell ref="B74:F74"/>
    <mergeCell ref="B75:F75"/>
    <mergeCell ref="B83:F83"/>
    <mergeCell ref="B84:F84"/>
    <mergeCell ref="B77:F77"/>
    <mergeCell ref="B78:F78"/>
    <mergeCell ref="B79:F79"/>
    <mergeCell ref="B80:F80"/>
    <mergeCell ref="B81:F81"/>
    <mergeCell ref="B82:F82"/>
  </mergeCells>
  <dataValidations count="1">
    <dataValidation type="whole" allowBlank="1" showInputMessage="1" showErrorMessage="1" errorTitle="Attention!" error="Valeur numérique attendue" sqref="G17:H84" xr:uid="{A07DEF8A-B054-4766-9450-24A844B45118}">
      <formula1>-9999999999999</formula1>
      <formula2>9999999999999</formula2>
    </dataValidation>
  </dataValidations>
  <pageMargins left="0.7" right="0.7" top="0.75" bottom="0.75" header="0.3" footer="0.3"/>
  <drawing r:id="rId1"/>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1BE6DC-8B42-4633-ADA0-5846ED66FED2}">
  <dimension ref="A1:J80"/>
  <sheetViews>
    <sheetView workbookViewId="0">
      <selection sqref="A1:XFD1048576"/>
    </sheetView>
  </sheetViews>
  <sheetFormatPr baseColWidth="10" defaultColWidth="11.42578125" defaultRowHeight="13.15" customHeight="1" x14ac:dyDescent="0.2"/>
  <cols>
    <col min="1" max="1" width="8.85546875" style="308" customWidth="1"/>
    <col min="2" max="2" width="21.28515625" style="308" customWidth="1"/>
    <col min="3" max="4" width="10" style="308" customWidth="1"/>
    <col min="5" max="5" width="5" style="308" customWidth="1"/>
    <col min="6" max="6" width="10" style="308" customWidth="1"/>
    <col min="7" max="9" width="11.85546875" style="308" customWidth="1"/>
    <col min="10" max="10" width="8.28515625" style="308" customWidth="1"/>
    <col min="11" max="11" width="8.140625" style="308" customWidth="1"/>
    <col min="12" max="12" width="10.42578125" style="308" customWidth="1"/>
    <col min="13" max="16384" width="11.42578125" style="308"/>
  </cols>
  <sheetData>
    <row r="1" spans="1:10" ht="15.6" customHeight="1" x14ac:dyDescent="0.2">
      <c r="A1" s="1491"/>
      <c r="B1" s="1491"/>
      <c r="C1" s="1488"/>
      <c r="D1" s="1488"/>
      <c r="E1" s="1488"/>
      <c r="F1" s="1488"/>
      <c r="G1" s="1488"/>
      <c r="H1" s="1488"/>
      <c r="I1" s="1488"/>
      <c r="J1" s="1488"/>
    </row>
    <row r="2" spans="1:10" ht="14.25" x14ac:dyDescent="0.2">
      <c r="A2" s="199" t="s">
        <v>361</v>
      </c>
      <c r="B2" s="199"/>
      <c r="C2" s="1505" t="s">
        <v>2</v>
      </c>
      <c r="D2" s="958"/>
      <c r="E2" s="958"/>
      <c r="F2" s="958"/>
      <c r="G2" s="958"/>
      <c r="H2" s="958"/>
      <c r="I2" s="958"/>
      <c r="J2" s="958"/>
    </row>
    <row r="3" spans="1:10" ht="15" customHeight="1" x14ac:dyDescent="0.2">
      <c r="A3" s="199"/>
      <c r="B3" s="199"/>
      <c r="C3" s="1506" t="s">
        <v>4</v>
      </c>
      <c r="D3" s="1506"/>
      <c r="E3" s="1506"/>
      <c r="F3" s="1506"/>
      <c r="G3" s="1506"/>
      <c r="H3" s="1506"/>
      <c r="I3" s="1506"/>
      <c r="J3" s="1506"/>
    </row>
    <row r="4" spans="1:10" ht="14.25" x14ac:dyDescent="0.2">
      <c r="A4" s="199" t="s">
        <v>362</v>
      </c>
      <c r="B4" s="199"/>
      <c r="C4" s="1506" t="s">
        <v>6</v>
      </c>
      <c r="D4" s="957"/>
      <c r="E4" s="957"/>
      <c r="F4" s="957"/>
      <c r="G4" s="957"/>
      <c r="H4" s="957"/>
      <c r="I4" s="957"/>
      <c r="J4" s="957"/>
    </row>
    <row r="5" spans="1:10" ht="15" customHeight="1" x14ac:dyDescent="0.2">
      <c r="A5" s="199" t="s">
        <v>363</v>
      </c>
      <c r="B5" s="199"/>
      <c r="C5" s="1492">
        <v>4431</v>
      </c>
      <c r="D5" s="1492"/>
      <c r="E5" s="1492"/>
      <c r="F5" s="1492"/>
      <c r="G5" s="1492"/>
      <c r="H5" s="1492"/>
      <c r="I5" s="1492"/>
      <c r="J5" s="1492"/>
    </row>
    <row r="6" spans="1:10" ht="14.25" x14ac:dyDescent="0.2">
      <c r="A6" s="199" t="s">
        <v>364</v>
      </c>
      <c r="B6" s="199"/>
      <c r="C6" s="957" t="s">
        <v>12</v>
      </c>
      <c r="D6" s="957"/>
      <c r="E6" s="1490" t="s">
        <v>365</v>
      </c>
      <c r="F6" s="1490"/>
      <c r="G6" s="202">
        <v>46022</v>
      </c>
      <c r="H6" s="770" t="s">
        <v>465</v>
      </c>
      <c r="I6" s="770"/>
      <c r="J6" s="235">
        <v>12</v>
      </c>
    </row>
    <row r="7" spans="1:10" ht="14.25" x14ac:dyDescent="0.2">
      <c r="A7" s="199" t="s">
        <v>367</v>
      </c>
      <c r="B7" s="199"/>
      <c r="C7" s="1487" t="s">
        <v>8</v>
      </c>
      <c r="D7" s="1487"/>
      <c r="E7" s="1487"/>
      <c r="F7" s="1487"/>
      <c r="G7" s="1487"/>
      <c r="H7" s="1487"/>
      <c r="I7" s="1487"/>
      <c r="J7" s="1487"/>
    </row>
    <row r="8" spans="1:10" ht="14.25" x14ac:dyDescent="0.2">
      <c r="A8" s="199" t="s">
        <v>466</v>
      </c>
      <c r="B8" s="203"/>
      <c r="C8" s="959" t="s">
        <v>34</v>
      </c>
      <c r="D8" s="959"/>
      <c r="E8" s="959"/>
      <c r="F8" s="959"/>
      <c r="G8" s="959"/>
      <c r="H8" s="959"/>
      <c r="I8" s="959"/>
      <c r="J8" s="959"/>
    </row>
    <row r="9" spans="1:10" ht="14.25" x14ac:dyDescent="0.2">
      <c r="A9" s="198"/>
      <c r="B9" s="203"/>
      <c r="C9" s="770">
        <v>555555</v>
      </c>
      <c r="D9" s="770"/>
      <c r="E9" s="770"/>
      <c r="F9" s="770"/>
      <c r="G9" s="770"/>
      <c r="H9" s="770"/>
      <c r="I9" s="770"/>
      <c r="J9" s="770"/>
    </row>
    <row r="10" spans="1:10" ht="14.25" x14ac:dyDescent="0.2">
      <c r="A10" s="199" t="s">
        <v>467</v>
      </c>
      <c r="B10" s="203"/>
      <c r="C10" s="770" t="s">
        <v>38</v>
      </c>
      <c r="D10" s="770"/>
      <c r="E10" s="770" t="s">
        <v>468</v>
      </c>
      <c r="F10" s="770"/>
      <c r="G10" s="770"/>
      <c r="H10" s="770" t="s">
        <v>36</v>
      </c>
      <c r="I10" s="770"/>
      <c r="J10" s="770"/>
    </row>
    <row r="11" spans="1:10" ht="14.25" x14ac:dyDescent="0.2">
      <c r="A11" s="199" t="s">
        <v>469</v>
      </c>
      <c r="B11" s="203"/>
      <c r="C11" s="975">
        <v>44713</v>
      </c>
      <c r="D11" s="975"/>
      <c r="E11" s="770" t="s">
        <v>470</v>
      </c>
      <c r="F11" s="770"/>
      <c r="G11" s="770"/>
      <c r="H11" s="975">
        <v>45991</v>
      </c>
      <c r="I11" s="975"/>
      <c r="J11" s="975"/>
    </row>
    <row r="12" spans="1:10" ht="10.15" customHeight="1" thickBot="1" x14ac:dyDescent="0.25">
      <c r="A12" s="24"/>
      <c r="B12" s="24"/>
      <c r="C12" s="24"/>
      <c r="D12" s="24"/>
      <c r="E12" s="24"/>
      <c r="F12" s="24"/>
      <c r="G12" s="24"/>
      <c r="H12" s="24"/>
      <c r="I12" s="24"/>
      <c r="J12" s="24"/>
    </row>
    <row r="13" spans="1:10" ht="15" thickBot="1" x14ac:dyDescent="0.25">
      <c r="A13" s="1502" t="s">
        <v>1534</v>
      </c>
      <c r="B13" s="1503"/>
      <c r="C13" s="1503"/>
      <c r="D13" s="1503"/>
      <c r="E13" s="1503"/>
      <c r="F13" s="1503"/>
      <c r="G13" s="1503"/>
      <c r="H13" s="1503"/>
      <c r="I13" s="1503"/>
      <c r="J13" s="1504"/>
    </row>
    <row r="14" spans="1:10" ht="6" customHeight="1" x14ac:dyDescent="0.2">
      <c r="A14" s="24"/>
      <c r="B14" s="24"/>
      <c r="C14" s="24"/>
      <c r="D14" s="24"/>
      <c r="E14" s="24"/>
      <c r="F14" s="24"/>
      <c r="G14" s="24"/>
      <c r="H14" s="24"/>
      <c r="I14" s="24"/>
      <c r="J14" s="24"/>
    </row>
    <row r="15" spans="1:10" ht="14.25" x14ac:dyDescent="0.2">
      <c r="A15" s="1489" t="s">
        <v>1586</v>
      </c>
      <c r="B15" s="1489"/>
      <c r="C15" s="1489"/>
      <c r="D15" s="1489"/>
      <c r="E15" s="1489"/>
      <c r="F15" s="1489"/>
      <c r="G15" s="1489" t="s">
        <v>1536</v>
      </c>
      <c r="H15" s="1489" t="s">
        <v>1537</v>
      </c>
      <c r="I15" s="1489" t="s">
        <v>1538</v>
      </c>
      <c r="J15" s="1489"/>
    </row>
    <row r="16" spans="1:10" ht="14.25" x14ac:dyDescent="0.2">
      <c r="A16" s="1489"/>
      <c r="B16" s="1489"/>
      <c r="C16" s="1489"/>
      <c r="D16" s="1489"/>
      <c r="E16" s="1489"/>
      <c r="F16" s="1489"/>
      <c r="G16" s="1489"/>
      <c r="H16" s="1489"/>
      <c r="I16" s="577" t="s">
        <v>1539</v>
      </c>
      <c r="J16" s="577" t="s">
        <v>1540</v>
      </c>
    </row>
    <row r="17" spans="1:10" ht="14.25" x14ac:dyDescent="0.2">
      <c r="A17" s="582">
        <v>6241</v>
      </c>
      <c r="B17" s="1493" t="s">
        <v>1587</v>
      </c>
      <c r="C17" s="1494"/>
      <c r="D17" s="1494"/>
      <c r="E17" s="1494"/>
      <c r="F17" s="1495"/>
      <c r="G17" s="583">
        <v>0</v>
      </c>
      <c r="H17" s="583">
        <v>0</v>
      </c>
      <c r="I17" s="583">
        <v>0</v>
      </c>
      <c r="J17" s="427">
        <v>0</v>
      </c>
    </row>
    <row r="18" spans="1:10" ht="14.25" x14ac:dyDescent="0.2">
      <c r="A18" s="589">
        <v>6242</v>
      </c>
      <c r="B18" s="1493" t="s">
        <v>1588</v>
      </c>
      <c r="C18" s="1494"/>
      <c r="D18" s="1494"/>
      <c r="E18" s="1494"/>
      <c r="F18" s="1495"/>
      <c r="G18" s="583">
        <v>0</v>
      </c>
      <c r="H18" s="583">
        <v>0</v>
      </c>
      <c r="I18" s="583">
        <v>0</v>
      </c>
      <c r="J18" s="427">
        <v>0</v>
      </c>
    </row>
    <row r="19" spans="1:10" ht="14.25" x14ac:dyDescent="0.2">
      <c r="A19" s="582">
        <v>6243</v>
      </c>
      <c r="B19" s="1493" t="s">
        <v>1589</v>
      </c>
      <c r="C19" s="1494"/>
      <c r="D19" s="1494"/>
      <c r="E19" s="1494"/>
      <c r="F19" s="1495"/>
      <c r="G19" s="583">
        <v>0</v>
      </c>
      <c r="H19" s="583">
        <v>0</v>
      </c>
      <c r="I19" s="583">
        <v>0</v>
      </c>
      <c r="J19" s="427">
        <v>0</v>
      </c>
    </row>
    <row r="20" spans="1:10" ht="14.25" x14ac:dyDescent="0.2">
      <c r="A20" s="582">
        <v>6244</v>
      </c>
      <c r="B20" s="1493" t="s">
        <v>1590</v>
      </c>
      <c r="C20" s="1494"/>
      <c r="D20" s="1494"/>
      <c r="E20" s="1494"/>
      <c r="F20" s="1495"/>
      <c r="G20" s="583">
        <v>0</v>
      </c>
      <c r="H20" s="583">
        <v>0</v>
      </c>
      <c r="I20" s="583">
        <v>0</v>
      </c>
      <c r="J20" s="427">
        <v>0</v>
      </c>
    </row>
    <row r="21" spans="1:10" ht="14.25" x14ac:dyDescent="0.2">
      <c r="A21" s="582">
        <v>6248</v>
      </c>
      <c r="B21" s="1493" t="s">
        <v>1591</v>
      </c>
      <c r="C21" s="1494"/>
      <c r="D21" s="1494"/>
      <c r="E21" s="1494"/>
      <c r="F21" s="1495"/>
      <c r="G21" s="583">
        <v>0</v>
      </c>
      <c r="H21" s="583">
        <v>0</v>
      </c>
      <c r="I21" s="583">
        <v>0</v>
      </c>
      <c r="J21" s="427">
        <v>0</v>
      </c>
    </row>
    <row r="22" spans="1:10" ht="14.25" x14ac:dyDescent="0.2">
      <c r="A22" s="582">
        <v>6251</v>
      </c>
      <c r="B22" s="1493" t="s">
        <v>1592</v>
      </c>
      <c r="C22" s="1494"/>
      <c r="D22" s="1494"/>
      <c r="E22" s="1494"/>
      <c r="F22" s="1495"/>
      <c r="G22" s="583">
        <v>0</v>
      </c>
      <c r="H22" s="583">
        <v>0</v>
      </c>
      <c r="I22" s="583">
        <v>0</v>
      </c>
      <c r="J22" s="427">
        <v>0</v>
      </c>
    </row>
    <row r="23" spans="1:10" ht="14.25" x14ac:dyDescent="0.2">
      <c r="A23" s="582">
        <v>6252</v>
      </c>
      <c r="B23" s="1493" t="s">
        <v>1593</v>
      </c>
      <c r="C23" s="1494"/>
      <c r="D23" s="1494"/>
      <c r="E23" s="1494"/>
      <c r="F23" s="1495"/>
      <c r="G23" s="583">
        <v>0</v>
      </c>
      <c r="H23" s="583">
        <v>0</v>
      </c>
      <c r="I23" s="583">
        <v>0</v>
      </c>
      <c r="J23" s="427">
        <v>0</v>
      </c>
    </row>
    <row r="24" spans="1:10" ht="14.25" x14ac:dyDescent="0.2">
      <c r="A24" s="582">
        <v>6253</v>
      </c>
      <c r="B24" s="1493" t="s">
        <v>1594</v>
      </c>
      <c r="C24" s="1494"/>
      <c r="D24" s="1494"/>
      <c r="E24" s="1494"/>
      <c r="F24" s="1495"/>
      <c r="G24" s="583">
        <v>0</v>
      </c>
      <c r="H24" s="583">
        <v>0</v>
      </c>
      <c r="I24" s="583">
        <v>0</v>
      </c>
      <c r="J24" s="427">
        <v>0</v>
      </c>
    </row>
    <row r="25" spans="1:10" ht="14.25" x14ac:dyDescent="0.2">
      <c r="A25" s="582">
        <v>6258</v>
      </c>
      <c r="B25" s="1493" t="s">
        <v>1595</v>
      </c>
      <c r="C25" s="1494"/>
      <c r="D25" s="1494"/>
      <c r="E25" s="1494"/>
      <c r="F25" s="1495"/>
      <c r="G25" s="583">
        <v>0</v>
      </c>
      <c r="H25" s="583">
        <v>0</v>
      </c>
      <c r="I25" s="583">
        <v>0</v>
      </c>
      <c r="J25" s="427">
        <v>0</v>
      </c>
    </row>
    <row r="26" spans="1:10" ht="14.25" x14ac:dyDescent="0.2">
      <c r="A26" s="582">
        <v>6261</v>
      </c>
      <c r="B26" s="1493" t="s">
        <v>1596</v>
      </c>
      <c r="C26" s="1494"/>
      <c r="D26" s="1494"/>
      <c r="E26" s="1494"/>
      <c r="F26" s="1495"/>
      <c r="G26" s="583">
        <v>0</v>
      </c>
      <c r="H26" s="583">
        <v>0</v>
      </c>
      <c r="I26" s="583">
        <v>0</v>
      </c>
      <c r="J26" s="427">
        <v>0</v>
      </c>
    </row>
    <row r="27" spans="1:10" ht="14.25" x14ac:dyDescent="0.2">
      <c r="A27" s="582">
        <v>6265</v>
      </c>
      <c r="B27" s="1493" t="s">
        <v>1597</v>
      </c>
      <c r="C27" s="1494"/>
      <c r="D27" s="1494"/>
      <c r="E27" s="1494"/>
      <c r="F27" s="1495"/>
      <c r="G27" s="583">
        <v>0</v>
      </c>
      <c r="H27" s="583">
        <v>0</v>
      </c>
      <c r="I27" s="583">
        <v>0</v>
      </c>
      <c r="J27" s="427">
        <v>0</v>
      </c>
    </row>
    <row r="28" spans="1:10" ht="14.25" x14ac:dyDescent="0.2">
      <c r="A28" s="582">
        <v>6266</v>
      </c>
      <c r="B28" s="1493" t="s">
        <v>1598</v>
      </c>
      <c r="C28" s="1494"/>
      <c r="D28" s="1494"/>
      <c r="E28" s="1494"/>
      <c r="F28" s="1495"/>
      <c r="G28" s="583">
        <v>0</v>
      </c>
      <c r="H28" s="583">
        <v>0</v>
      </c>
      <c r="I28" s="583">
        <v>0</v>
      </c>
      <c r="J28" s="427">
        <v>0</v>
      </c>
    </row>
    <row r="29" spans="1:10" ht="14.25" x14ac:dyDescent="0.2">
      <c r="A29" s="582">
        <v>6271</v>
      </c>
      <c r="B29" s="1493" t="s">
        <v>1599</v>
      </c>
      <c r="C29" s="1494"/>
      <c r="D29" s="1494"/>
      <c r="E29" s="1494"/>
      <c r="F29" s="1495"/>
      <c r="G29" s="583">
        <v>0</v>
      </c>
      <c r="H29" s="583">
        <v>0</v>
      </c>
      <c r="I29" s="583">
        <v>0</v>
      </c>
      <c r="J29" s="427">
        <v>0</v>
      </c>
    </row>
    <row r="30" spans="1:10" ht="14.25" x14ac:dyDescent="0.2">
      <c r="A30" s="582">
        <v>6272</v>
      </c>
      <c r="B30" s="1493" t="s">
        <v>1600</v>
      </c>
      <c r="C30" s="1494"/>
      <c r="D30" s="1494"/>
      <c r="E30" s="1494"/>
      <c r="F30" s="1495"/>
      <c r="G30" s="583">
        <v>0</v>
      </c>
      <c r="H30" s="583">
        <v>0</v>
      </c>
      <c r="I30" s="583">
        <v>0</v>
      </c>
      <c r="J30" s="427">
        <v>0</v>
      </c>
    </row>
    <row r="31" spans="1:10" ht="14.25" x14ac:dyDescent="0.2">
      <c r="A31" s="582">
        <v>6273</v>
      </c>
      <c r="B31" s="1493" t="s">
        <v>1601</v>
      </c>
      <c r="C31" s="1494"/>
      <c r="D31" s="1494"/>
      <c r="E31" s="1494"/>
      <c r="F31" s="1495"/>
      <c r="G31" s="583">
        <v>0</v>
      </c>
      <c r="H31" s="583">
        <v>0</v>
      </c>
      <c r="I31" s="583">
        <v>0</v>
      </c>
      <c r="J31" s="427">
        <v>0</v>
      </c>
    </row>
    <row r="32" spans="1:10" ht="14.25" x14ac:dyDescent="0.2">
      <c r="A32" s="582">
        <v>6274</v>
      </c>
      <c r="B32" s="1493" t="s">
        <v>1602</v>
      </c>
      <c r="C32" s="1494"/>
      <c r="D32" s="1494"/>
      <c r="E32" s="1494"/>
      <c r="F32" s="1495"/>
      <c r="G32" s="583">
        <v>0</v>
      </c>
      <c r="H32" s="583">
        <v>0</v>
      </c>
      <c r="I32" s="583">
        <v>0</v>
      </c>
      <c r="J32" s="427">
        <v>0</v>
      </c>
    </row>
    <row r="33" spans="1:10" ht="14.25" x14ac:dyDescent="0.2">
      <c r="A33" s="582">
        <v>6275</v>
      </c>
      <c r="B33" s="1493" t="s">
        <v>1603</v>
      </c>
      <c r="C33" s="1494"/>
      <c r="D33" s="1494"/>
      <c r="E33" s="1494"/>
      <c r="F33" s="1495"/>
      <c r="G33" s="583">
        <v>0</v>
      </c>
      <c r="H33" s="583">
        <v>0</v>
      </c>
      <c r="I33" s="583">
        <v>0</v>
      </c>
      <c r="J33" s="427">
        <v>0</v>
      </c>
    </row>
    <row r="34" spans="1:10" ht="14.25" x14ac:dyDescent="0.2">
      <c r="A34" s="582">
        <v>6277</v>
      </c>
      <c r="B34" s="1493" t="s">
        <v>1604</v>
      </c>
      <c r="C34" s="1494"/>
      <c r="D34" s="1494"/>
      <c r="E34" s="1494"/>
      <c r="F34" s="1495"/>
      <c r="G34" s="583">
        <v>0</v>
      </c>
      <c r="H34" s="583">
        <v>0</v>
      </c>
      <c r="I34" s="583">
        <v>0</v>
      </c>
      <c r="J34" s="427">
        <v>0</v>
      </c>
    </row>
    <row r="35" spans="1:10" ht="14.25" x14ac:dyDescent="0.2">
      <c r="A35" s="582">
        <v>6278</v>
      </c>
      <c r="B35" s="1493" t="s">
        <v>1605</v>
      </c>
      <c r="C35" s="1494"/>
      <c r="D35" s="1494"/>
      <c r="E35" s="1494"/>
      <c r="F35" s="1495"/>
      <c r="G35" s="583">
        <v>0</v>
      </c>
      <c r="H35" s="583">
        <v>0</v>
      </c>
      <c r="I35" s="583">
        <v>0</v>
      </c>
      <c r="J35" s="427">
        <v>0</v>
      </c>
    </row>
    <row r="36" spans="1:10" ht="14.25" x14ac:dyDescent="0.2">
      <c r="A36" s="582">
        <v>6281</v>
      </c>
      <c r="B36" s="1493" t="s">
        <v>1606</v>
      </c>
      <c r="C36" s="1494"/>
      <c r="D36" s="1494"/>
      <c r="E36" s="1494"/>
      <c r="F36" s="1495"/>
      <c r="G36" s="583">
        <v>0</v>
      </c>
      <c r="H36" s="583">
        <v>0</v>
      </c>
      <c r="I36" s="583">
        <v>0</v>
      </c>
      <c r="J36" s="427">
        <v>0</v>
      </c>
    </row>
    <row r="37" spans="1:10" ht="14.25" x14ac:dyDescent="0.2">
      <c r="A37" s="582">
        <v>6283</v>
      </c>
      <c r="B37" s="1493" t="s">
        <v>1607</v>
      </c>
      <c r="C37" s="1494"/>
      <c r="D37" s="1494"/>
      <c r="E37" s="1494"/>
      <c r="F37" s="1495"/>
      <c r="G37" s="583">
        <v>0</v>
      </c>
      <c r="H37" s="583">
        <v>0</v>
      </c>
      <c r="I37" s="583">
        <v>0</v>
      </c>
      <c r="J37" s="427">
        <v>0</v>
      </c>
    </row>
    <row r="38" spans="1:10" ht="14.25" x14ac:dyDescent="0.2">
      <c r="A38" s="582">
        <v>6284</v>
      </c>
      <c r="B38" s="1493" t="s">
        <v>1608</v>
      </c>
      <c r="C38" s="1494"/>
      <c r="D38" s="1494"/>
      <c r="E38" s="1494"/>
      <c r="F38" s="1495"/>
      <c r="G38" s="583">
        <v>0</v>
      </c>
      <c r="H38" s="583">
        <v>0</v>
      </c>
      <c r="I38" s="583">
        <v>0</v>
      </c>
      <c r="J38" s="427">
        <v>0</v>
      </c>
    </row>
    <row r="39" spans="1:10" ht="14.25" x14ac:dyDescent="0.2">
      <c r="A39" s="582">
        <v>6288</v>
      </c>
      <c r="B39" s="1493" t="s">
        <v>1609</v>
      </c>
      <c r="C39" s="1494"/>
      <c r="D39" s="1494"/>
      <c r="E39" s="1494"/>
      <c r="F39" s="1495"/>
      <c r="G39" s="583">
        <v>0</v>
      </c>
      <c r="H39" s="583">
        <v>0</v>
      </c>
      <c r="I39" s="583">
        <v>0</v>
      </c>
      <c r="J39" s="427">
        <v>0</v>
      </c>
    </row>
    <row r="40" spans="1:10" ht="14.25" x14ac:dyDescent="0.2">
      <c r="A40" s="582">
        <v>6311</v>
      </c>
      <c r="B40" s="1493" t="s">
        <v>1610</v>
      </c>
      <c r="C40" s="1494"/>
      <c r="D40" s="1494"/>
      <c r="E40" s="1494"/>
      <c r="F40" s="1495"/>
      <c r="G40" s="583">
        <v>0</v>
      </c>
      <c r="H40" s="583">
        <v>0</v>
      </c>
      <c r="I40" s="583">
        <v>0</v>
      </c>
      <c r="J40" s="427">
        <v>0</v>
      </c>
    </row>
    <row r="41" spans="1:10" ht="14.25" x14ac:dyDescent="0.2">
      <c r="A41" s="582">
        <v>6312</v>
      </c>
      <c r="B41" s="1493" t="s">
        <v>1611</v>
      </c>
      <c r="C41" s="1494"/>
      <c r="D41" s="1494"/>
      <c r="E41" s="1494"/>
      <c r="F41" s="1495"/>
      <c r="G41" s="583">
        <v>0</v>
      </c>
      <c r="H41" s="583">
        <v>0</v>
      </c>
      <c r="I41" s="583">
        <v>0</v>
      </c>
      <c r="J41" s="427">
        <v>0</v>
      </c>
    </row>
    <row r="42" spans="1:10" ht="14.25" x14ac:dyDescent="0.2">
      <c r="A42" s="582">
        <v>6313</v>
      </c>
      <c r="B42" s="1493" t="s">
        <v>1612</v>
      </c>
      <c r="C42" s="1494"/>
      <c r="D42" s="1494"/>
      <c r="E42" s="1494"/>
      <c r="F42" s="1495"/>
      <c r="G42" s="583">
        <v>0</v>
      </c>
      <c r="H42" s="583">
        <v>0</v>
      </c>
      <c r="I42" s="583">
        <v>0</v>
      </c>
      <c r="J42" s="427">
        <v>0</v>
      </c>
    </row>
    <row r="43" spans="1:10" ht="14.25" x14ac:dyDescent="0.2">
      <c r="A43" s="582">
        <v>6315</v>
      </c>
      <c r="B43" s="1493" t="s">
        <v>1613</v>
      </c>
      <c r="C43" s="1494"/>
      <c r="D43" s="1494"/>
      <c r="E43" s="1494"/>
      <c r="F43" s="1495"/>
      <c r="G43" s="583">
        <v>0</v>
      </c>
      <c r="H43" s="583">
        <v>0</v>
      </c>
      <c r="I43" s="583">
        <v>0</v>
      </c>
      <c r="J43" s="427">
        <v>0</v>
      </c>
    </row>
    <row r="44" spans="1:10" ht="14.25" x14ac:dyDescent="0.2">
      <c r="A44" s="582">
        <v>6316</v>
      </c>
      <c r="B44" s="1493" t="s">
        <v>1614</v>
      </c>
      <c r="C44" s="1494"/>
      <c r="D44" s="1494"/>
      <c r="E44" s="1494"/>
      <c r="F44" s="1495"/>
      <c r="G44" s="583">
        <v>0</v>
      </c>
      <c r="H44" s="583">
        <v>0</v>
      </c>
      <c r="I44" s="587">
        <v>0</v>
      </c>
      <c r="J44" s="427">
        <v>0</v>
      </c>
    </row>
    <row r="45" spans="1:10" ht="14.25" x14ac:dyDescent="0.2">
      <c r="A45" s="582">
        <v>6317</v>
      </c>
      <c r="B45" s="1493" t="s">
        <v>1615</v>
      </c>
      <c r="C45" s="1494"/>
      <c r="D45" s="1494"/>
      <c r="E45" s="1494"/>
      <c r="F45" s="1495"/>
      <c r="G45" s="583">
        <v>0</v>
      </c>
      <c r="H45" s="583">
        <v>0</v>
      </c>
      <c r="I45" s="583">
        <v>0</v>
      </c>
      <c r="J45" s="427">
        <v>0</v>
      </c>
    </row>
    <row r="46" spans="1:10" ht="14.25" x14ac:dyDescent="0.2">
      <c r="A46" s="582">
        <v>6318</v>
      </c>
      <c r="B46" s="1493" t="s">
        <v>1616</v>
      </c>
      <c r="C46" s="1494"/>
      <c r="D46" s="1494"/>
      <c r="E46" s="1494"/>
      <c r="F46" s="1495"/>
      <c r="G46" s="583">
        <v>0</v>
      </c>
      <c r="H46" s="583">
        <v>0</v>
      </c>
      <c r="I46" s="583">
        <v>0</v>
      </c>
      <c r="J46" s="427">
        <v>0</v>
      </c>
    </row>
    <row r="47" spans="1:10" ht="14.25" x14ac:dyDescent="0.2">
      <c r="A47" s="582">
        <v>6322</v>
      </c>
      <c r="B47" s="1493" t="s">
        <v>1617</v>
      </c>
      <c r="C47" s="1494"/>
      <c r="D47" s="1494"/>
      <c r="E47" s="1494"/>
      <c r="F47" s="1495"/>
      <c r="G47" s="583">
        <v>0</v>
      </c>
      <c r="H47" s="583">
        <v>0</v>
      </c>
      <c r="I47" s="583">
        <v>0</v>
      </c>
      <c r="J47" s="427">
        <v>0</v>
      </c>
    </row>
    <row r="48" spans="1:10" ht="14.25" x14ac:dyDescent="0.2">
      <c r="A48" s="582">
        <v>6324</v>
      </c>
      <c r="B48" s="1493" t="s">
        <v>1618</v>
      </c>
      <c r="C48" s="1494"/>
      <c r="D48" s="1494"/>
      <c r="E48" s="1494"/>
      <c r="F48" s="1495"/>
      <c r="G48" s="583">
        <v>0</v>
      </c>
      <c r="H48" s="583">
        <v>0</v>
      </c>
      <c r="I48" s="583">
        <v>0</v>
      </c>
      <c r="J48" s="427">
        <v>0</v>
      </c>
    </row>
    <row r="49" spans="1:10" ht="14.25" x14ac:dyDescent="0.2">
      <c r="A49" s="582">
        <v>6325</v>
      </c>
      <c r="B49" s="1493" t="s">
        <v>1619</v>
      </c>
      <c r="C49" s="1494"/>
      <c r="D49" s="1494"/>
      <c r="E49" s="1494"/>
      <c r="F49" s="1495"/>
      <c r="G49" s="583">
        <v>0</v>
      </c>
      <c r="H49" s="583">
        <v>0</v>
      </c>
      <c r="I49" s="583">
        <v>0</v>
      </c>
      <c r="J49" s="427">
        <v>0</v>
      </c>
    </row>
    <row r="50" spans="1:10" ht="14.25" x14ac:dyDescent="0.2">
      <c r="A50" s="582">
        <v>6327</v>
      </c>
      <c r="B50" s="1493" t="s">
        <v>1620</v>
      </c>
      <c r="C50" s="1494"/>
      <c r="D50" s="1494"/>
      <c r="E50" s="1494"/>
      <c r="F50" s="1495"/>
      <c r="G50" s="583">
        <v>0</v>
      </c>
      <c r="H50" s="583">
        <v>0</v>
      </c>
      <c r="I50" s="583">
        <v>0</v>
      </c>
      <c r="J50" s="427">
        <v>0</v>
      </c>
    </row>
    <row r="51" spans="1:10" ht="14.25" x14ac:dyDescent="0.2">
      <c r="A51" s="582">
        <v>6328</v>
      </c>
      <c r="B51" s="1493" t="s">
        <v>1621</v>
      </c>
      <c r="C51" s="1494"/>
      <c r="D51" s="1494"/>
      <c r="E51" s="1494"/>
      <c r="F51" s="1495"/>
      <c r="G51" s="583">
        <v>0</v>
      </c>
      <c r="H51" s="583">
        <v>0</v>
      </c>
      <c r="I51" s="583">
        <v>0</v>
      </c>
      <c r="J51" s="427">
        <v>0</v>
      </c>
    </row>
    <row r="52" spans="1:10" ht="14.25" x14ac:dyDescent="0.2">
      <c r="A52" s="582">
        <v>633</v>
      </c>
      <c r="B52" s="1493" t="s">
        <v>1622</v>
      </c>
      <c r="C52" s="1494"/>
      <c r="D52" s="1494"/>
      <c r="E52" s="1494"/>
      <c r="F52" s="1495"/>
      <c r="G52" s="583">
        <v>0</v>
      </c>
      <c r="H52" s="583">
        <v>0</v>
      </c>
      <c r="I52" s="583">
        <v>0</v>
      </c>
      <c r="J52" s="427">
        <v>0</v>
      </c>
    </row>
    <row r="53" spans="1:10" ht="14.25" x14ac:dyDescent="0.2">
      <c r="A53" s="582">
        <v>6342</v>
      </c>
      <c r="B53" s="1493" t="s">
        <v>1623</v>
      </c>
      <c r="C53" s="1494"/>
      <c r="D53" s="1494"/>
      <c r="E53" s="1494"/>
      <c r="F53" s="1495"/>
      <c r="G53" s="583">
        <v>0</v>
      </c>
      <c r="H53" s="583">
        <v>0</v>
      </c>
      <c r="I53" s="583">
        <v>0</v>
      </c>
      <c r="J53" s="427">
        <v>0</v>
      </c>
    </row>
    <row r="54" spans="1:10" ht="14.25" x14ac:dyDescent="0.2">
      <c r="A54" s="582">
        <v>6343</v>
      </c>
      <c r="B54" s="1493" t="s">
        <v>1624</v>
      </c>
      <c r="C54" s="1494"/>
      <c r="D54" s="1494"/>
      <c r="E54" s="1494"/>
      <c r="F54" s="1495"/>
      <c r="G54" s="583">
        <v>0</v>
      </c>
      <c r="H54" s="583">
        <v>0</v>
      </c>
      <c r="I54" s="583">
        <v>0</v>
      </c>
      <c r="J54" s="427">
        <v>0</v>
      </c>
    </row>
    <row r="55" spans="1:10" ht="14.25" x14ac:dyDescent="0.2">
      <c r="A55" s="582">
        <v>6345</v>
      </c>
      <c r="B55" s="1493" t="s">
        <v>1625</v>
      </c>
      <c r="C55" s="1494"/>
      <c r="D55" s="1494"/>
      <c r="E55" s="1494"/>
      <c r="F55" s="1495"/>
      <c r="G55" s="583">
        <v>0</v>
      </c>
      <c r="H55" s="583">
        <v>0</v>
      </c>
      <c r="I55" s="583">
        <v>0</v>
      </c>
      <c r="J55" s="427">
        <v>0</v>
      </c>
    </row>
    <row r="56" spans="1:10" ht="14.25" x14ac:dyDescent="0.2">
      <c r="A56" s="582">
        <v>6346</v>
      </c>
      <c r="B56" s="1493" t="s">
        <v>1626</v>
      </c>
      <c r="C56" s="1494"/>
      <c r="D56" s="1494"/>
      <c r="E56" s="1494"/>
      <c r="F56" s="1495"/>
      <c r="G56" s="583">
        <v>0</v>
      </c>
      <c r="H56" s="583">
        <v>0</v>
      </c>
      <c r="I56" s="583">
        <v>0</v>
      </c>
      <c r="J56" s="427">
        <v>0</v>
      </c>
    </row>
    <row r="57" spans="1:10" ht="14.25" x14ac:dyDescent="0.2">
      <c r="A57" s="582">
        <v>6348</v>
      </c>
      <c r="B57" s="1493" t="s">
        <v>1627</v>
      </c>
      <c r="C57" s="1494"/>
      <c r="D57" s="1494"/>
      <c r="E57" s="1494"/>
      <c r="F57" s="1495"/>
      <c r="G57" s="583">
        <v>0</v>
      </c>
      <c r="H57" s="583">
        <v>0</v>
      </c>
      <c r="I57" s="583">
        <v>0</v>
      </c>
      <c r="J57" s="427">
        <v>0</v>
      </c>
    </row>
    <row r="58" spans="1:10" ht="14.25" x14ac:dyDescent="0.2">
      <c r="A58" s="582">
        <v>6351</v>
      </c>
      <c r="B58" s="1493" t="s">
        <v>606</v>
      </c>
      <c r="C58" s="1494"/>
      <c r="D58" s="1494"/>
      <c r="E58" s="1494"/>
      <c r="F58" s="1495"/>
      <c r="G58" s="583">
        <v>0</v>
      </c>
      <c r="H58" s="583">
        <v>0</v>
      </c>
      <c r="I58" s="583">
        <v>0</v>
      </c>
      <c r="J58" s="427">
        <v>0</v>
      </c>
    </row>
    <row r="59" spans="1:10" ht="14.25" x14ac:dyDescent="0.2">
      <c r="A59" s="582">
        <v>6358</v>
      </c>
      <c r="B59" s="1493" t="s">
        <v>1628</v>
      </c>
      <c r="C59" s="1494"/>
      <c r="D59" s="1494"/>
      <c r="E59" s="1494"/>
      <c r="F59" s="1495"/>
      <c r="G59" s="583">
        <v>0</v>
      </c>
      <c r="H59" s="583">
        <v>0</v>
      </c>
      <c r="I59" s="583">
        <v>0</v>
      </c>
      <c r="J59" s="427">
        <v>0</v>
      </c>
    </row>
    <row r="60" spans="1:10" ht="14.25" x14ac:dyDescent="0.2">
      <c r="A60" s="582">
        <v>636</v>
      </c>
      <c r="B60" s="1493" t="s">
        <v>1278</v>
      </c>
      <c r="C60" s="1494"/>
      <c r="D60" s="1494"/>
      <c r="E60" s="1494"/>
      <c r="F60" s="1495"/>
      <c r="G60" s="583">
        <v>0</v>
      </c>
      <c r="H60" s="583">
        <v>0</v>
      </c>
      <c r="I60" s="583">
        <v>0</v>
      </c>
      <c r="J60" s="427">
        <v>0</v>
      </c>
    </row>
    <row r="61" spans="1:10" ht="14.25" x14ac:dyDescent="0.2">
      <c r="A61" s="582">
        <v>6371</v>
      </c>
      <c r="B61" s="1493" t="s">
        <v>1629</v>
      </c>
      <c r="C61" s="1494"/>
      <c r="D61" s="1494"/>
      <c r="E61" s="1494"/>
      <c r="F61" s="1495"/>
      <c r="G61" s="583">
        <v>0</v>
      </c>
      <c r="H61" s="583">
        <v>0</v>
      </c>
      <c r="I61" s="583">
        <v>0</v>
      </c>
      <c r="J61" s="427">
        <v>0</v>
      </c>
    </row>
    <row r="62" spans="1:10" ht="14.25" x14ac:dyDescent="0.2">
      <c r="A62" s="582">
        <v>6372</v>
      </c>
      <c r="B62" s="1493" t="s">
        <v>1630</v>
      </c>
      <c r="C62" s="1494"/>
      <c r="D62" s="1494"/>
      <c r="E62" s="1494"/>
      <c r="F62" s="1495"/>
      <c r="G62" s="583">
        <v>0</v>
      </c>
      <c r="H62" s="583">
        <v>0</v>
      </c>
      <c r="I62" s="583">
        <v>0</v>
      </c>
      <c r="J62" s="427">
        <v>0</v>
      </c>
    </row>
    <row r="63" spans="1:10" ht="14.25" x14ac:dyDescent="0.2">
      <c r="A63" s="582">
        <v>6381</v>
      </c>
      <c r="B63" s="1493" t="s">
        <v>1631</v>
      </c>
      <c r="C63" s="1494"/>
      <c r="D63" s="1494"/>
      <c r="E63" s="1494"/>
      <c r="F63" s="1495"/>
      <c r="G63" s="583">
        <v>0</v>
      </c>
      <c r="H63" s="583">
        <v>0</v>
      </c>
      <c r="I63" s="583">
        <v>0</v>
      </c>
      <c r="J63" s="427">
        <v>0</v>
      </c>
    </row>
    <row r="64" spans="1:10" ht="14.25" x14ac:dyDescent="0.2">
      <c r="A64" s="582">
        <v>6382</v>
      </c>
      <c r="B64" s="1493" t="s">
        <v>1632</v>
      </c>
      <c r="C64" s="1494"/>
      <c r="D64" s="1494"/>
      <c r="E64" s="1494"/>
      <c r="F64" s="1495"/>
      <c r="G64" s="583">
        <v>0</v>
      </c>
      <c r="H64" s="583">
        <v>0</v>
      </c>
      <c r="I64" s="583">
        <v>0</v>
      </c>
      <c r="J64" s="427">
        <v>0</v>
      </c>
    </row>
    <row r="65" spans="1:10" ht="14.25" x14ac:dyDescent="0.2">
      <c r="A65" s="582">
        <v>6383</v>
      </c>
      <c r="B65" s="1493" t="s">
        <v>1633</v>
      </c>
      <c r="C65" s="1494"/>
      <c r="D65" s="1494"/>
      <c r="E65" s="1494"/>
      <c r="F65" s="1495"/>
      <c r="G65" s="583">
        <v>0</v>
      </c>
      <c r="H65" s="583">
        <v>0</v>
      </c>
      <c r="I65" s="583">
        <v>0</v>
      </c>
      <c r="J65" s="427">
        <v>0</v>
      </c>
    </row>
    <row r="66" spans="1:10" ht="14.25" x14ac:dyDescent="0.2">
      <c r="A66" s="582">
        <v>6384</v>
      </c>
      <c r="B66" s="1493" t="s">
        <v>1634</v>
      </c>
      <c r="C66" s="1494"/>
      <c r="D66" s="1494"/>
      <c r="E66" s="1494"/>
      <c r="F66" s="1495"/>
      <c r="G66" s="583">
        <v>0</v>
      </c>
      <c r="H66" s="583">
        <v>0</v>
      </c>
      <c r="I66" s="583">
        <v>0</v>
      </c>
      <c r="J66" s="427">
        <v>0</v>
      </c>
    </row>
    <row r="67" spans="1:10" ht="14.25" x14ac:dyDescent="0.2">
      <c r="A67" s="582">
        <v>6385</v>
      </c>
      <c r="B67" s="1493" t="s">
        <v>1635</v>
      </c>
      <c r="C67" s="1494"/>
      <c r="D67" s="1494"/>
      <c r="E67" s="1494"/>
      <c r="F67" s="1495"/>
      <c r="G67" s="583">
        <v>0</v>
      </c>
      <c r="H67" s="583">
        <v>0</v>
      </c>
      <c r="I67" s="583">
        <v>0</v>
      </c>
      <c r="J67" s="427">
        <v>0</v>
      </c>
    </row>
    <row r="68" spans="1:10" ht="14.25" x14ac:dyDescent="0.2">
      <c r="A68" s="582">
        <v>6388</v>
      </c>
      <c r="B68" s="1493" t="s">
        <v>1636</v>
      </c>
      <c r="C68" s="1494"/>
      <c r="D68" s="1494"/>
      <c r="E68" s="1494"/>
      <c r="F68" s="1495"/>
      <c r="G68" s="583">
        <v>0</v>
      </c>
      <c r="H68" s="583">
        <v>0</v>
      </c>
      <c r="I68" s="583">
        <v>0</v>
      </c>
      <c r="J68" s="427">
        <v>0</v>
      </c>
    </row>
    <row r="69" spans="1:10" ht="15" customHeight="1" x14ac:dyDescent="0.2">
      <c r="A69" s="584" t="s">
        <v>620</v>
      </c>
      <c r="B69" s="1496" t="s">
        <v>638</v>
      </c>
      <c r="C69" s="1497"/>
      <c r="D69" s="1497"/>
      <c r="E69" s="1497"/>
      <c r="F69" s="1498"/>
      <c r="G69" s="585">
        <v>0</v>
      </c>
      <c r="H69" s="585">
        <v>0</v>
      </c>
      <c r="I69" s="585">
        <v>0</v>
      </c>
      <c r="J69" s="430">
        <v>0</v>
      </c>
    </row>
    <row r="70" spans="1:10" ht="14.25" x14ac:dyDescent="0.2">
      <c r="A70" s="582">
        <v>6411</v>
      </c>
      <c r="B70" s="1507" t="s">
        <v>1637</v>
      </c>
      <c r="C70" s="1507"/>
      <c r="D70" s="1507"/>
      <c r="E70" s="1507"/>
      <c r="F70" s="1507"/>
      <c r="G70" s="590">
        <v>0</v>
      </c>
      <c r="H70" s="583">
        <v>0</v>
      </c>
      <c r="I70" s="583">
        <v>0</v>
      </c>
      <c r="J70" s="427">
        <v>0</v>
      </c>
    </row>
    <row r="71" spans="1:10" ht="14.25" x14ac:dyDescent="0.2">
      <c r="A71" s="582">
        <v>6412</v>
      </c>
      <c r="B71" s="1507" t="s">
        <v>1638</v>
      </c>
      <c r="C71" s="1507"/>
      <c r="D71" s="1507"/>
      <c r="E71" s="1507"/>
      <c r="F71" s="1507"/>
      <c r="G71" s="590">
        <v>0</v>
      </c>
      <c r="H71" s="583">
        <v>0</v>
      </c>
      <c r="I71" s="583">
        <v>0</v>
      </c>
      <c r="J71" s="427">
        <v>0</v>
      </c>
    </row>
    <row r="72" spans="1:10" ht="14.25" x14ac:dyDescent="0.2">
      <c r="A72" s="582">
        <v>6413</v>
      </c>
      <c r="B72" s="1507" t="s">
        <v>1639</v>
      </c>
      <c r="C72" s="1507"/>
      <c r="D72" s="1507"/>
      <c r="E72" s="1507"/>
      <c r="F72" s="1507"/>
      <c r="G72" s="590">
        <v>0</v>
      </c>
      <c r="H72" s="583">
        <v>0</v>
      </c>
      <c r="I72" s="583">
        <v>0</v>
      </c>
      <c r="J72" s="427">
        <v>0</v>
      </c>
    </row>
    <row r="73" spans="1:10" ht="14.25" x14ac:dyDescent="0.2">
      <c r="A73" s="582">
        <v>6414</v>
      </c>
      <c r="B73" s="1507" t="s">
        <v>1640</v>
      </c>
      <c r="C73" s="1507"/>
      <c r="D73" s="1507"/>
      <c r="E73" s="1507"/>
      <c r="F73" s="1507"/>
      <c r="G73" s="590">
        <v>0</v>
      </c>
      <c r="H73" s="583">
        <v>0</v>
      </c>
      <c r="I73" s="591">
        <v>0</v>
      </c>
      <c r="J73" s="427">
        <v>0</v>
      </c>
    </row>
    <row r="74" spans="1:10" ht="13.15" customHeight="1" x14ac:dyDescent="0.2">
      <c r="A74" s="582">
        <v>6415</v>
      </c>
      <c r="B74" s="1507" t="s">
        <v>1641</v>
      </c>
      <c r="C74" s="1507"/>
      <c r="D74" s="1507"/>
      <c r="E74" s="1507"/>
      <c r="F74" s="1507"/>
      <c r="G74" s="590">
        <v>0</v>
      </c>
      <c r="H74" s="583">
        <v>0</v>
      </c>
      <c r="I74" s="591">
        <v>0</v>
      </c>
      <c r="J74" s="427">
        <v>0</v>
      </c>
    </row>
    <row r="75" spans="1:10" ht="13.15" customHeight="1" x14ac:dyDescent="0.2">
      <c r="A75" s="582">
        <v>6416</v>
      </c>
      <c r="B75" s="1507" t="s">
        <v>1642</v>
      </c>
      <c r="C75" s="1507"/>
      <c r="D75" s="1507"/>
      <c r="E75" s="1507"/>
      <c r="F75" s="1507"/>
      <c r="G75" s="590">
        <v>0</v>
      </c>
      <c r="H75" s="583">
        <v>0</v>
      </c>
      <c r="I75" s="591">
        <v>0</v>
      </c>
      <c r="J75" s="427">
        <v>0</v>
      </c>
    </row>
    <row r="76" spans="1:10" ht="13.15" customHeight="1" x14ac:dyDescent="0.2">
      <c r="A76" s="582">
        <v>6418</v>
      </c>
      <c r="B76" s="1507" t="s">
        <v>1643</v>
      </c>
      <c r="C76" s="1507"/>
      <c r="D76" s="1507"/>
      <c r="E76" s="1507"/>
      <c r="F76" s="1507"/>
      <c r="G76" s="590">
        <v>0</v>
      </c>
      <c r="H76" s="583">
        <v>0</v>
      </c>
      <c r="I76" s="591">
        <v>0</v>
      </c>
      <c r="J76" s="427">
        <v>0</v>
      </c>
    </row>
    <row r="77" spans="1:10" ht="13.15" customHeight="1" x14ac:dyDescent="0.2">
      <c r="A77" s="582">
        <v>645</v>
      </c>
      <c r="B77" s="1507" t="s">
        <v>1284</v>
      </c>
      <c r="C77" s="1507"/>
      <c r="D77" s="1507"/>
      <c r="E77" s="1507"/>
      <c r="F77" s="1507"/>
      <c r="G77" s="590">
        <v>0</v>
      </c>
      <c r="H77" s="583">
        <v>0</v>
      </c>
      <c r="I77" s="591">
        <v>0</v>
      </c>
      <c r="J77" s="427">
        <v>0</v>
      </c>
    </row>
    <row r="78" spans="1:10" ht="13.15" customHeight="1" x14ac:dyDescent="0.2">
      <c r="A78" s="582">
        <v>6461</v>
      </c>
      <c r="B78" s="1507" t="s">
        <v>1644</v>
      </c>
      <c r="C78" s="1507"/>
      <c r="D78" s="1507"/>
      <c r="E78" s="1507"/>
      <c r="F78" s="1507"/>
      <c r="G78" s="590">
        <v>0</v>
      </c>
      <c r="H78" s="583">
        <v>0</v>
      </c>
      <c r="I78" s="591">
        <v>0</v>
      </c>
      <c r="J78" s="427">
        <v>0</v>
      </c>
    </row>
    <row r="79" spans="1:10" ht="13.15" customHeight="1" x14ac:dyDescent="0.2">
      <c r="A79" s="582">
        <v>6462</v>
      </c>
      <c r="B79" s="1507" t="s">
        <v>1645</v>
      </c>
      <c r="C79" s="1507"/>
      <c r="D79" s="1507"/>
      <c r="E79" s="1507"/>
      <c r="F79" s="1507"/>
      <c r="G79" s="590">
        <v>0</v>
      </c>
      <c r="H79" s="583">
        <v>0</v>
      </c>
      <c r="I79" s="591">
        <v>0</v>
      </c>
      <c r="J79" s="427">
        <v>0</v>
      </c>
    </row>
    <row r="80" spans="1:10" ht="13.15" customHeight="1" x14ac:dyDescent="0.2">
      <c r="A80" s="582">
        <v>6464</v>
      </c>
      <c r="B80" s="1507" t="s">
        <v>1646</v>
      </c>
      <c r="C80" s="1507"/>
      <c r="D80" s="1507"/>
      <c r="E80" s="1507"/>
      <c r="F80" s="1507"/>
      <c r="G80" s="590">
        <v>0</v>
      </c>
      <c r="H80" s="583">
        <v>0</v>
      </c>
      <c r="I80" s="591">
        <v>0</v>
      </c>
      <c r="J80" s="427">
        <v>0</v>
      </c>
    </row>
  </sheetData>
  <mergeCells count="86">
    <mergeCell ref="C6:D6"/>
    <mergeCell ref="E6:F6"/>
    <mergeCell ref="H6:I6"/>
    <mergeCell ref="A1:J1"/>
    <mergeCell ref="C2:J2"/>
    <mergeCell ref="C3:J3"/>
    <mergeCell ref="C4:J4"/>
    <mergeCell ref="C5:J5"/>
    <mergeCell ref="C7:J7"/>
    <mergeCell ref="C8:J8"/>
    <mergeCell ref="C9:J9"/>
    <mergeCell ref="C10:D10"/>
    <mergeCell ref="E10:G10"/>
    <mergeCell ref="H10:J10"/>
    <mergeCell ref="B22:F22"/>
    <mergeCell ref="C11:D11"/>
    <mergeCell ref="E11:G11"/>
    <mergeCell ref="H11:J11"/>
    <mergeCell ref="A13:J13"/>
    <mergeCell ref="A15:F16"/>
    <mergeCell ref="G15:G16"/>
    <mergeCell ref="H15:H16"/>
    <mergeCell ref="I15:J15"/>
    <mergeCell ref="B17:F17"/>
    <mergeCell ref="B18:F18"/>
    <mergeCell ref="B19:F19"/>
    <mergeCell ref="B20:F20"/>
    <mergeCell ref="B21:F21"/>
    <mergeCell ref="B34:F34"/>
    <mergeCell ref="B23:F23"/>
    <mergeCell ref="B24:F24"/>
    <mergeCell ref="B25:F25"/>
    <mergeCell ref="B26:F26"/>
    <mergeCell ref="B27:F27"/>
    <mergeCell ref="B28:F28"/>
    <mergeCell ref="B29:F29"/>
    <mergeCell ref="B30:F30"/>
    <mergeCell ref="B31:F31"/>
    <mergeCell ref="B32:F32"/>
    <mergeCell ref="B33:F33"/>
    <mergeCell ref="B46:F46"/>
    <mergeCell ref="B35:F35"/>
    <mergeCell ref="B36:F36"/>
    <mergeCell ref="B37:F37"/>
    <mergeCell ref="B38:F38"/>
    <mergeCell ref="B39:F39"/>
    <mergeCell ref="B40:F40"/>
    <mergeCell ref="B41:F41"/>
    <mergeCell ref="B42:F42"/>
    <mergeCell ref="B43:F43"/>
    <mergeCell ref="B44:F44"/>
    <mergeCell ref="B45:F45"/>
    <mergeCell ref="B58:F58"/>
    <mergeCell ref="B47:F47"/>
    <mergeCell ref="B48:F48"/>
    <mergeCell ref="B49:F49"/>
    <mergeCell ref="B50:F50"/>
    <mergeCell ref="B51:F51"/>
    <mergeCell ref="B52:F52"/>
    <mergeCell ref="B53:F53"/>
    <mergeCell ref="B54:F54"/>
    <mergeCell ref="B55:F55"/>
    <mergeCell ref="B56:F56"/>
    <mergeCell ref="B57:F57"/>
    <mergeCell ref="B70:F70"/>
    <mergeCell ref="B59:F59"/>
    <mergeCell ref="B60:F60"/>
    <mergeCell ref="B61:F61"/>
    <mergeCell ref="B62:F62"/>
    <mergeCell ref="B63:F63"/>
    <mergeCell ref="B64:F64"/>
    <mergeCell ref="B65:F65"/>
    <mergeCell ref="B66:F66"/>
    <mergeCell ref="B67:F67"/>
    <mergeCell ref="B68:F68"/>
    <mergeCell ref="B69:F69"/>
    <mergeCell ref="B77:F77"/>
    <mergeCell ref="B78:F78"/>
    <mergeCell ref="B79:F79"/>
    <mergeCell ref="B80:F80"/>
    <mergeCell ref="B71:F71"/>
    <mergeCell ref="B72:F72"/>
    <mergeCell ref="B73:F73"/>
    <mergeCell ref="B74:F74"/>
    <mergeCell ref="B75:F75"/>
    <mergeCell ref="B76:F76"/>
  </mergeCells>
  <dataValidations count="1">
    <dataValidation type="whole" allowBlank="1" showInputMessage="1" showErrorMessage="1" errorTitle="Attention!" error="Valeur numérique attendue" sqref="G17:H80" xr:uid="{8583BDAA-E4B8-46C4-B87E-9E6B4C2A5A5A}">
      <formula1>-9999999999999</formula1>
      <formula2>9999999999999</formula2>
    </dataValidation>
  </dataValidations>
  <pageMargins left="0.7" right="0.7" top="0.75" bottom="0.75" header="0.3" footer="0.3"/>
  <drawing r:id="rId1"/>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FBF11B-5B8F-40A6-AE4F-204FD56B54F1}">
  <dimension ref="A1:J79"/>
  <sheetViews>
    <sheetView workbookViewId="0">
      <selection activeCell="D18" sqref="A1:XFD1048576"/>
    </sheetView>
  </sheetViews>
  <sheetFormatPr baseColWidth="10" defaultColWidth="11.42578125" defaultRowHeight="13.15" customHeight="1" x14ac:dyDescent="0.25"/>
  <cols>
    <col min="1" max="1" width="8.85546875" style="481" customWidth="1"/>
    <col min="2" max="2" width="21.140625" style="481" customWidth="1"/>
    <col min="3" max="4" width="10" style="481" customWidth="1"/>
    <col min="5" max="5" width="8.7109375" style="481" customWidth="1"/>
    <col min="6" max="6" width="8.140625" style="481" customWidth="1"/>
    <col min="7" max="9" width="11.85546875" style="481" customWidth="1"/>
    <col min="10" max="10" width="7.85546875" style="481" customWidth="1"/>
    <col min="11" max="11" width="8.140625" style="481" customWidth="1"/>
    <col min="12" max="12" width="10.5703125" style="481" customWidth="1"/>
    <col min="13" max="16384" width="11.42578125" style="481"/>
  </cols>
  <sheetData>
    <row r="1" spans="1:10" ht="10.9" customHeight="1" x14ac:dyDescent="0.25">
      <c r="A1" s="1514"/>
      <c r="B1" s="1514"/>
      <c r="C1" s="1515"/>
      <c r="D1" s="1515"/>
      <c r="E1" s="1515"/>
      <c r="F1" s="1515"/>
      <c r="G1" s="1515"/>
      <c r="H1" s="1515"/>
      <c r="I1" s="1515"/>
      <c r="J1" s="1515"/>
    </row>
    <row r="2" spans="1:10" ht="15" x14ac:dyDescent="0.25">
      <c r="A2" s="199" t="s">
        <v>361</v>
      </c>
      <c r="B2" s="199"/>
      <c r="C2" s="1505" t="s">
        <v>2</v>
      </c>
      <c r="D2" s="958"/>
      <c r="E2" s="958"/>
      <c r="F2" s="958"/>
      <c r="G2" s="958"/>
      <c r="H2" s="958"/>
      <c r="I2" s="958"/>
      <c r="J2" s="958"/>
    </row>
    <row r="3" spans="1:10" ht="15" customHeight="1" x14ac:dyDescent="0.25">
      <c r="A3" s="199"/>
      <c r="B3" s="199"/>
      <c r="C3" s="1506" t="s">
        <v>4</v>
      </c>
      <c r="D3" s="1506"/>
      <c r="E3" s="1506"/>
      <c r="F3" s="1506"/>
      <c r="G3" s="1506"/>
      <c r="H3" s="1506"/>
      <c r="I3" s="1506"/>
      <c r="J3" s="1506"/>
    </row>
    <row r="4" spans="1:10" ht="15" x14ac:dyDescent="0.25">
      <c r="A4" s="199" t="s">
        <v>362</v>
      </c>
      <c r="B4" s="199"/>
      <c r="C4" s="1506" t="s">
        <v>6</v>
      </c>
      <c r="D4" s="957"/>
      <c r="E4" s="957"/>
      <c r="F4" s="957"/>
      <c r="G4" s="957"/>
      <c r="H4" s="957"/>
      <c r="I4" s="957"/>
      <c r="J4" s="957"/>
    </row>
    <row r="5" spans="1:10" ht="15" customHeight="1" x14ac:dyDescent="0.25">
      <c r="A5" s="199" t="s">
        <v>363</v>
      </c>
      <c r="B5" s="199"/>
      <c r="C5" s="1492">
        <v>4431</v>
      </c>
      <c r="D5" s="1492"/>
      <c r="E5" s="1492"/>
      <c r="F5" s="1492"/>
      <c r="G5" s="1492"/>
      <c r="H5" s="1492"/>
      <c r="I5" s="1492"/>
      <c r="J5" s="1492"/>
    </row>
    <row r="6" spans="1:10" ht="15" x14ac:dyDescent="0.25">
      <c r="A6" s="199" t="s">
        <v>364</v>
      </c>
      <c r="B6" s="199"/>
      <c r="C6" s="957" t="s">
        <v>12</v>
      </c>
      <c r="D6" s="957"/>
      <c r="E6" s="1490" t="s">
        <v>365</v>
      </c>
      <c r="F6" s="1490"/>
      <c r="G6" s="202">
        <v>46022</v>
      </c>
      <c r="H6" s="770" t="s">
        <v>465</v>
      </c>
      <c r="I6" s="770"/>
      <c r="J6" s="235">
        <v>12</v>
      </c>
    </row>
    <row r="7" spans="1:10" ht="15" x14ac:dyDescent="0.25">
      <c r="A7" s="199" t="s">
        <v>367</v>
      </c>
      <c r="B7" s="199"/>
      <c r="C7" s="1487" t="s">
        <v>8</v>
      </c>
      <c r="D7" s="1487"/>
      <c r="E7" s="1487"/>
      <c r="F7" s="1487"/>
      <c r="G7" s="1487"/>
      <c r="H7" s="1487"/>
      <c r="I7" s="1487"/>
      <c r="J7" s="1487"/>
    </row>
    <row r="8" spans="1:10" ht="15" x14ac:dyDescent="0.25">
      <c r="A8" s="199" t="s">
        <v>466</v>
      </c>
      <c r="B8" s="203"/>
      <c r="C8" s="959" t="s">
        <v>34</v>
      </c>
      <c r="D8" s="959"/>
      <c r="E8" s="959"/>
      <c r="F8" s="959"/>
      <c r="G8" s="959"/>
      <c r="H8" s="959"/>
      <c r="I8" s="959"/>
      <c r="J8" s="959"/>
    </row>
    <row r="9" spans="1:10" ht="13.15" customHeight="1" x14ac:dyDescent="0.25">
      <c r="A9" s="198"/>
      <c r="B9" s="203"/>
      <c r="C9" s="770">
        <v>555555</v>
      </c>
      <c r="D9" s="770"/>
      <c r="E9" s="770"/>
      <c r="F9" s="770"/>
      <c r="G9" s="770"/>
      <c r="H9" s="770"/>
      <c r="I9" s="770"/>
      <c r="J9" s="770"/>
    </row>
    <row r="10" spans="1:10" ht="15" x14ac:dyDescent="0.25">
      <c r="A10" s="199" t="s">
        <v>467</v>
      </c>
      <c r="B10" s="203"/>
      <c r="C10" s="770" t="s">
        <v>38</v>
      </c>
      <c r="D10" s="770"/>
      <c r="E10" s="770" t="s">
        <v>468</v>
      </c>
      <c r="F10" s="770"/>
      <c r="G10" s="770"/>
      <c r="H10" s="770" t="s">
        <v>36</v>
      </c>
      <c r="I10" s="770"/>
      <c r="J10" s="770"/>
    </row>
    <row r="11" spans="1:10" ht="15" x14ac:dyDescent="0.25">
      <c r="A11" s="199" t="s">
        <v>469</v>
      </c>
      <c r="B11" s="203"/>
      <c r="C11" s="975">
        <v>44713</v>
      </c>
      <c r="D11" s="975"/>
      <c r="E11" s="770" t="s">
        <v>470</v>
      </c>
      <c r="F11" s="770"/>
      <c r="G11" s="770"/>
      <c r="H11" s="975">
        <v>45991</v>
      </c>
      <c r="I11" s="975"/>
      <c r="J11" s="975"/>
    </row>
    <row r="12" spans="1:10" ht="7.15" customHeight="1" thickBot="1" x14ac:dyDescent="0.3">
      <c r="A12" s="24"/>
      <c r="B12" s="24"/>
      <c r="C12" s="24"/>
      <c r="D12" s="24"/>
      <c r="E12" s="24"/>
      <c r="F12" s="24"/>
      <c r="G12" s="24"/>
      <c r="H12" s="24"/>
      <c r="I12" s="24"/>
      <c r="J12" s="24"/>
    </row>
    <row r="13" spans="1:10" ht="15.75" thickBot="1" x14ac:dyDescent="0.3">
      <c r="A13" s="1502" t="s">
        <v>1534</v>
      </c>
      <c r="B13" s="1503"/>
      <c r="C13" s="1503"/>
      <c r="D13" s="1503"/>
      <c r="E13" s="1503"/>
      <c r="F13" s="1503"/>
      <c r="G13" s="1503"/>
      <c r="H13" s="1503"/>
      <c r="I13" s="1503"/>
      <c r="J13" s="1504"/>
    </row>
    <row r="14" spans="1:10" ht="6" customHeight="1" x14ac:dyDescent="0.25">
      <c r="A14" s="24"/>
      <c r="B14" s="24"/>
      <c r="C14" s="24"/>
      <c r="D14" s="24"/>
      <c r="E14" s="24"/>
      <c r="F14" s="24"/>
      <c r="G14" s="24"/>
      <c r="H14" s="24"/>
      <c r="I14" s="24"/>
      <c r="J14" s="24"/>
    </row>
    <row r="15" spans="1:10" ht="15" x14ac:dyDescent="0.25">
      <c r="A15" s="1489" t="s">
        <v>1647</v>
      </c>
      <c r="B15" s="1489"/>
      <c r="C15" s="1489"/>
      <c r="D15" s="1489"/>
      <c r="E15" s="1489"/>
      <c r="F15" s="1489"/>
      <c r="G15" s="1489" t="s">
        <v>1536</v>
      </c>
      <c r="H15" s="1489" t="s">
        <v>1537</v>
      </c>
      <c r="I15" s="1489" t="s">
        <v>1538</v>
      </c>
      <c r="J15" s="1489"/>
    </row>
    <row r="16" spans="1:10" ht="15" x14ac:dyDescent="0.25">
      <c r="A16" s="1489"/>
      <c r="B16" s="1489"/>
      <c r="C16" s="1489"/>
      <c r="D16" s="1489"/>
      <c r="E16" s="1489"/>
      <c r="F16" s="1489"/>
      <c r="G16" s="1489"/>
      <c r="H16" s="1489"/>
      <c r="I16" s="577" t="s">
        <v>1539</v>
      </c>
      <c r="J16" s="577" t="s">
        <v>1540</v>
      </c>
    </row>
    <row r="17" spans="1:10" ht="15" x14ac:dyDescent="0.25">
      <c r="A17" s="582">
        <v>6468</v>
      </c>
      <c r="B17" s="1493" t="s">
        <v>1648</v>
      </c>
      <c r="C17" s="1494"/>
      <c r="D17" s="1494"/>
      <c r="E17" s="1494"/>
      <c r="F17" s="1495"/>
      <c r="G17" s="583">
        <v>0</v>
      </c>
      <c r="H17" s="583">
        <v>0</v>
      </c>
      <c r="I17" s="583">
        <v>0</v>
      </c>
      <c r="J17" s="427">
        <v>0</v>
      </c>
    </row>
    <row r="18" spans="1:10" ht="15" x14ac:dyDescent="0.25">
      <c r="A18" s="582">
        <v>6471</v>
      </c>
      <c r="B18" s="1493" t="s">
        <v>1649</v>
      </c>
      <c r="C18" s="1494"/>
      <c r="D18" s="1494"/>
      <c r="E18" s="1494"/>
      <c r="F18" s="1495"/>
      <c r="G18" s="583">
        <v>0</v>
      </c>
      <c r="H18" s="583">
        <v>0</v>
      </c>
      <c r="I18" s="583">
        <v>0</v>
      </c>
      <c r="J18" s="427">
        <v>0</v>
      </c>
    </row>
    <row r="19" spans="1:10" ht="15" x14ac:dyDescent="0.25">
      <c r="A19" s="582">
        <v>6472</v>
      </c>
      <c r="B19" s="1493" t="s">
        <v>1650</v>
      </c>
      <c r="C19" s="1494"/>
      <c r="D19" s="1494"/>
      <c r="E19" s="1494"/>
      <c r="F19" s="1495"/>
      <c r="G19" s="583">
        <v>0</v>
      </c>
      <c r="H19" s="583">
        <v>0</v>
      </c>
      <c r="I19" s="583">
        <v>0</v>
      </c>
      <c r="J19" s="427">
        <v>0</v>
      </c>
    </row>
    <row r="20" spans="1:10" ht="15" x14ac:dyDescent="0.25">
      <c r="A20" s="582">
        <v>6473</v>
      </c>
      <c r="B20" s="1493" t="s">
        <v>1651</v>
      </c>
      <c r="C20" s="1494"/>
      <c r="D20" s="1494"/>
      <c r="E20" s="1494"/>
      <c r="F20" s="1495"/>
      <c r="G20" s="583">
        <v>0</v>
      </c>
      <c r="H20" s="583">
        <v>0</v>
      </c>
      <c r="I20" s="583">
        <v>0</v>
      </c>
      <c r="J20" s="427">
        <v>0</v>
      </c>
    </row>
    <row r="21" spans="1:10" ht="15" x14ac:dyDescent="0.25">
      <c r="A21" s="582">
        <v>6474</v>
      </c>
      <c r="B21" s="1493" t="s">
        <v>1652</v>
      </c>
      <c r="C21" s="1494"/>
      <c r="D21" s="1494"/>
      <c r="E21" s="1494"/>
      <c r="F21" s="1495"/>
      <c r="G21" s="583">
        <v>0</v>
      </c>
      <c r="H21" s="583">
        <v>0</v>
      </c>
      <c r="I21" s="583">
        <v>0</v>
      </c>
      <c r="J21" s="427">
        <v>0</v>
      </c>
    </row>
    <row r="22" spans="1:10" ht="15" x14ac:dyDescent="0.25">
      <c r="A22" s="582">
        <v>6478</v>
      </c>
      <c r="B22" s="1493" t="s">
        <v>1653</v>
      </c>
      <c r="C22" s="1494"/>
      <c r="D22" s="1494"/>
      <c r="E22" s="1494"/>
      <c r="F22" s="1495"/>
      <c r="G22" s="583">
        <v>0</v>
      </c>
      <c r="H22" s="583">
        <v>0</v>
      </c>
      <c r="I22" s="583">
        <v>0</v>
      </c>
      <c r="J22" s="427">
        <v>0</v>
      </c>
    </row>
    <row r="23" spans="1:10" ht="15" x14ac:dyDescent="0.25">
      <c r="A23" s="582">
        <v>648</v>
      </c>
      <c r="B23" s="1511" t="s">
        <v>1287</v>
      </c>
      <c r="C23" s="1512"/>
      <c r="D23" s="1512"/>
      <c r="E23" s="1512"/>
      <c r="F23" s="1513"/>
      <c r="G23" s="583">
        <v>0</v>
      </c>
      <c r="H23" s="583">
        <v>0</v>
      </c>
      <c r="I23" s="583">
        <v>0</v>
      </c>
      <c r="J23" s="427">
        <v>0</v>
      </c>
    </row>
    <row r="24" spans="1:10" ht="15" x14ac:dyDescent="0.25">
      <c r="A24" s="582">
        <v>649</v>
      </c>
      <c r="B24" s="1511" t="s">
        <v>1654</v>
      </c>
      <c r="C24" s="1512"/>
      <c r="D24" s="1512"/>
      <c r="E24" s="1512"/>
      <c r="F24" s="1513"/>
      <c r="G24" s="583">
        <v>0</v>
      </c>
      <c r="H24" s="583">
        <v>0</v>
      </c>
      <c r="I24" s="583">
        <v>0</v>
      </c>
      <c r="J24" s="427">
        <v>0</v>
      </c>
    </row>
    <row r="25" spans="1:10" ht="15" customHeight="1" x14ac:dyDescent="0.25">
      <c r="A25" s="584" t="s">
        <v>1655</v>
      </c>
      <c r="B25" s="1496" t="s">
        <v>640</v>
      </c>
      <c r="C25" s="1497"/>
      <c r="D25" s="1497"/>
      <c r="E25" s="1497"/>
      <c r="F25" s="1498"/>
      <c r="G25" s="585">
        <v>0</v>
      </c>
      <c r="H25" s="585">
        <v>0</v>
      </c>
      <c r="I25" s="585">
        <v>0</v>
      </c>
      <c r="J25" s="431">
        <v>0</v>
      </c>
    </row>
    <row r="26" spans="1:10" ht="15" x14ac:dyDescent="0.25">
      <c r="A26" s="582">
        <v>6511</v>
      </c>
      <c r="B26" s="1493" t="s">
        <v>1036</v>
      </c>
      <c r="C26" s="1494"/>
      <c r="D26" s="1494"/>
      <c r="E26" s="1494"/>
      <c r="F26" s="1495"/>
      <c r="G26" s="583">
        <v>0</v>
      </c>
      <c r="H26" s="583">
        <v>0</v>
      </c>
      <c r="I26" s="583">
        <v>0</v>
      </c>
      <c r="J26" s="427">
        <v>0</v>
      </c>
    </row>
    <row r="27" spans="1:10" ht="15" x14ac:dyDescent="0.25">
      <c r="A27" s="582">
        <v>6512</v>
      </c>
      <c r="B27" s="1493" t="s">
        <v>1035</v>
      </c>
      <c r="C27" s="1494"/>
      <c r="D27" s="1494"/>
      <c r="E27" s="1494"/>
      <c r="F27" s="1495"/>
      <c r="G27" s="583">
        <v>0</v>
      </c>
      <c r="H27" s="583">
        <v>0</v>
      </c>
      <c r="I27" s="583">
        <v>0</v>
      </c>
      <c r="J27" s="427">
        <v>0</v>
      </c>
    </row>
    <row r="28" spans="1:10" ht="15" x14ac:dyDescent="0.25">
      <c r="A28" s="582">
        <v>6515</v>
      </c>
      <c r="B28" s="1493" t="s">
        <v>1656</v>
      </c>
      <c r="C28" s="1494"/>
      <c r="D28" s="1494"/>
      <c r="E28" s="1494"/>
      <c r="F28" s="1495"/>
      <c r="G28" s="583">
        <v>0</v>
      </c>
      <c r="H28" s="583">
        <v>0</v>
      </c>
      <c r="I28" s="583">
        <v>0</v>
      </c>
      <c r="J28" s="427">
        <v>0</v>
      </c>
    </row>
    <row r="29" spans="1:10" ht="15" x14ac:dyDescent="0.25">
      <c r="A29" s="582">
        <v>652</v>
      </c>
      <c r="B29" s="1493" t="s">
        <v>1294</v>
      </c>
      <c r="C29" s="1494"/>
      <c r="D29" s="1494"/>
      <c r="E29" s="1494"/>
      <c r="F29" s="1495"/>
      <c r="G29" s="583">
        <v>0</v>
      </c>
      <c r="H29" s="583">
        <v>0</v>
      </c>
      <c r="I29" s="583">
        <v>0</v>
      </c>
      <c r="J29" s="427">
        <v>0</v>
      </c>
    </row>
    <row r="30" spans="1:10" ht="15" x14ac:dyDescent="0.25">
      <c r="A30" s="582">
        <v>6541</v>
      </c>
      <c r="B30" s="1493" t="s">
        <v>1657</v>
      </c>
      <c r="C30" s="1494"/>
      <c r="D30" s="1494"/>
      <c r="E30" s="1494"/>
      <c r="F30" s="1495"/>
      <c r="G30" s="583">
        <v>0</v>
      </c>
      <c r="H30" s="583">
        <v>0</v>
      </c>
      <c r="I30" s="583">
        <v>0</v>
      </c>
      <c r="J30" s="427">
        <v>0</v>
      </c>
    </row>
    <row r="31" spans="1:10" ht="15" x14ac:dyDescent="0.25">
      <c r="A31" s="582">
        <v>6545</v>
      </c>
      <c r="B31" s="1493" t="s">
        <v>1658</v>
      </c>
      <c r="C31" s="1494"/>
      <c r="D31" s="1494"/>
      <c r="E31" s="1494"/>
      <c r="F31" s="1495"/>
      <c r="G31" s="583">
        <v>0</v>
      </c>
      <c r="H31" s="583">
        <v>0</v>
      </c>
      <c r="I31" s="583">
        <v>0</v>
      </c>
      <c r="J31" s="427">
        <v>0</v>
      </c>
    </row>
    <row r="32" spans="1:10" ht="15" x14ac:dyDescent="0.25">
      <c r="A32" s="582">
        <v>657</v>
      </c>
      <c r="B32" s="1493" t="s">
        <v>1296</v>
      </c>
      <c r="C32" s="1494"/>
      <c r="D32" s="1494"/>
      <c r="E32" s="1494"/>
      <c r="F32" s="1495"/>
      <c r="G32" s="583">
        <v>0</v>
      </c>
      <c r="H32" s="583">
        <v>0</v>
      </c>
      <c r="I32" s="583">
        <v>0</v>
      </c>
      <c r="J32" s="427">
        <v>0</v>
      </c>
    </row>
    <row r="33" spans="1:10" ht="15" x14ac:dyDescent="0.25">
      <c r="A33" s="582">
        <v>658</v>
      </c>
      <c r="B33" s="1493" t="s">
        <v>1659</v>
      </c>
      <c r="C33" s="1494"/>
      <c r="D33" s="1494"/>
      <c r="E33" s="1494"/>
      <c r="F33" s="1495"/>
      <c r="G33" s="583">
        <v>0</v>
      </c>
      <c r="H33" s="583">
        <v>0</v>
      </c>
      <c r="I33" s="583">
        <v>0</v>
      </c>
      <c r="J33" s="427">
        <v>0</v>
      </c>
    </row>
    <row r="34" spans="1:10" ht="15" x14ac:dyDescent="0.25">
      <c r="A34" s="582">
        <v>6591</v>
      </c>
      <c r="B34" s="1493" t="s">
        <v>1660</v>
      </c>
      <c r="C34" s="1494"/>
      <c r="D34" s="1494"/>
      <c r="E34" s="1494"/>
      <c r="F34" s="1495"/>
      <c r="G34" s="583">
        <v>0</v>
      </c>
      <c r="H34" s="583">
        <v>0</v>
      </c>
      <c r="I34" s="583">
        <v>0</v>
      </c>
      <c r="J34" s="427">
        <v>0</v>
      </c>
    </row>
    <row r="35" spans="1:10" ht="15" x14ac:dyDescent="0.25">
      <c r="A35" s="582">
        <v>6593</v>
      </c>
      <c r="B35" s="1493" t="s">
        <v>1661</v>
      </c>
      <c r="C35" s="1494"/>
      <c r="D35" s="1494"/>
      <c r="E35" s="1494"/>
      <c r="F35" s="1495"/>
      <c r="G35" s="583">
        <v>0</v>
      </c>
      <c r="H35" s="583">
        <v>0</v>
      </c>
      <c r="I35" s="583">
        <v>0</v>
      </c>
      <c r="J35" s="427">
        <v>0</v>
      </c>
    </row>
    <row r="36" spans="1:10" ht="15" x14ac:dyDescent="0.25">
      <c r="A36" s="582">
        <v>6594</v>
      </c>
      <c r="B36" s="1493" t="s">
        <v>1662</v>
      </c>
      <c r="C36" s="1494"/>
      <c r="D36" s="1494"/>
      <c r="E36" s="1494"/>
      <c r="F36" s="1495"/>
      <c r="G36" s="583">
        <v>0</v>
      </c>
      <c r="H36" s="583">
        <v>0</v>
      </c>
      <c r="I36" s="583">
        <v>0</v>
      </c>
      <c r="J36" s="427">
        <v>0</v>
      </c>
    </row>
    <row r="37" spans="1:10" ht="15" x14ac:dyDescent="0.25">
      <c r="A37" s="582">
        <v>6598</v>
      </c>
      <c r="B37" s="1493" t="s">
        <v>1663</v>
      </c>
      <c r="C37" s="1494"/>
      <c r="D37" s="1494"/>
      <c r="E37" s="1494"/>
      <c r="F37" s="1495"/>
      <c r="G37" s="583">
        <v>0</v>
      </c>
      <c r="H37" s="583">
        <v>0</v>
      </c>
      <c r="I37" s="583">
        <v>0</v>
      </c>
      <c r="J37" s="427">
        <v>0</v>
      </c>
    </row>
    <row r="38" spans="1:10" ht="15" customHeight="1" x14ac:dyDescent="0.25">
      <c r="A38" s="584" t="s">
        <v>1664</v>
      </c>
      <c r="B38" s="1496" t="s">
        <v>642</v>
      </c>
      <c r="C38" s="1497"/>
      <c r="D38" s="1497"/>
      <c r="E38" s="1497"/>
      <c r="F38" s="1498"/>
      <c r="G38" s="585">
        <v>0</v>
      </c>
      <c r="H38" s="585">
        <v>0</v>
      </c>
      <c r="I38" s="585">
        <v>0</v>
      </c>
      <c r="J38" s="431">
        <v>0</v>
      </c>
    </row>
    <row r="39" spans="1:10" ht="15" x14ac:dyDescent="0.25">
      <c r="A39" s="582">
        <v>6611</v>
      </c>
      <c r="B39" s="1493" t="s">
        <v>1665</v>
      </c>
      <c r="C39" s="1494"/>
      <c r="D39" s="1494"/>
      <c r="E39" s="1494"/>
      <c r="F39" s="1495"/>
      <c r="G39" s="583">
        <v>0</v>
      </c>
      <c r="H39" s="583">
        <v>0</v>
      </c>
      <c r="I39" s="583">
        <v>0</v>
      </c>
      <c r="J39" s="427">
        <v>0</v>
      </c>
    </row>
    <row r="40" spans="1:10" ht="15" x14ac:dyDescent="0.25">
      <c r="A40" s="582">
        <v>6612</v>
      </c>
      <c r="B40" s="1493" t="s">
        <v>1666</v>
      </c>
      <c r="C40" s="1494"/>
      <c r="D40" s="1494"/>
      <c r="E40" s="1494"/>
      <c r="F40" s="1495"/>
      <c r="G40" s="583">
        <v>0</v>
      </c>
      <c r="H40" s="583">
        <v>0</v>
      </c>
      <c r="I40" s="583">
        <v>0</v>
      </c>
      <c r="J40" s="427">
        <v>0</v>
      </c>
    </row>
    <row r="41" spans="1:10" ht="15" x14ac:dyDescent="0.25">
      <c r="A41" s="582">
        <v>6613</v>
      </c>
      <c r="B41" s="1493" t="s">
        <v>1667</v>
      </c>
      <c r="C41" s="1494"/>
      <c r="D41" s="1494"/>
      <c r="E41" s="1494"/>
      <c r="F41" s="1495"/>
      <c r="G41" s="583">
        <v>0</v>
      </c>
      <c r="H41" s="583">
        <v>0</v>
      </c>
      <c r="I41" s="583">
        <v>0</v>
      </c>
      <c r="J41" s="427">
        <v>0</v>
      </c>
    </row>
    <row r="42" spans="1:10" ht="15" x14ac:dyDescent="0.25">
      <c r="A42" s="582">
        <v>6614</v>
      </c>
      <c r="B42" s="1508" t="s">
        <v>1668</v>
      </c>
      <c r="C42" s="1509"/>
      <c r="D42" s="1509"/>
      <c r="E42" s="1509"/>
      <c r="F42" s="1510"/>
      <c r="G42" s="583">
        <v>0</v>
      </c>
      <c r="H42" s="583">
        <v>0</v>
      </c>
      <c r="I42" s="583">
        <v>0</v>
      </c>
      <c r="J42" s="427">
        <v>0</v>
      </c>
    </row>
    <row r="43" spans="1:10" ht="15" x14ac:dyDescent="0.25">
      <c r="A43" s="582">
        <v>6615</v>
      </c>
      <c r="B43" s="1493" t="s">
        <v>1669</v>
      </c>
      <c r="C43" s="1494"/>
      <c r="D43" s="1494"/>
      <c r="E43" s="1494"/>
      <c r="F43" s="1495"/>
      <c r="G43" s="583">
        <v>0</v>
      </c>
      <c r="H43" s="583">
        <v>0</v>
      </c>
      <c r="I43" s="583">
        <v>0</v>
      </c>
      <c r="J43" s="427">
        <v>0</v>
      </c>
    </row>
    <row r="44" spans="1:10" ht="15" x14ac:dyDescent="0.25">
      <c r="A44" s="582">
        <v>6616</v>
      </c>
      <c r="B44" s="1493" t="s">
        <v>1670</v>
      </c>
      <c r="C44" s="1494"/>
      <c r="D44" s="1494"/>
      <c r="E44" s="1494"/>
      <c r="F44" s="1495"/>
      <c r="G44" s="583">
        <v>0</v>
      </c>
      <c r="H44" s="583">
        <v>0</v>
      </c>
      <c r="I44" s="583">
        <v>0</v>
      </c>
      <c r="J44" s="427">
        <v>0</v>
      </c>
    </row>
    <row r="45" spans="1:10" ht="15" x14ac:dyDescent="0.25">
      <c r="A45" s="582">
        <v>6617</v>
      </c>
      <c r="B45" s="1493" t="s">
        <v>1671</v>
      </c>
      <c r="C45" s="1494"/>
      <c r="D45" s="1494"/>
      <c r="E45" s="1494"/>
      <c r="F45" s="1495"/>
      <c r="G45" s="583">
        <v>0</v>
      </c>
      <c r="H45" s="583">
        <v>0</v>
      </c>
      <c r="I45" s="583">
        <v>0</v>
      </c>
      <c r="J45" s="427">
        <v>0</v>
      </c>
    </row>
    <row r="46" spans="1:10" ht="15" x14ac:dyDescent="0.25">
      <c r="A46" s="582">
        <v>6618</v>
      </c>
      <c r="B46" s="1493" t="s">
        <v>1672</v>
      </c>
      <c r="C46" s="1494"/>
      <c r="D46" s="1494"/>
      <c r="E46" s="1494"/>
      <c r="F46" s="1495"/>
      <c r="G46" s="583">
        <v>0</v>
      </c>
      <c r="H46" s="583">
        <v>0</v>
      </c>
      <c r="I46" s="583">
        <v>0</v>
      </c>
      <c r="J46" s="427">
        <v>0</v>
      </c>
    </row>
    <row r="47" spans="1:10" ht="15" x14ac:dyDescent="0.25">
      <c r="A47" s="582">
        <v>6621</v>
      </c>
      <c r="B47" s="1493" t="s">
        <v>1665</v>
      </c>
      <c r="C47" s="1494"/>
      <c r="D47" s="1494"/>
      <c r="E47" s="1494"/>
      <c r="F47" s="1495"/>
      <c r="G47" s="583">
        <v>0</v>
      </c>
      <c r="H47" s="583">
        <v>0</v>
      </c>
      <c r="I47" s="583">
        <v>0</v>
      </c>
      <c r="J47" s="427">
        <v>0</v>
      </c>
    </row>
    <row r="48" spans="1:10" ht="15" x14ac:dyDescent="0.25">
      <c r="A48" s="582">
        <v>6622</v>
      </c>
      <c r="B48" s="1493" t="s">
        <v>1666</v>
      </c>
      <c r="C48" s="1494"/>
      <c r="D48" s="1494"/>
      <c r="E48" s="1494"/>
      <c r="F48" s="1495"/>
      <c r="G48" s="583">
        <v>0</v>
      </c>
      <c r="H48" s="583">
        <v>0</v>
      </c>
      <c r="I48" s="583">
        <v>0</v>
      </c>
      <c r="J48" s="427">
        <v>0</v>
      </c>
    </row>
    <row r="49" spans="1:10" ht="15" x14ac:dyDescent="0.25">
      <c r="A49" s="582">
        <v>6623</v>
      </c>
      <c r="B49" s="1493" t="s">
        <v>1667</v>
      </c>
      <c r="C49" s="1494"/>
      <c r="D49" s="1494"/>
      <c r="E49" s="1494"/>
      <c r="F49" s="1495"/>
      <c r="G49" s="583">
        <v>0</v>
      </c>
      <c r="H49" s="583">
        <v>0</v>
      </c>
      <c r="I49" s="583">
        <v>0</v>
      </c>
      <c r="J49" s="427">
        <v>0</v>
      </c>
    </row>
    <row r="50" spans="1:10" ht="15" x14ac:dyDescent="0.25">
      <c r="A50" s="582">
        <v>6624</v>
      </c>
      <c r="B50" s="1508" t="s">
        <v>1668</v>
      </c>
      <c r="C50" s="1509"/>
      <c r="D50" s="1509"/>
      <c r="E50" s="1509"/>
      <c r="F50" s="1510"/>
      <c r="G50" s="583">
        <v>0</v>
      </c>
      <c r="H50" s="583">
        <v>0</v>
      </c>
      <c r="I50" s="583">
        <v>0</v>
      </c>
      <c r="J50" s="427">
        <v>0</v>
      </c>
    </row>
    <row r="51" spans="1:10" ht="15" x14ac:dyDescent="0.25">
      <c r="A51" s="582">
        <v>6625</v>
      </c>
      <c r="B51" s="1493" t="s">
        <v>1669</v>
      </c>
      <c r="C51" s="1494"/>
      <c r="D51" s="1494"/>
      <c r="E51" s="1494"/>
      <c r="F51" s="1495"/>
      <c r="G51" s="583">
        <v>0</v>
      </c>
      <c r="H51" s="583">
        <v>0</v>
      </c>
      <c r="I51" s="583">
        <v>0</v>
      </c>
      <c r="J51" s="427">
        <v>0</v>
      </c>
    </row>
    <row r="52" spans="1:10" ht="15" x14ac:dyDescent="0.25">
      <c r="A52" s="582">
        <v>6626</v>
      </c>
      <c r="B52" s="1493" t="s">
        <v>1670</v>
      </c>
      <c r="C52" s="1494"/>
      <c r="D52" s="1494"/>
      <c r="E52" s="1494"/>
      <c r="F52" s="1495"/>
      <c r="G52" s="583">
        <v>0</v>
      </c>
      <c r="H52" s="583">
        <v>0</v>
      </c>
      <c r="I52" s="583">
        <v>0</v>
      </c>
      <c r="J52" s="427">
        <v>0</v>
      </c>
    </row>
    <row r="53" spans="1:10" ht="15" x14ac:dyDescent="0.25">
      <c r="A53" s="582">
        <v>6627</v>
      </c>
      <c r="B53" s="1493" t="s">
        <v>1671</v>
      </c>
      <c r="C53" s="1494"/>
      <c r="D53" s="1494"/>
      <c r="E53" s="1494"/>
      <c r="F53" s="1495"/>
      <c r="G53" s="583">
        <v>0</v>
      </c>
      <c r="H53" s="583">
        <v>0</v>
      </c>
      <c r="I53" s="583">
        <v>0</v>
      </c>
      <c r="J53" s="427">
        <v>0</v>
      </c>
    </row>
    <row r="54" spans="1:10" ht="15" x14ac:dyDescent="0.25">
      <c r="A54" s="582">
        <v>6628</v>
      </c>
      <c r="B54" s="1493" t="s">
        <v>1672</v>
      </c>
      <c r="C54" s="1494"/>
      <c r="D54" s="1494"/>
      <c r="E54" s="1494"/>
      <c r="F54" s="1495"/>
      <c r="G54" s="583">
        <v>0</v>
      </c>
      <c r="H54" s="583">
        <v>0</v>
      </c>
      <c r="I54" s="583">
        <v>0</v>
      </c>
      <c r="J54" s="427">
        <v>0</v>
      </c>
    </row>
    <row r="55" spans="1:10" ht="15" x14ac:dyDescent="0.25">
      <c r="A55" s="582">
        <v>6631</v>
      </c>
      <c r="B55" s="1493" t="s">
        <v>1673</v>
      </c>
      <c r="C55" s="1494"/>
      <c r="D55" s="1494"/>
      <c r="E55" s="1494"/>
      <c r="F55" s="1495"/>
      <c r="G55" s="583">
        <v>0</v>
      </c>
      <c r="H55" s="583">
        <v>0</v>
      </c>
      <c r="I55" s="583">
        <v>0</v>
      </c>
      <c r="J55" s="427">
        <v>0</v>
      </c>
    </row>
    <row r="56" spans="1:10" ht="15" x14ac:dyDescent="0.25">
      <c r="A56" s="582">
        <v>6632</v>
      </c>
      <c r="B56" s="1493" t="s">
        <v>1674</v>
      </c>
      <c r="C56" s="1494"/>
      <c r="D56" s="1494"/>
      <c r="E56" s="1494"/>
      <c r="F56" s="1495"/>
      <c r="G56" s="583">
        <v>0</v>
      </c>
      <c r="H56" s="583">
        <v>0</v>
      </c>
      <c r="I56" s="583">
        <v>0</v>
      </c>
      <c r="J56" s="427">
        <v>0</v>
      </c>
    </row>
    <row r="57" spans="1:10" ht="15" x14ac:dyDescent="0.25">
      <c r="A57" s="582">
        <v>6633</v>
      </c>
      <c r="B57" s="1493" t="s">
        <v>1675</v>
      </c>
      <c r="C57" s="1494"/>
      <c r="D57" s="1494"/>
      <c r="E57" s="1494"/>
      <c r="F57" s="1495"/>
      <c r="G57" s="583">
        <v>0</v>
      </c>
      <c r="H57" s="583">
        <v>0</v>
      </c>
      <c r="I57" s="583">
        <v>0</v>
      </c>
      <c r="J57" s="427">
        <v>0</v>
      </c>
    </row>
    <row r="58" spans="1:10" ht="15" x14ac:dyDescent="0.25">
      <c r="A58" s="582">
        <v>6634</v>
      </c>
      <c r="B58" s="1493" t="s">
        <v>1676</v>
      </c>
      <c r="C58" s="1494"/>
      <c r="D58" s="1494"/>
      <c r="E58" s="1494"/>
      <c r="F58" s="1495"/>
      <c r="G58" s="583">
        <v>0</v>
      </c>
      <c r="H58" s="583">
        <v>0</v>
      </c>
      <c r="I58" s="583">
        <v>0</v>
      </c>
      <c r="J58" s="427">
        <v>0</v>
      </c>
    </row>
    <row r="59" spans="1:10" ht="15" x14ac:dyDescent="0.25">
      <c r="A59" s="582">
        <v>6638</v>
      </c>
      <c r="B59" s="1493" t="s">
        <v>1677</v>
      </c>
      <c r="C59" s="1494"/>
      <c r="D59" s="1494"/>
      <c r="E59" s="1494"/>
      <c r="F59" s="1495"/>
      <c r="G59" s="583">
        <v>0</v>
      </c>
      <c r="H59" s="583">
        <v>0</v>
      </c>
      <c r="I59" s="583">
        <v>0</v>
      </c>
      <c r="J59" s="427">
        <v>0</v>
      </c>
    </row>
    <row r="60" spans="1:10" ht="15" x14ac:dyDescent="0.25">
      <c r="A60" s="582">
        <v>6641</v>
      </c>
      <c r="B60" s="1493" t="s">
        <v>1678</v>
      </c>
      <c r="C60" s="1494"/>
      <c r="D60" s="1494"/>
      <c r="E60" s="1494"/>
      <c r="F60" s="1495"/>
      <c r="G60" s="583">
        <v>0</v>
      </c>
      <c r="H60" s="583">
        <v>0</v>
      </c>
      <c r="I60" s="583">
        <v>0</v>
      </c>
      <c r="J60" s="427">
        <v>0</v>
      </c>
    </row>
    <row r="61" spans="1:10" ht="15" x14ac:dyDescent="0.25">
      <c r="A61" s="582">
        <v>6642</v>
      </c>
      <c r="B61" s="1493" t="s">
        <v>1679</v>
      </c>
      <c r="C61" s="1494"/>
      <c r="D61" s="1494"/>
      <c r="E61" s="1494"/>
      <c r="F61" s="1495"/>
      <c r="G61" s="583">
        <v>0</v>
      </c>
      <c r="H61" s="583">
        <v>0</v>
      </c>
      <c r="I61" s="583">
        <v>0</v>
      </c>
      <c r="J61" s="427">
        <v>0</v>
      </c>
    </row>
    <row r="62" spans="1:10" ht="15" x14ac:dyDescent="0.25">
      <c r="A62" s="582">
        <v>665</v>
      </c>
      <c r="B62" s="1493" t="s">
        <v>1306</v>
      </c>
      <c r="C62" s="1494"/>
      <c r="D62" s="1494"/>
      <c r="E62" s="1494"/>
      <c r="F62" s="1495"/>
      <c r="G62" s="583">
        <v>0</v>
      </c>
      <c r="H62" s="583">
        <v>0</v>
      </c>
      <c r="I62" s="583">
        <v>0</v>
      </c>
      <c r="J62" s="427">
        <v>0</v>
      </c>
    </row>
    <row r="63" spans="1:10" ht="15" x14ac:dyDescent="0.25">
      <c r="A63" s="582">
        <v>6671</v>
      </c>
      <c r="B63" s="1493" t="s">
        <v>1629</v>
      </c>
      <c r="C63" s="1494"/>
      <c r="D63" s="1494"/>
      <c r="E63" s="1494"/>
      <c r="F63" s="1495"/>
      <c r="G63" s="583">
        <v>0</v>
      </c>
      <c r="H63" s="583">
        <v>0</v>
      </c>
      <c r="I63" s="583">
        <v>0</v>
      </c>
      <c r="J63" s="427">
        <v>0</v>
      </c>
    </row>
    <row r="64" spans="1:10" ht="15" x14ac:dyDescent="0.25">
      <c r="A64" s="582">
        <v>6672</v>
      </c>
      <c r="B64" s="1493" t="s">
        <v>1630</v>
      </c>
      <c r="C64" s="1494"/>
      <c r="D64" s="1494"/>
      <c r="E64" s="1494"/>
      <c r="F64" s="1495"/>
      <c r="G64" s="583">
        <v>0</v>
      </c>
      <c r="H64" s="583">
        <v>0</v>
      </c>
      <c r="I64" s="583">
        <v>0</v>
      </c>
      <c r="J64" s="427">
        <v>0</v>
      </c>
    </row>
    <row r="65" spans="1:10" ht="15" x14ac:dyDescent="0.25">
      <c r="A65" s="582">
        <v>6681</v>
      </c>
      <c r="B65" s="1493" t="s">
        <v>1680</v>
      </c>
      <c r="C65" s="1494"/>
      <c r="D65" s="1494"/>
      <c r="E65" s="1494"/>
      <c r="F65" s="1495"/>
      <c r="G65" s="583">
        <v>0</v>
      </c>
      <c r="H65" s="583">
        <v>0</v>
      </c>
      <c r="I65" s="583">
        <v>0</v>
      </c>
      <c r="J65" s="427">
        <v>0</v>
      </c>
    </row>
    <row r="66" spans="1:10" ht="15" x14ac:dyDescent="0.25">
      <c r="A66" s="582">
        <v>6682</v>
      </c>
      <c r="B66" s="1493" t="s">
        <v>1681</v>
      </c>
      <c r="C66" s="1494"/>
      <c r="D66" s="1494"/>
      <c r="E66" s="1494"/>
      <c r="F66" s="1495"/>
      <c r="G66" s="583">
        <v>0</v>
      </c>
      <c r="H66" s="583">
        <v>0</v>
      </c>
      <c r="I66" s="583">
        <v>0</v>
      </c>
      <c r="J66" s="427">
        <v>0</v>
      </c>
    </row>
    <row r="67" spans="1:10" ht="15" x14ac:dyDescent="0.25">
      <c r="A67" s="582">
        <v>6683</v>
      </c>
      <c r="B67" s="1493" t="s">
        <v>1682</v>
      </c>
      <c r="C67" s="1494"/>
      <c r="D67" s="1494"/>
      <c r="E67" s="1494"/>
      <c r="F67" s="1495"/>
      <c r="G67" s="583">
        <v>0</v>
      </c>
      <c r="H67" s="583">
        <v>0</v>
      </c>
      <c r="I67" s="583">
        <v>0</v>
      </c>
      <c r="J67" s="427">
        <v>0</v>
      </c>
    </row>
    <row r="68" spans="1:10" ht="15" x14ac:dyDescent="0.25">
      <c r="A68" s="582">
        <v>6684</v>
      </c>
      <c r="B68" s="1493" t="s">
        <v>1683</v>
      </c>
      <c r="C68" s="1494"/>
      <c r="D68" s="1494"/>
      <c r="E68" s="1494"/>
      <c r="F68" s="1495"/>
      <c r="G68" s="583">
        <v>0</v>
      </c>
      <c r="H68" s="583">
        <v>0</v>
      </c>
      <c r="I68" s="591">
        <v>0</v>
      </c>
      <c r="J68" s="427">
        <v>0</v>
      </c>
    </row>
    <row r="69" spans="1:10" ht="15" x14ac:dyDescent="0.25"/>
    <row r="70" spans="1:10" ht="13.9" customHeight="1" x14ac:dyDescent="0.25"/>
    <row r="71" spans="1:10" ht="13.9" customHeight="1" x14ac:dyDescent="0.25"/>
    <row r="72" spans="1:10" ht="13.9" customHeight="1" x14ac:dyDescent="0.25"/>
    <row r="73" spans="1:10" ht="13.9" customHeight="1" x14ac:dyDescent="0.25"/>
    <row r="74" spans="1:10" ht="13.9" customHeight="1" x14ac:dyDescent="0.25"/>
    <row r="75" spans="1:10" ht="13.9" customHeight="1" x14ac:dyDescent="0.25"/>
    <row r="76" spans="1:10" ht="13.9" customHeight="1" x14ac:dyDescent="0.25"/>
    <row r="77" spans="1:10" ht="13.9" customHeight="1" x14ac:dyDescent="0.25"/>
    <row r="78" spans="1:10" ht="13.9" customHeight="1" x14ac:dyDescent="0.25"/>
    <row r="79" spans="1:10" ht="13.9" customHeight="1" x14ac:dyDescent="0.25"/>
  </sheetData>
  <mergeCells count="74">
    <mergeCell ref="C6:D6"/>
    <mergeCell ref="E6:F6"/>
    <mergeCell ref="H6:I6"/>
    <mergeCell ref="A1:J1"/>
    <mergeCell ref="C2:J2"/>
    <mergeCell ref="C3:J3"/>
    <mergeCell ref="C4:J4"/>
    <mergeCell ref="C5:J5"/>
    <mergeCell ref="C7:J7"/>
    <mergeCell ref="C8:J8"/>
    <mergeCell ref="C9:J9"/>
    <mergeCell ref="C10:D10"/>
    <mergeCell ref="E10:G10"/>
    <mergeCell ref="H10:J10"/>
    <mergeCell ref="B22:F22"/>
    <mergeCell ref="C11:D11"/>
    <mergeCell ref="E11:G11"/>
    <mergeCell ref="H11:J11"/>
    <mergeCell ref="A13:J13"/>
    <mergeCell ref="A15:F16"/>
    <mergeCell ref="G15:G16"/>
    <mergeCell ref="H15:H16"/>
    <mergeCell ref="I15:J15"/>
    <mergeCell ref="B17:F17"/>
    <mergeCell ref="B18:F18"/>
    <mergeCell ref="B19:F19"/>
    <mergeCell ref="B20:F20"/>
    <mergeCell ref="B21:F21"/>
    <mergeCell ref="B34:F34"/>
    <mergeCell ref="B23:F23"/>
    <mergeCell ref="B24:F24"/>
    <mergeCell ref="B25:F25"/>
    <mergeCell ref="B26:F26"/>
    <mergeCell ref="B27:F27"/>
    <mergeCell ref="B28:F28"/>
    <mergeCell ref="B29:F29"/>
    <mergeCell ref="B30:F30"/>
    <mergeCell ref="B31:F31"/>
    <mergeCell ref="B32:F32"/>
    <mergeCell ref="B33:F33"/>
    <mergeCell ref="B46:F46"/>
    <mergeCell ref="B35:F35"/>
    <mergeCell ref="B36:F36"/>
    <mergeCell ref="B37:F37"/>
    <mergeCell ref="B38:F38"/>
    <mergeCell ref="B39:F39"/>
    <mergeCell ref="B40:F40"/>
    <mergeCell ref="B41:F41"/>
    <mergeCell ref="B42:F42"/>
    <mergeCell ref="B43:F43"/>
    <mergeCell ref="B44:F44"/>
    <mergeCell ref="B45:F45"/>
    <mergeCell ref="B58:F58"/>
    <mergeCell ref="B47:F47"/>
    <mergeCell ref="B48:F48"/>
    <mergeCell ref="B49:F49"/>
    <mergeCell ref="B50:F50"/>
    <mergeCell ref="B51:F51"/>
    <mergeCell ref="B52:F52"/>
    <mergeCell ref="B53:F53"/>
    <mergeCell ref="B54:F54"/>
    <mergeCell ref="B55:F55"/>
    <mergeCell ref="B56:F56"/>
    <mergeCell ref="B57:F57"/>
    <mergeCell ref="B65:F65"/>
    <mergeCell ref="B66:F66"/>
    <mergeCell ref="B67:F67"/>
    <mergeCell ref="B68:F68"/>
    <mergeCell ref="B59:F59"/>
    <mergeCell ref="B60:F60"/>
    <mergeCell ref="B61:F61"/>
    <mergeCell ref="B62:F62"/>
    <mergeCell ref="B63:F63"/>
    <mergeCell ref="B64:F64"/>
  </mergeCells>
  <dataValidations count="1">
    <dataValidation type="whole" allowBlank="1" showInputMessage="1" showErrorMessage="1" errorTitle="Attention!" error="Valeur numérique attendue" sqref="G17:H68" xr:uid="{CCE97CBA-D820-4C68-8515-5BC9D9920ABD}">
      <formula1>-9999999999999</formula1>
      <formula2>9999999999999</formula2>
    </dataValidation>
  </dataValidations>
  <pageMargins left="0.7" right="0.7" top="0.75" bottom="0.75" header="0.3" footer="0.3"/>
  <drawing r:id="rId1"/>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DFD68B-850A-461F-8514-52AAB0D5E479}">
  <dimension ref="A1:J90"/>
  <sheetViews>
    <sheetView workbookViewId="0">
      <selection sqref="A1:XFD1048576"/>
    </sheetView>
  </sheetViews>
  <sheetFormatPr baseColWidth="10" defaultColWidth="11.42578125" defaultRowHeight="13.15" customHeight="1" x14ac:dyDescent="0.25"/>
  <cols>
    <col min="1" max="1" width="8.85546875" style="481" customWidth="1"/>
    <col min="2" max="2" width="21.85546875" style="481" customWidth="1"/>
    <col min="3" max="6" width="10" style="481" customWidth="1"/>
    <col min="7" max="7" width="15.5703125" style="481" customWidth="1"/>
    <col min="8" max="8" width="13.7109375" style="481" bestFit="1" customWidth="1"/>
    <col min="9" max="9" width="11.85546875" style="481" customWidth="1"/>
    <col min="10" max="10" width="7.42578125" style="481" customWidth="1"/>
    <col min="11" max="11" width="8.140625" style="481" customWidth="1"/>
    <col min="12" max="16384" width="11.42578125" style="481"/>
  </cols>
  <sheetData>
    <row r="1" spans="1:10" ht="3.75" customHeight="1" x14ac:dyDescent="0.25">
      <c r="A1" s="1514"/>
      <c r="B1" s="1514"/>
      <c r="C1" s="1515"/>
      <c r="D1" s="1515"/>
      <c r="E1" s="1515"/>
      <c r="F1" s="1515"/>
      <c r="G1" s="1515"/>
      <c r="H1" s="1515"/>
      <c r="I1" s="1515"/>
      <c r="J1" s="1515"/>
    </row>
    <row r="2" spans="1:10" ht="15" x14ac:dyDescent="0.25">
      <c r="A2" s="199" t="s">
        <v>361</v>
      </c>
      <c r="B2" s="199"/>
      <c r="C2" s="1505" t="s">
        <v>2</v>
      </c>
      <c r="D2" s="958"/>
      <c r="E2" s="958"/>
      <c r="F2" s="958"/>
      <c r="G2" s="958"/>
      <c r="H2" s="958"/>
      <c r="I2" s="958"/>
      <c r="J2" s="958"/>
    </row>
    <row r="3" spans="1:10" ht="15" x14ac:dyDescent="0.25">
      <c r="A3" s="199"/>
      <c r="B3" s="199"/>
      <c r="C3" s="1506" t="s">
        <v>4</v>
      </c>
      <c r="D3" s="1506"/>
      <c r="E3" s="1506"/>
      <c r="F3" s="1506"/>
      <c r="G3" s="1506"/>
      <c r="H3" s="1506"/>
      <c r="I3" s="1506"/>
      <c r="J3" s="1506"/>
    </row>
    <row r="4" spans="1:10" ht="15" x14ac:dyDescent="0.25">
      <c r="A4" s="199" t="s">
        <v>362</v>
      </c>
      <c r="B4" s="199"/>
      <c r="C4" s="1506" t="s">
        <v>6</v>
      </c>
      <c r="D4" s="957"/>
      <c r="E4" s="957"/>
      <c r="F4" s="957"/>
      <c r="G4" s="957"/>
      <c r="H4" s="957"/>
      <c r="I4" s="957"/>
      <c r="J4" s="957"/>
    </row>
    <row r="5" spans="1:10" ht="15" customHeight="1" x14ac:dyDescent="0.25">
      <c r="A5" s="199" t="s">
        <v>363</v>
      </c>
      <c r="B5" s="199"/>
      <c r="C5" s="1492">
        <v>4431</v>
      </c>
      <c r="D5" s="1492"/>
      <c r="E5" s="1492"/>
      <c r="F5" s="1492"/>
      <c r="G5" s="1492"/>
      <c r="H5" s="1492"/>
      <c r="I5" s="1492"/>
      <c r="J5" s="1492"/>
    </row>
    <row r="6" spans="1:10" ht="15" x14ac:dyDescent="0.25">
      <c r="A6" s="199" t="s">
        <v>364</v>
      </c>
      <c r="B6" s="199"/>
      <c r="C6" s="957" t="s">
        <v>12</v>
      </c>
      <c r="D6" s="957"/>
      <c r="E6" s="1490" t="s">
        <v>365</v>
      </c>
      <c r="F6" s="1490"/>
      <c r="G6" s="202">
        <v>46022</v>
      </c>
      <c r="H6" s="770" t="s">
        <v>465</v>
      </c>
      <c r="I6" s="770"/>
      <c r="J6" s="235">
        <v>12</v>
      </c>
    </row>
    <row r="7" spans="1:10" ht="15" x14ac:dyDescent="0.25">
      <c r="A7" s="199" t="s">
        <v>367</v>
      </c>
      <c r="B7" s="199"/>
      <c r="C7" s="1487" t="s">
        <v>8</v>
      </c>
      <c r="D7" s="1487"/>
      <c r="E7" s="1487"/>
      <c r="F7" s="1487"/>
      <c r="G7" s="1487"/>
      <c r="H7" s="1487"/>
      <c r="I7" s="1487"/>
      <c r="J7" s="1487"/>
    </row>
    <row r="8" spans="1:10" ht="15" x14ac:dyDescent="0.25">
      <c r="A8" s="199" t="s">
        <v>466</v>
      </c>
      <c r="B8" s="203"/>
      <c r="C8" s="959" t="s">
        <v>34</v>
      </c>
      <c r="D8" s="959"/>
      <c r="E8" s="959"/>
      <c r="F8" s="959"/>
      <c r="G8" s="959"/>
      <c r="H8" s="959"/>
      <c r="I8" s="959"/>
      <c r="J8" s="959"/>
    </row>
    <row r="9" spans="1:10" ht="15" x14ac:dyDescent="0.25">
      <c r="A9" s="198"/>
      <c r="B9" s="203"/>
      <c r="C9" s="770">
        <v>555555</v>
      </c>
      <c r="D9" s="770"/>
      <c r="E9" s="770"/>
      <c r="F9" s="770"/>
      <c r="G9" s="770"/>
      <c r="H9" s="770"/>
      <c r="I9" s="770"/>
      <c r="J9" s="770"/>
    </row>
    <row r="10" spans="1:10" ht="15" x14ac:dyDescent="0.25">
      <c r="A10" s="199" t="s">
        <v>467</v>
      </c>
      <c r="B10" s="203"/>
      <c r="C10" s="770" t="s">
        <v>38</v>
      </c>
      <c r="D10" s="770"/>
      <c r="E10" s="770" t="s">
        <v>468</v>
      </c>
      <c r="F10" s="770"/>
      <c r="G10" s="770"/>
      <c r="H10" s="770" t="s">
        <v>36</v>
      </c>
      <c r="I10" s="770"/>
      <c r="J10" s="770"/>
    </row>
    <row r="11" spans="1:10" ht="15" x14ac:dyDescent="0.25">
      <c r="A11" s="199" t="s">
        <v>469</v>
      </c>
      <c r="B11" s="203"/>
      <c r="C11" s="975">
        <v>44713</v>
      </c>
      <c r="D11" s="975"/>
      <c r="E11" s="770" t="s">
        <v>470</v>
      </c>
      <c r="F11" s="770"/>
      <c r="G11" s="770"/>
      <c r="H11" s="975">
        <v>45991</v>
      </c>
      <c r="I11" s="975"/>
      <c r="J11" s="975"/>
    </row>
    <row r="12" spans="1:10" ht="6" customHeight="1" thickBot="1" x14ac:dyDescent="0.3">
      <c r="A12" s="24"/>
      <c r="B12" s="24"/>
      <c r="C12" s="24"/>
      <c r="D12" s="24"/>
      <c r="E12" s="24"/>
      <c r="F12" s="24"/>
      <c r="G12" s="24"/>
      <c r="H12" s="24"/>
      <c r="I12" s="24"/>
      <c r="J12" s="24"/>
    </row>
    <row r="13" spans="1:10" ht="15.75" thickBot="1" x14ac:dyDescent="0.3">
      <c r="A13" s="1502" t="s">
        <v>1534</v>
      </c>
      <c r="B13" s="1503"/>
      <c r="C13" s="1503"/>
      <c r="D13" s="1503"/>
      <c r="E13" s="1503"/>
      <c r="F13" s="1503"/>
      <c r="G13" s="1503"/>
      <c r="H13" s="1503"/>
      <c r="I13" s="1503"/>
      <c r="J13" s="1504"/>
    </row>
    <row r="14" spans="1:10" ht="6" customHeight="1" x14ac:dyDescent="0.25">
      <c r="A14" s="24"/>
      <c r="B14" s="24"/>
      <c r="C14" s="24"/>
      <c r="D14" s="24"/>
      <c r="E14" s="24"/>
      <c r="F14" s="24"/>
      <c r="G14" s="24"/>
      <c r="H14" s="24"/>
      <c r="I14" s="24"/>
      <c r="J14" s="24"/>
    </row>
    <row r="15" spans="1:10" ht="15" x14ac:dyDescent="0.25">
      <c r="A15" s="1489" t="s">
        <v>1684</v>
      </c>
      <c r="B15" s="1489"/>
      <c r="C15" s="1489"/>
      <c r="D15" s="1489"/>
      <c r="E15" s="1489"/>
      <c r="F15" s="1489"/>
      <c r="G15" s="1489" t="s">
        <v>1536</v>
      </c>
      <c r="H15" s="1489" t="s">
        <v>1537</v>
      </c>
      <c r="I15" s="1489" t="s">
        <v>1538</v>
      </c>
      <c r="J15" s="1489"/>
    </row>
    <row r="16" spans="1:10" ht="15" x14ac:dyDescent="0.25">
      <c r="A16" s="1489"/>
      <c r="B16" s="1489"/>
      <c r="C16" s="1489"/>
      <c r="D16" s="1489"/>
      <c r="E16" s="1489"/>
      <c r="F16" s="1489"/>
      <c r="G16" s="1489"/>
      <c r="H16" s="1489"/>
      <c r="I16" s="577" t="s">
        <v>1539</v>
      </c>
      <c r="J16" s="577" t="s">
        <v>1540</v>
      </c>
    </row>
    <row r="17" spans="1:10" ht="15" x14ac:dyDescent="0.25">
      <c r="A17" s="582">
        <v>6685</v>
      </c>
      <c r="B17" s="1493" t="s">
        <v>1685</v>
      </c>
      <c r="C17" s="1494"/>
      <c r="D17" s="1494"/>
      <c r="E17" s="1494"/>
      <c r="F17" s="1495"/>
      <c r="G17" s="583">
        <v>0</v>
      </c>
      <c r="H17" s="583">
        <v>0</v>
      </c>
      <c r="I17" s="583">
        <v>0</v>
      </c>
      <c r="J17" s="427">
        <v>0</v>
      </c>
    </row>
    <row r="18" spans="1:10" ht="15" x14ac:dyDescent="0.25">
      <c r="A18" s="582">
        <v>6686</v>
      </c>
      <c r="B18" s="1493" t="s">
        <v>1686</v>
      </c>
      <c r="C18" s="1494"/>
      <c r="D18" s="1494"/>
      <c r="E18" s="1494"/>
      <c r="F18" s="1495"/>
      <c r="G18" s="583">
        <v>0</v>
      </c>
      <c r="H18" s="583">
        <v>0</v>
      </c>
      <c r="I18" s="583">
        <v>0</v>
      </c>
      <c r="J18" s="427">
        <v>0</v>
      </c>
    </row>
    <row r="19" spans="1:10" ht="15" x14ac:dyDescent="0.25">
      <c r="A19" s="582">
        <v>6687</v>
      </c>
      <c r="B19" s="1493" t="s">
        <v>1687</v>
      </c>
      <c r="C19" s="1494"/>
      <c r="D19" s="1494"/>
      <c r="E19" s="1494"/>
      <c r="F19" s="1495"/>
      <c r="G19" s="583">
        <v>0</v>
      </c>
      <c r="H19" s="583">
        <v>0</v>
      </c>
      <c r="I19" s="583">
        <v>0</v>
      </c>
      <c r="J19" s="427">
        <v>0</v>
      </c>
    </row>
    <row r="20" spans="1:10" ht="15" x14ac:dyDescent="0.25">
      <c r="A20" s="582">
        <v>6688</v>
      </c>
      <c r="B20" s="1493" t="s">
        <v>1688</v>
      </c>
      <c r="C20" s="1494"/>
      <c r="D20" s="1494"/>
      <c r="E20" s="1494"/>
      <c r="F20" s="1495"/>
      <c r="G20" s="583">
        <v>0</v>
      </c>
      <c r="H20" s="583">
        <v>0</v>
      </c>
      <c r="I20" s="583">
        <v>0</v>
      </c>
      <c r="J20" s="427">
        <v>0</v>
      </c>
    </row>
    <row r="21" spans="1:10" ht="15" x14ac:dyDescent="0.25">
      <c r="A21" s="582">
        <v>669</v>
      </c>
      <c r="B21" s="1493" t="s">
        <v>1689</v>
      </c>
      <c r="C21" s="1494"/>
      <c r="D21" s="1494"/>
      <c r="E21" s="1494"/>
      <c r="F21" s="1495"/>
      <c r="G21" s="583">
        <v>0</v>
      </c>
      <c r="H21" s="583">
        <v>0</v>
      </c>
      <c r="I21" s="583">
        <v>0</v>
      </c>
      <c r="J21" s="427">
        <v>0</v>
      </c>
    </row>
    <row r="22" spans="1:10" ht="15" customHeight="1" x14ac:dyDescent="0.25">
      <c r="A22" s="584" t="s">
        <v>1690</v>
      </c>
      <c r="B22" s="1496" t="s">
        <v>644</v>
      </c>
      <c r="C22" s="1497"/>
      <c r="D22" s="1497"/>
      <c r="E22" s="1497"/>
      <c r="F22" s="1498"/>
      <c r="G22" s="585">
        <v>0</v>
      </c>
      <c r="H22" s="585">
        <v>0</v>
      </c>
      <c r="I22" s="585">
        <v>0</v>
      </c>
      <c r="J22" s="431">
        <v>0</v>
      </c>
    </row>
    <row r="23" spans="1:10" ht="15" x14ac:dyDescent="0.25">
      <c r="A23" s="582">
        <v>6711</v>
      </c>
      <c r="B23" s="1493" t="s">
        <v>821</v>
      </c>
      <c r="C23" s="1494"/>
      <c r="D23" s="1494"/>
      <c r="E23" s="1494"/>
      <c r="F23" s="1495"/>
      <c r="G23" s="583">
        <v>0</v>
      </c>
      <c r="H23" s="583">
        <v>0</v>
      </c>
      <c r="I23" s="583">
        <v>0</v>
      </c>
      <c r="J23" s="427">
        <v>0</v>
      </c>
    </row>
    <row r="24" spans="1:10" ht="15" x14ac:dyDescent="0.25">
      <c r="A24" s="582">
        <v>6712</v>
      </c>
      <c r="B24" s="1493" t="s">
        <v>1691</v>
      </c>
      <c r="C24" s="1494"/>
      <c r="D24" s="1494"/>
      <c r="E24" s="1494"/>
      <c r="F24" s="1495"/>
      <c r="G24" s="583">
        <v>0</v>
      </c>
      <c r="H24" s="583">
        <v>0</v>
      </c>
      <c r="I24" s="583">
        <v>0</v>
      </c>
      <c r="J24" s="427">
        <v>0</v>
      </c>
    </row>
    <row r="25" spans="1:10" ht="15" x14ac:dyDescent="0.25">
      <c r="A25" s="582">
        <v>6713</v>
      </c>
      <c r="B25" s="1493" t="s">
        <v>1692</v>
      </c>
      <c r="C25" s="1494"/>
      <c r="D25" s="1494"/>
      <c r="E25" s="1494"/>
      <c r="F25" s="1495"/>
      <c r="G25" s="583">
        <v>0</v>
      </c>
      <c r="H25" s="583">
        <v>0</v>
      </c>
      <c r="I25" s="583">
        <v>0</v>
      </c>
      <c r="J25" s="427">
        <v>0</v>
      </c>
    </row>
    <row r="26" spans="1:10" ht="15" x14ac:dyDescent="0.25">
      <c r="A26" s="582">
        <v>6721</v>
      </c>
      <c r="B26" s="1493" t="s">
        <v>1693</v>
      </c>
      <c r="C26" s="1494"/>
      <c r="D26" s="1494"/>
      <c r="E26" s="1494"/>
      <c r="F26" s="1495"/>
      <c r="G26" s="583">
        <v>0</v>
      </c>
      <c r="H26" s="583">
        <v>0</v>
      </c>
      <c r="I26" s="583">
        <v>0</v>
      </c>
      <c r="J26" s="427">
        <v>0</v>
      </c>
    </row>
    <row r="27" spans="1:10" ht="15" x14ac:dyDescent="0.25">
      <c r="A27" s="582">
        <v>6722</v>
      </c>
      <c r="B27" s="1493" t="s">
        <v>1694</v>
      </c>
      <c r="C27" s="1494"/>
      <c r="D27" s="1494"/>
      <c r="E27" s="1494"/>
      <c r="F27" s="1495"/>
      <c r="G27" s="583">
        <v>0</v>
      </c>
      <c r="H27" s="583">
        <v>0</v>
      </c>
      <c r="I27" s="583">
        <v>0</v>
      </c>
      <c r="J27" s="427">
        <v>0</v>
      </c>
    </row>
    <row r="28" spans="1:10" ht="15" x14ac:dyDescent="0.25">
      <c r="A28" s="582">
        <v>6723</v>
      </c>
      <c r="B28" s="1493" t="s">
        <v>1695</v>
      </c>
      <c r="C28" s="1494"/>
      <c r="D28" s="1494"/>
      <c r="E28" s="1494"/>
      <c r="F28" s="1495"/>
      <c r="G28" s="583">
        <v>0</v>
      </c>
      <c r="H28" s="583">
        <v>0</v>
      </c>
      <c r="I28" s="583">
        <v>0</v>
      </c>
      <c r="J28" s="427">
        <v>0</v>
      </c>
    </row>
    <row r="29" spans="1:10" ht="15" x14ac:dyDescent="0.25">
      <c r="A29" s="582">
        <v>6724</v>
      </c>
      <c r="B29" s="1493" t="s">
        <v>1696</v>
      </c>
      <c r="C29" s="1494"/>
      <c r="D29" s="1494"/>
      <c r="E29" s="1494"/>
      <c r="F29" s="1495"/>
      <c r="G29" s="583">
        <v>0</v>
      </c>
      <c r="H29" s="583">
        <v>0</v>
      </c>
      <c r="I29" s="583">
        <v>0</v>
      </c>
      <c r="J29" s="427">
        <v>0</v>
      </c>
    </row>
    <row r="30" spans="1:10" ht="15" x14ac:dyDescent="0.25">
      <c r="A30" s="582">
        <v>673</v>
      </c>
      <c r="B30" s="1493" t="s">
        <v>1386</v>
      </c>
      <c r="C30" s="1494"/>
      <c r="D30" s="1494"/>
      <c r="E30" s="1494"/>
      <c r="F30" s="1495"/>
      <c r="G30" s="583">
        <v>0</v>
      </c>
      <c r="H30" s="583">
        <v>0</v>
      </c>
      <c r="I30" s="583">
        <v>0</v>
      </c>
      <c r="J30" s="427">
        <v>0</v>
      </c>
    </row>
    <row r="31" spans="1:10" ht="15" x14ac:dyDescent="0.25">
      <c r="A31" s="582">
        <v>6741</v>
      </c>
      <c r="B31" s="1493" t="s">
        <v>1697</v>
      </c>
      <c r="C31" s="1494"/>
      <c r="D31" s="1494"/>
      <c r="E31" s="1494"/>
      <c r="F31" s="1495"/>
      <c r="G31" s="583">
        <v>0</v>
      </c>
      <c r="H31" s="583">
        <v>0</v>
      </c>
      <c r="I31" s="583">
        <v>0</v>
      </c>
      <c r="J31" s="427">
        <v>0</v>
      </c>
    </row>
    <row r="32" spans="1:10" ht="15" x14ac:dyDescent="0.25">
      <c r="A32" s="582">
        <v>6742</v>
      </c>
      <c r="B32" s="1493" t="s">
        <v>1698</v>
      </c>
      <c r="C32" s="1494"/>
      <c r="D32" s="1494"/>
      <c r="E32" s="1494"/>
      <c r="F32" s="1495"/>
      <c r="G32" s="583">
        <v>0</v>
      </c>
      <c r="H32" s="583">
        <v>0</v>
      </c>
      <c r="I32" s="583">
        <v>0</v>
      </c>
      <c r="J32" s="427">
        <v>0</v>
      </c>
    </row>
    <row r="33" spans="1:10" ht="15" x14ac:dyDescent="0.25">
      <c r="A33" s="582">
        <v>6744</v>
      </c>
      <c r="B33" s="1493" t="s">
        <v>1699</v>
      </c>
      <c r="C33" s="1494"/>
      <c r="D33" s="1494"/>
      <c r="E33" s="1494"/>
      <c r="F33" s="1495"/>
      <c r="G33" s="583">
        <v>0</v>
      </c>
      <c r="H33" s="583">
        <v>0</v>
      </c>
      <c r="I33" s="583">
        <v>0</v>
      </c>
      <c r="J33" s="427">
        <v>0</v>
      </c>
    </row>
    <row r="34" spans="1:10" ht="15" x14ac:dyDescent="0.25">
      <c r="A34" s="582">
        <v>6745</v>
      </c>
      <c r="B34" s="1493" t="s">
        <v>1700</v>
      </c>
      <c r="C34" s="1494"/>
      <c r="D34" s="1494"/>
      <c r="E34" s="1494"/>
      <c r="F34" s="1495"/>
      <c r="G34" s="583">
        <v>0</v>
      </c>
      <c r="H34" s="583">
        <v>0</v>
      </c>
      <c r="I34" s="583">
        <v>0</v>
      </c>
      <c r="J34" s="427">
        <v>0</v>
      </c>
    </row>
    <row r="35" spans="1:10" ht="15" x14ac:dyDescent="0.25">
      <c r="A35" s="582">
        <v>6748</v>
      </c>
      <c r="B35" s="1493" t="s">
        <v>1701</v>
      </c>
      <c r="C35" s="1494"/>
      <c r="D35" s="1494"/>
      <c r="E35" s="1494"/>
      <c r="F35" s="1495"/>
      <c r="G35" s="583">
        <v>0</v>
      </c>
      <c r="H35" s="583">
        <v>0</v>
      </c>
      <c r="I35" s="583">
        <v>0</v>
      </c>
      <c r="J35" s="427">
        <v>0</v>
      </c>
    </row>
    <row r="36" spans="1:10" ht="15" x14ac:dyDescent="0.25">
      <c r="A36" s="582">
        <v>676</v>
      </c>
      <c r="B36" s="1493" t="s">
        <v>1388</v>
      </c>
      <c r="C36" s="1494"/>
      <c r="D36" s="1494"/>
      <c r="E36" s="1494"/>
      <c r="F36" s="1495"/>
      <c r="G36" s="583">
        <v>0</v>
      </c>
      <c r="H36" s="583">
        <v>0</v>
      </c>
      <c r="I36" s="583">
        <v>0</v>
      </c>
      <c r="J36" s="427">
        <v>0</v>
      </c>
    </row>
    <row r="37" spans="1:10" ht="15" x14ac:dyDescent="0.25">
      <c r="A37" s="582">
        <v>6771</v>
      </c>
      <c r="B37" s="1493" t="s">
        <v>1702</v>
      </c>
      <c r="C37" s="1494"/>
      <c r="D37" s="1494"/>
      <c r="E37" s="1494"/>
      <c r="F37" s="1495"/>
      <c r="G37" s="583">
        <v>0</v>
      </c>
      <c r="H37" s="583">
        <v>0</v>
      </c>
      <c r="I37" s="583">
        <v>0</v>
      </c>
      <c r="J37" s="427">
        <v>0</v>
      </c>
    </row>
    <row r="38" spans="1:10" ht="15" x14ac:dyDescent="0.25">
      <c r="A38" s="582">
        <v>6781</v>
      </c>
      <c r="B38" s="1493" t="s">
        <v>1703</v>
      </c>
      <c r="C38" s="1494"/>
      <c r="D38" s="1494"/>
      <c r="E38" s="1494"/>
      <c r="F38" s="1495"/>
      <c r="G38" s="583">
        <v>0</v>
      </c>
      <c r="H38" s="583">
        <v>0</v>
      </c>
      <c r="I38" s="583">
        <v>0</v>
      </c>
      <c r="J38" s="427">
        <v>0</v>
      </c>
    </row>
    <row r="39" spans="1:10" ht="15" x14ac:dyDescent="0.25">
      <c r="A39" s="582">
        <v>6782</v>
      </c>
      <c r="B39" s="1493" t="s">
        <v>1704</v>
      </c>
      <c r="C39" s="1494"/>
      <c r="D39" s="1494"/>
      <c r="E39" s="1494"/>
      <c r="F39" s="1495"/>
      <c r="G39" s="583">
        <v>0</v>
      </c>
      <c r="H39" s="583">
        <v>0</v>
      </c>
      <c r="I39" s="583">
        <v>0</v>
      </c>
      <c r="J39" s="427">
        <v>0</v>
      </c>
    </row>
    <row r="40" spans="1:10" ht="15" x14ac:dyDescent="0.25">
      <c r="A40" s="582">
        <v>6791</v>
      </c>
      <c r="B40" s="1493" t="s">
        <v>1705</v>
      </c>
      <c r="C40" s="1494"/>
      <c r="D40" s="1494"/>
      <c r="E40" s="1494"/>
      <c r="F40" s="1495"/>
      <c r="G40" s="583">
        <v>0</v>
      </c>
      <c r="H40" s="583">
        <v>0</v>
      </c>
      <c r="I40" s="583">
        <v>0</v>
      </c>
      <c r="J40" s="427">
        <v>0</v>
      </c>
    </row>
    <row r="41" spans="1:10" ht="15" x14ac:dyDescent="0.25">
      <c r="A41" s="582">
        <v>6795</v>
      </c>
      <c r="B41" s="1508" t="s">
        <v>1706</v>
      </c>
      <c r="C41" s="1509"/>
      <c r="D41" s="1509"/>
      <c r="E41" s="1509"/>
      <c r="F41" s="1510"/>
      <c r="G41" s="583">
        <v>0</v>
      </c>
      <c r="H41" s="583">
        <v>0</v>
      </c>
      <c r="I41" s="583">
        <v>0</v>
      </c>
      <c r="J41" s="427">
        <v>0</v>
      </c>
    </row>
    <row r="42" spans="1:10" ht="15" x14ac:dyDescent="0.25">
      <c r="A42" s="582">
        <v>6798</v>
      </c>
      <c r="B42" s="1493" t="s">
        <v>1707</v>
      </c>
      <c r="C42" s="1494"/>
      <c r="D42" s="1494"/>
      <c r="E42" s="1494"/>
      <c r="F42" s="1495"/>
      <c r="G42" s="583">
        <v>0</v>
      </c>
      <c r="H42" s="583">
        <v>0</v>
      </c>
      <c r="I42" s="583">
        <v>0</v>
      </c>
      <c r="J42" s="427">
        <v>0</v>
      </c>
    </row>
    <row r="43" spans="1:10" ht="15" x14ac:dyDescent="0.25">
      <c r="A43" s="584" t="s">
        <v>1708</v>
      </c>
      <c r="B43" s="1517" t="s">
        <v>1709</v>
      </c>
      <c r="C43" s="1518"/>
      <c r="D43" s="1518"/>
      <c r="E43" s="1518"/>
      <c r="F43" s="1519"/>
      <c r="G43" s="585">
        <v>0</v>
      </c>
      <c r="H43" s="585">
        <v>0</v>
      </c>
      <c r="I43" s="585">
        <v>0</v>
      </c>
      <c r="J43" s="431">
        <v>0</v>
      </c>
    </row>
    <row r="44" spans="1:10" ht="15" x14ac:dyDescent="0.25">
      <c r="A44" s="582">
        <v>6812</v>
      </c>
      <c r="B44" s="1493" t="s">
        <v>1710</v>
      </c>
      <c r="C44" s="1494"/>
      <c r="D44" s="1494"/>
      <c r="E44" s="1494"/>
      <c r="F44" s="1495"/>
      <c r="G44" s="583">
        <v>0</v>
      </c>
      <c r="H44" s="583">
        <v>0</v>
      </c>
      <c r="I44" s="583">
        <v>0</v>
      </c>
      <c r="J44" s="427">
        <v>0</v>
      </c>
    </row>
    <row r="45" spans="1:10" ht="15" x14ac:dyDescent="0.25">
      <c r="A45" s="582">
        <v>6813</v>
      </c>
      <c r="B45" s="1493" t="s">
        <v>1711</v>
      </c>
      <c r="C45" s="1494"/>
      <c r="D45" s="1494"/>
      <c r="E45" s="1494"/>
      <c r="F45" s="1495"/>
      <c r="G45" s="583">
        <v>0</v>
      </c>
      <c r="H45" s="583">
        <v>0</v>
      </c>
      <c r="I45" s="583">
        <v>0</v>
      </c>
      <c r="J45" s="427">
        <v>0</v>
      </c>
    </row>
    <row r="46" spans="1:10" ht="15" x14ac:dyDescent="0.25">
      <c r="A46" s="584" t="s">
        <v>1712</v>
      </c>
      <c r="B46" s="1517" t="s">
        <v>1713</v>
      </c>
      <c r="C46" s="1518"/>
      <c r="D46" s="1518"/>
      <c r="E46" s="1518"/>
      <c r="F46" s="1519"/>
      <c r="G46" s="585">
        <v>0</v>
      </c>
      <c r="H46" s="585">
        <v>0</v>
      </c>
      <c r="I46" s="585">
        <v>0</v>
      </c>
      <c r="J46" s="431">
        <v>0</v>
      </c>
    </row>
    <row r="47" spans="1:10" ht="15" x14ac:dyDescent="0.25">
      <c r="A47" s="582">
        <v>6911</v>
      </c>
      <c r="B47" s="1493" t="s">
        <v>1714</v>
      </c>
      <c r="C47" s="1494"/>
      <c r="D47" s="1494"/>
      <c r="E47" s="1494"/>
      <c r="F47" s="1495"/>
      <c r="G47" s="583">
        <v>0</v>
      </c>
      <c r="H47" s="583">
        <v>0</v>
      </c>
      <c r="I47" s="583">
        <v>0</v>
      </c>
      <c r="J47" s="427">
        <v>0</v>
      </c>
    </row>
    <row r="48" spans="1:10" ht="15" x14ac:dyDescent="0.25">
      <c r="A48" s="582">
        <v>6913</v>
      </c>
      <c r="B48" s="1493" t="s">
        <v>1715</v>
      </c>
      <c r="C48" s="1494"/>
      <c r="D48" s="1494"/>
      <c r="E48" s="1494"/>
      <c r="F48" s="1495"/>
      <c r="G48" s="583">
        <v>0</v>
      </c>
      <c r="H48" s="583">
        <v>0</v>
      </c>
      <c r="I48" s="583">
        <v>0</v>
      </c>
      <c r="J48" s="427">
        <v>0</v>
      </c>
    </row>
    <row r="49" spans="1:10" ht="15" x14ac:dyDescent="0.25">
      <c r="A49" s="582">
        <v>6914</v>
      </c>
      <c r="B49" s="1493" t="s">
        <v>1716</v>
      </c>
      <c r="C49" s="1494"/>
      <c r="D49" s="1494"/>
      <c r="E49" s="1494"/>
      <c r="F49" s="1495"/>
      <c r="G49" s="583">
        <v>0</v>
      </c>
      <c r="H49" s="583">
        <v>0</v>
      </c>
      <c r="I49" s="583">
        <v>0</v>
      </c>
      <c r="J49" s="427">
        <v>0</v>
      </c>
    </row>
    <row r="50" spans="1:10" ht="15" x14ac:dyDescent="0.25">
      <c r="A50" s="582">
        <v>6951</v>
      </c>
      <c r="B50" s="1493" t="s">
        <v>1717</v>
      </c>
      <c r="C50" s="1494"/>
      <c r="D50" s="1494"/>
      <c r="E50" s="1494"/>
      <c r="F50" s="1495"/>
      <c r="G50" s="583">
        <v>0</v>
      </c>
      <c r="H50" s="583">
        <v>0</v>
      </c>
      <c r="I50" s="583">
        <v>0</v>
      </c>
      <c r="J50" s="427">
        <v>0</v>
      </c>
    </row>
    <row r="51" spans="1:10" ht="15" x14ac:dyDescent="0.25">
      <c r="A51" s="582">
        <v>6952</v>
      </c>
      <c r="B51" s="1493" t="s">
        <v>1718</v>
      </c>
      <c r="C51" s="1494"/>
      <c r="D51" s="1494"/>
      <c r="E51" s="1494"/>
      <c r="F51" s="1495"/>
      <c r="G51" s="583">
        <v>0</v>
      </c>
      <c r="H51" s="583">
        <v>0</v>
      </c>
      <c r="I51" s="583">
        <v>0</v>
      </c>
      <c r="J51" s="427">
        <v>0</v>
      </c>
    </row>
    <row r="52" spans="1:10" ht="15" x14ac:dyDescent="0.25">
      <c r="A52" s="582">
        <v>6971</v>
      </c>
      <c r="B52" s="1493" t="s">
        <v>1714</v>
      </c>
      <c r="C52" s="1494"/>
      <c r="D52" s="1494"/>
      <c r="E52" s="1494"/>
      <c r="F52" s="1495"/>
      <c r="G52" s="583">
        <v>0</v>
      </c>
      <c r="H52" s="583">
        <v>0</v>
      </c>
      <c r="I52" s="583">
        <v>0</v>
      </c>
      <c r="J52" s="427">
        <v>0</v>
      </c>
    </row>
    <row r="53" spans="1:10" ht="15" x14ac:dyDescent="0.25">
      <c r="A53" s="582">
        <v>6972</v>
      </c>
      <c r="B53" s="1493" t="s">
        <v>1719</v>
      </c>
      <c r="C53" s="1494"/>
      <c r="D53" s="1494"/>
      <c r="E53" s="1494"/>
      <c r="F53" s="1495"/>
      <c r="G53" s="583">
        <v>0</v>
      </c>
      <c r="H53" s="583">
        <v>0</v>
      </c>
      <c r="I53" s="583">
        <v>0</v>
      </c>
      <c r="J53" s="427">
        <v>0</v>
      </c>
    </row>
    <row r="54" spans="1:10" ht="15" x14ac:dyDescent="0.25">
      <c r="A54" s="584" t="s">
        <v>1720</v>
      </c>
      <c r="B54" s="1517" t="s">
        <v>1721</v>
      </c>
      <c r="C54" s="1518"/>
      <c r="D54" s="1518"/>
      <c r="E54" s="1518"/>
      <c r="F54" s="1519"/>
      <c r="G54" s="585">
        <v>0</v>
      </c>
      <c r="H54" s="585">
        <v>0</v>
      </c>
      <c r="I54" s="585">
        <v>0</v>
      </c>
      <c r="J54" s="431">
        <v>0</v>
      </c>
    </row>
    <row r="55" spans="1:10" ht="16.149999999999999" customHeight="1" x14ac:dyDescent="0.25">
      <c r="A55" s="582">
        <v>811</v>
      </c>
      <c r="B55" s="1516" t="s">
        <v>1722</v>
      </c>
      <c r="C55" s="1516"/>
      <c r="D55" s="1516"/>
      <c r="E55" s="1516"/>
      <c r="F55" s="1516"/>
      <c r="G55" s="583">
        <v>0</v>
      </c>
      <c r="H55" s="583">
        <v>0</v>
      </c>
      <c r="I55" s="583">
        <v>0</v>
      </c>
      <c r="J55" s="427">
        <v>0</v>
      </c>
    </row>
    <row r="56" spans="1:10" ht="16.149999999999999" customHeight="1" x14ac:dyDescent="0.25">
      <c r="A56" s="582">
        <v>812</v>
      </c>
      <c r="B56" s="1516" t="s">
        <v>1723</v>
      </c>
      <c r="C56" s="1516"/>
      <c r="D56" s="1516"/>
      <c r="E56" s="1516"/>
      <c r="F56" s="1516"/>
      <c r="G56" s="583">
        <v>0</v>
      </c>
      <c r="H56" s="583">
        <v>0</v>
      </c>
      <c r="I56" s="583">
        <v>0</v>
      </c>
      <c r="J56" s="427">
        <v>0</v>
      </c>
    </row>
    <row r="57" spans="1:10" ht="16.149999999999999" customHeight="1" x14ac:dyDescent="0.25">
      <c r="A57" s="582">
        <v>816</v>
      </c>
      <c r="B57" s="1516" t="s">
        <v>1724</v>
      </c>
      <c r="C57" s="1516"/>
      <c r="D57" s="1516"/>
      <c r="E57" s="1516"/>
      <c r="F57" s="1516"/>
      <c r="G57" s="583">
        <v>0</v>
      </c>
      <c r="H57" s="583">
        <v>0</v>
      </c>
      <c r="I57" s="583">
        <v>0</v>
      </c>
      <c r="J57" s="427">
        <v>0</v>
      </c>
    </row>
    <row r="58" spans="1:10" ht="34.15" customHeight="1" x14ac:dyDescent="0.25">
      <c r="A58" s="582">
        <v>818</v>
      </c>
      <c r="B58" s="1482" t="s">
        <v>1725</v>
      </c>
      <c r="C58" s="1482"/>
      <c r="D58" s="1482"/>
      <c r="E58" s="1482"/>
      <c r="F58" s="1482"/>
      <c r="G58" s="583">
        <v>0</v>
      </c>
      <c r="H58" s="583">
        <v>0</v>
      </c>
      <c r="I58" s="583">
        <v>0</v>
      </c>
      <c r="J58" s="427">
        <v>0</v>
      </c>
    </row>
    <row r="59" spans="1:10" ht="16.149999999999999" customHeight="1" x14ac:dyDescent="0.25">
      <c r="A59" s="584" t="s">
        <v>1726</v>
      </c>
      <c r="B59" s="1517" t="s">
        <v>1727</v>
      </c>
      <c r="C59" s="1518"/>
      <c r="D59" s="1518"/>
      <c r="E59" s="1518"/>
      <c r="F59" s="1519"/>
      <c r="G59" s="585">
        <v>0</v>
      </c>
      <c r="H59" s="585">
        <v>0</v>
      </c>
      <c r="I59" s="585">
        <v>0</v>
      </c>
      <c r="J59" s="431">
        <v>0</v>
      </c>
    </row>
    <row r="60" spans="1:10" ht="16.149999999999999" customHeight="1" x14ac:dyDescent="0.25">
      <c r="A60" s="582">
        <v>8311</v>
      </c>
      <c r="B60" s="1516" t="s">
        <v>1728</v>
      </c>
      <c r="C60" s="1516"/>
      <c r="D60" s="1516"/>
      <c r="E60" s="1516"/>
      <c r="F60" s="1516"/>
      <c r="G60" s="583">
        <v>0</v>
      </c>
      <c r="H60" s="583">
        <v>0</v>
      </c>
      <c r="I60" s="583">
        <v>0</v>
      </c>
      <c r="J60" s="427">
        <v>0</v>
      </c>
    </row>
    <row r="61" spans="1:10" ht="16.149999999999999" customHeight="1" x14ac:dyDescent="0.25">
      <c r="A61" s="582">
        <v>8321</v>
      </c>
      <c r="B61" s="1516" t="s">
        <v>1729</v>
      </c>
      <c r="C61" s="1516"/>
      <c r="D61" s="1516"/>
      <c r="E61" s="1516"/>
      <c r="F61" s="1516"/>
      <c r="G61" s="583">
        <v>0</v>
      </c>
      <c r="H61" s="583">
        <v>0</v>
      </c>
      <c r="I61" s="583">
        <v>0</v>
      </c>
      <c r="J61" s="427">
        <v>0</v>
      </c>
    </row>
    <row r="62" spans="1:10" ht="16.149999999999999" customHeight="1" x14ac:dyDescent="0.25">
      <c r="A62" s="582">
        <v>8325</v>
      </c>
      <c r="B62" s="1516" t="s">
        <v>1730</v>
      </c>
      <c r="C62" s="1516"/>
      <c r="D62" s="1516"/>
      <c r="E62" s="1516"/>
      <c r="F62" s="1516"/>
      <c r="G62" s="583">
        <v>0</v>
      </c>
      <c r="H62" s="583">
        <v>0</v>
      </c>
      <c r="I62" s="583">
        <v>0</v>
      </c>
      <c r="J62" s="427">
        <v>0</v>
      </c>
    </row>
    <row r="63" spans="1:10" ht="16.149999999999999" customHeight="1" x14ac:dyDescent="0.25">
      <c r="A63" s="582">
        <v>834</v>
      </c>
      <c r="B63" s="1516" t="s">
        <v>1731</v>
      </c>
      <c r="C63" s="1516"/>
      <c r="D63" s="1516"/>
      <c r="E63" s="1516"/>
      <c r="F63" s="1516"/>
      <c r="G63" s="583">
        <v>0</v>
      </c>
      <c r="H63" s="583">
        <v>0</v>
      </c>
      <c r="I63" s="583">
        <v>0</v>
      </c>
      <c r="J63" s="427">
        <v>0</v>
      </c>
    </row>
    <row r="64" spans="1:10" ht="16.149999999999999" customHeight="1" x14ac:dyDescent="0.25">
      <c r="A64" s="582">
        <v>836</v>
      </c>
      <c r="B64" s="1516" t="s">
        <v>1410</v>
      </c>
      <c r="C64" s="1516"/>
      <c r="D64" s="1516"/>
      <c r="E64" s="1516"/>
      <c r="F64" s="1516"/>
      <c r="G64" s="583">
        <v>0</v>
      </c>
      <c r="H64" s="583">
        <v>0</v>
      </c>
      <c r="I64" s="583">
        <v>0</v>
      </c>
      <c r="J64" s="427">
        <v>0</v>
      </c>
    </row>
    <row r="65" spans="1:10" ht="16.149999999999999" customHeight="1" x14ac:dyDescent="0.25">
      <c r="A65" s="582">
        <v>838</v>
      </c>
      <c r="B65" s="1516" t="s">
        <v>1732</v>
      </c>
      <c r="C65" s="1516"/>
      <c r="D65" s="1516"/>
      <c r="E65" s="1516"/>
      <c r="F65" s="1516"/>
      <c r="G65" s="583">
        <v>0</v>
      </c>
      <c r="H65" s="583">
        <v>0</v>
      </c>
      <c r="I65" s="583">
        <v>0</v>
      </c>
      <c r="J65" s="427">
        <v>0</v>
      </c>
    </row>
    <row r="66" spans="1:10" ht="16.149999999999999" customHeight="1" x14ac:dyDescent="0.25">
      <c r="A66" s="582">
        <v>839</v>
      </c>
      <c r="B66" s="1516" t="s">
        <v>1733</v>
      </c>
      <c r="C66" s="1516"/>
      <c r="D66" s="1516"/>
      <c r="E66" s="1516"/>
      <c r="F66" s="1516"/>
      <c r="G66" s="583">
        <v>0</v>
      </c>
      <c r="H66" s="583">
        <v>0</v>
      </c>
      <c r="I66" s="583">
        <v>0</v>
      </c>
      <c r="J66" s="427">
        <v>0</v>
      </c>
    </row>
    <row r="67" spans="1:10" ht="16.149999999999999" customHeight="1" x14ac:dyDescent="0.25">
      <c r="A67" s="584" t="s">
        <v>1734</v>
      </c>
      <c r="B67" s="1517" t="s">
        <v>656</v>
      </c>
      <c r="C67" s="1518"/>
      <c r="D67" s="1518"/>
      <c r="E67" s="1518"/>
      <c r="F67" s="1519"/>
      <c r="G67" s="585">
        <v>0</v>
      </c>
      <c r="H67" s="585">
        <v>0</v>
      </c>
      <c r="I67" s="585">
        <v>0</v>
      </c>
      <c r="J67" s="431">
        <v>0</v>
      </c>
    </row>
    <row r="68" spans="1:10" ht="16.149999999999999" customHeight="1" x14ac:dyDescent="0.25">
      <c r="A68" s="582">
        <v>851</v>
      </c>
      <c r="B68" s="1516" t="s">
        <v>1735</v>
      </c>
      <c r="C68" s="1516"/>
      <c r="D68" s="1516"/>
      <c r="E68" s="1516"/>
      <c r="F68" s="1516"/>
      <c r="G68" s="583">
        <v>0</v>
      </c>
      <c r="H68" s="583">
        <v>0</v>
      </c>
      <c r="I68" s="583">
        <v>0</v>
      </c>
      <c r="J68" s="427">
        <v>0</v>
      </c>
    </row>
    <row r="69" spans="1:10" ht="16.149999999999999" customHeight="1" x14ac:dyDescent="0.25">
      <c r="A69" s="582">
        <v>852</v>
      </c>
      <c r="B69" s="1516" t="s">
        <v>1736</v>
      </c>
      <c r="C69" s="1516"/>
      <c r="D69" s="1516"/>
      <c r="E69" s="1516"/>
      <c r="F69" s="1516"/>
      <c r="G69" s="583">
        <v>0</v>
      </c>
      <c r="H69" s="583">
        <v>0</v>
      </c>
      <c r="I69" s="583">
        <v>0</v>
      </c>
      <c r="J69" s="427">
        <v>0</v>
      </c>
    </row>
    <row r="70" spans="1:10" ht="16.149999999999999" customHeight="1" x14ac:dyDescent="0.25">
      <c r="A70" s="582">
        <v>853</v>
      </c>
      <c r="B70" s="1516" t="s">
        <v>1737</v>
      </c>
      <c r="C70" s="1516"/>
      <c r="D70" s="1516"/>
      <c r="E70" s="1516"/>
      <c r="F70" s="1516"/>
      <c r="G70" s="583">
        <v>0</v>
      </c>
      <c r="H70" s="583">
        <v>0</v>
      </c>
      <c r="I70" s="583">
        <v>0</v>
      </c>
      <c r="J70" s="427">
        <v>0</v>
      </c>
    </row>
    <row r="71" spans="1:10" ht="16.149999999999999" customHeight="1" x14ac:dyDescent="0.25">
      <c r="A71" s="582">
        <v>854</v>
      </c>
      <c r="B71" s="1516" t="s">
        <v>1738</v>
      </c>
      <c r="C71" s="1516"/>
      <c r="D71" s="1516"/>
      <c r="E71" s="1516"/>
      <c r="F71" s="1516"/>
      <c r="G71" s="583">
        <v>0</v>
      </c>
      <c r="H71" s="583">
        <v>0</v>
      </c>
      <c r="I71" s="583">
        <v>0</v>
      </c>
      <c r="J71" s="427">
        <v>0</v>
      </c>
    </row>
    <row r="72" spans="1:10" ht="16.149999999999999" customHeight="1" x14ac:dyDescent="0.25">
      <c r="A72" s="582">
        <v>858</v>
      </c>
      <c r="B72" s="1516" t="s">
        <v>1739</v>
      </c>
      <c r="C72" s="1516"/>
      <c r="D72" s="1516"/>
      <c r="E72" s="1516"/>
      <c r="F72" s="1516"/>
      <c r="G72" s="583">
        <v>0</v>
      </c>
      <c r="H72" s="583">
        <v>0</v>
      </c>
      <c r="I72" s="583">
        <v>0</v>
      </c>
      <c r="J72" s="427">
        <v>0</v>
      </c>
    </row>
    <row r="73" spans="1:10" ht="16.149999999999999" customHeight="1" x14ac:dyDescent="0.25">
      <c r="A73" s="584" t="s">
        <v>1740</v>
      </c>
      <c r="B73" s="1517" t="s">
        <v>1741</v>
      </c>
      <c r="C73" s="1518"/>
      <c r="D73" s="1518"/>
      <c r="E73" s="1518"/>
      <c r="F73" s="1519"/>
      <c r="G73" s="585">
        <v>0</v>
      </c>
      <c r="H73" s="585">
        <v>0</v>
      </c>
      <c r="I73" s="585">
        <v>0</v>
      </c>
      <c r="J73" s="431">
        <v>0</v>
      </c>
    </row>
    <row r="74" spans="1:10" ht="15" x14ac:dyDescent="0.25">
      <c r="A74" s="1520" t="s">
        <v>1742</v>
      </c>
      <c r="B74" s="1520"/>
      <c r="C74" s="1520"/>
      <c r="D74" s="1520"/>
      <c r="E74" s="1520"/>
      <c r="F74" s="1520"/>
      <c r="G74" s="593">
        <v>0</v>
      </c>
      <c r="H74" s="593">
        <v>0</v>
      </c>
      <c r="I74" s="593">
        <v>0</v>
      </c>
      <c r="J74" s="594">
        <v>0</v>
      </c>
    </row>
    <row r="75" spans="1:10" ht="15" x14ac:dyDescent="0.25"/>
    <row r="76" spans="1:10" ht="13.9" customHeight="1" x14ac:dyDescent="0.25"/>
    <row r="77" spans="1:10" ht="13.9" customHeight="1" x14ac:dyDescent="0.25"/>
    <row r="78" spans="1:10" ht="13.9" customHeight="1" x14ac:dyDescent="0.25"/>
    <row r="79" spans="1:10" ht="13.9" customHeight="1" x14ac:dyDescent="0.25"/>
    <row r="80" spans="1:10" ht="13.9" customHeight="1" x14ac:dyDescent="0.25"/>
    <row r="81" s="481" customFormat="1" ht="13.9" customHeight="1" x14ac:dyDescent="0.25"/>
    <row r="82" s="481" customFormat="1" ht="13.9" customHeight="1" x14ac:dyDescent="0.25"/>
    <row r="83" s="481" customFormat="1" ht="13.9" customHeight="1" x14ac:dyDescent="0.25"/>
    <row r="84" s="481" customFormat="1" ht="13.9" customHeight="1" x14ac:dyDescent="0.25"/>
    <row r="85" s="481" customFormat="1" ht="13.9" customHeight="1" x14ac:dyDescent="0.25"/>
    <row r="86" s="481" customFormat="1" ht="13.9" customHeight="1" x14ac:dyDescent="0.25"/>
    <row r="87" s="481" customFormat="1" ht="13.9" customHeight="1" x14ac:dyDescent="0.25"/>
    <row r="88" s="481" customFormat="1" ht="13.9" customHeight="1" x14ac:dyDescent="0.25"/>
    <row r="89" s="481" customFormat="1" ht="13.9" customHeight="1" x14ac:dyDescent="0.25"/>
    <row r="90" s="481" customFormat="1" ht="13.9" customHeight="1" x14ac:dyDescent="0.25"/>
  </sheetData>
  <mergeCells count="80">
    <mergeCell ref="C6:D6"/>
    <mergeCell ref="E6:F6"/>
    <mergeCell ref="H6:I6"/>
    <mergeCell ref="A1:J1"/>
    <mergeCell ref="C2:J2"/>
    <mergeCell ref="C3:J3"/>
    <mergeCell ref="C4:J4"/>
    <mergeCell ref="C5:J5"/>
    <mergeCell ref="C7:J7"/>
    <mergeCell ref="C8:J8"/>
    <mergeCell ref="C9:J9"/>
    <mergeCell ref="C10:D10"/>
    <mergeCell ref="E10:G10"/>
    <mergeCell ref="H10:J10"/>
    <mergeCell ref="C11:D11"/>
    <mergeCell ref="E11:G11"/>
    <mergeCell ref="H11:J11"/>
    <mergeCell ref="A13:J13"/>
    <mergeCell ref="A15:F16"/>
    <mergeCell ref="G15:G16"/>
    <mergeCell ref="H15:H16"/>
    <mergeCell ref="I15:J15"/>
    <mergeCell ref="B28:F28"/>
    <mergeCell ref="B17:F17"/>
    <mergeCell ref="B18:F18"/>
    <mergeCell ref="B19:F19"/>
    <mergeCell ref="B20:F20"/>
    <mergeCell ref="B21:F21"/>
    <mergeCell ref="B22:F22"/>
    <mergeCell ref="B23:F23"/>
    <mergeCell ref="B24:F24"/>
    <mergeCell ref="B25:F25"/>
    <mergeCell ref="B26:F26"/>
    <mergeCell ref="B27:F27"/>
    <mergeCell ref="B40:F40"/>
    <mergeCell ref="B29:F29"/>
    <mergeCell ref="B30:F30"/>
    <mergeCell ref="B31:F31"/>
    <mergeCell ref="B32:F32"/>
    <mergeCell ref="B33:F33"/>
    <mergeCell ref="B34:F34"/>
    <mergeCell ref="B35:F35"/>
    <mergeCell ref="B36:F36"/>
    <mergeCell ref="B37:F37"/>
    <mergeCell ref="B38:F38"/>
    <mergeCell ref="B39:F39"/>
    <mergeCell ref="B52:F52"/>
    <mergeCell ref="B41:F41"/>
    <mergeCell ref="B42:F42"/>
    <mergeCell ref="B43:F43"/>
    <mergeCell ref="B44:F44"/>
    <mergeCell ref="B45:F45"/>
    <mergeCell ref="B46:F46"/>
    <mergeCell ref="B47:F47"/>
    <mergeCell ref="B48:F48"/>
    <mergeCell ref="B49:F49"/>
    <mergeCell ref="B50:F50"/>
    <mergeCell ref="B51:F51"/>
    <mergeCell ref="B64:F64"/>
    <mergeCell ref="B53:F53"/>
    <mergeCell ref="B54:F54"/>
    <mergeCell ref="B55:F55"/>
    <mergeCell ref="B56:F56"/>
    <mergeCell ref="B57:F57"/>
    <mergeCell ref="B58:F58"/>
    <mergeCell ref="B59:F59"/>
    <mergeCell ref="B60:F60"/>
    <mergeCell ref="B61:F61"/>
    <mergeCell ref="B62:F62"/>
    <mergeCell ref="B63:F63"/>
    <mergeCell ref="B71:F71"/>
    <mergeCell ref="B72:F72"/>
    <mergeCell ref="B73:F73"/>
    <mergeCell ref="A74:F74"/>
    <mergeCell ref="B65:F65"/>
    <mergeCell ref="B66:F66"/>
    <mergeCell ref="B67:F67"/>
    <mergeCell ref="B68:F68"/>
    <mergeCell ref="B69:F69"/>
    <mergeCell ref="B70:F70"/>
  </mergeCells>
  <dataValidations count="1">
    <dataValidation type="whole" allowBlank="1" showInputMessage="1" showErrorMessage="1" errorTitle="Attention!" error="Valeur numérique attendue" sqref="G17:H73" xr:uid="{BB81D203-FF23-468F-8B99-C771F63B3C6F}">
      <formula1>-9999999999999</formula1>
      <formula2>9999999999999</formula2>
    </dataValidation>
  </dataValidations>
  <pageMargins left="0.7" right="0.7" top="0.75" bottom="0.75" header="0.3" footer="0.3"/>
  <drawing r:id="rId1"/>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D1B1B2-57B1-41C5-B68D-42228F6DD450}">
  <dimension ref="A1:J77"/>
  <sheetViews>
    <sheetView workbookViewId="0">
      <selection sqref="A1:XFD1048576"/>
    </sheetView>
  </sheetViews>
  <sheetFormatPr baseColWidth="10" defaultColWidth="11.42578125" defaultRowHeight="13.15" customHeight="1" x14ac:dyDescent="0.25"/>
  <cols>
    <col min="1" max="1" width="11.7109375" style="481" customWidth="1"/>
    <col min="2" max="2" width="19.7109375" style="481" customWidth="1"/>
    <col min="3" max="6" width="10.140625" style="481" customWidth="1"/>
    <col min="7" max="9" width="13.42578125" style="481" customWidth="1"/>
    <col min="10" max="10" width="8.85546875" style="481" customWidth="1"/>
    <col min="11" max="11" width="8.140625" style="481" customWidth="1"/>
    <col min="12" max="12" width="10.140625" style="481" customWidth="1"/>
    <col min="13" max="16384" width="11.42578125" style="481"/>
  </cols>
  <sheetData>
    <row r="1" spans="1:10" ht="10.5" customHeight="1" x14ac:dyDescent="0.25">
      <c r="A1" s="1514"/>
      <c r="B1" s="1514"/>
      <c r="C1" s="1515"/>
      <c r="D1" s="1515"/>
      <c r="E1" s="1515"/>
      <c r="F1" s="1515"/>
      <c r="G1" s="1515"/>
      <c r="H1" s="1515"/>
      <c r="I1" s="1515"/>
      <c r="J1" s="1515"/>
    </row>
    <row r="2" spans="1:10" ht="15" x14ac:dyDescent="0.25">
      <c r="A2" s="199" t="s">
        <v>361</v>
      </c>
      <c r="B2" s="199"/>
      <c r="C2" s="1505" t="s">
        <v>2</v>
      </c>
      <c r="D2" s="958"/>
      <c r="E2" s="958"/>
      <c r="F2" s="958"/>
      <c r="G2" s="958"/>
      <c r="H2" s="958"/>
      <c r="I2" s="958"/>
      <c r="J2" s="958"/>
    </row>
    <row r="3" spans="1:10" ht="15" customHeight="1" x14ac:dyDescent="0.25">
      <c r="A3" s="199"/>
      <c r="B3" s="199"/>
      <c r="C3" s="1506" t="s">
        <v>4</v>
      </c>
      <c r="D3" s="1506"/>
      <c r="E3" s="1506"/>
      <c r="F3" s="1506"/>
      <c r="G3" s="1506"/>
      <c r="H3" s="1506"/>
      <c r="I3" s="1506"/>
      <c r="J3" s="1506"/>
    </row>
    <row r="4" spans="1:10" ht="15" x14ac:dyDescent="0.25">
      <c r="A4" s="199" t="s">
        <v>362</v>
      </c>
      <c r="B4" s="199"/>
      <c r="C4" s="1506" t="s">
        <v>6</v>
      </c>
      <c r="D4" s="957"/>
      <c r="E4" s="957"/>
      <c r="F4" s="957"/>
      <c r="G4" s="957"/>
      <c r="H4" s="957"/>
      <c r="I4" s="957"/>
      <c r="J4" s="957"/>
    </row>
    <row r="5" spans="1:10" ht="15" customHeight="1" x14ac:dyDescent="0.25">
      <c r="A5" s="199" t="s">
        <v>363</v>
      </c>
      <c r="B5" s="199"/>
      <c r="C5" s="1492">
        <v>4431</v>
      </c>
      <c r="D5" s="1492"/>
      <c r="E5" s="1492"/>
      <c r="F5" s="1492"/>
      <c r="G5" s="1492"/>
      <c r="H5" s="1492"/>
      <c r="I5" s="1492"/>
      <c r="J5" s="1492"/>
    </row>
    <row r="6" spans="1:10" ht="15" x14ac:dyDescent="0.25">
      <c r="A6" s="199" t="s">
        <v>364</v>
      </c>
      <c r="B6" s="199"/>
      <c r="C6" s="957" t="s">
        <v>12</v>
      </c>
      <c r="D6" s="957"/>
      <c r="E6" s="1490" t="s">
        <v>365</v>
      </c>
      <c r="F6" s="1490"/>
      <c r="G6" s="202">
        <v>46022</v>
      </c>
      <c r="H6" s="770" t="s">
        <v>465</v>
      </c>
      <c r="I6" s="770"/>
      <c r="J6" s="235">
        <v>12</v>
      </c>
    </row>
    <row r="7" spans="1:10" ht="15" x14ac:dyDescent="0.25">
      <c r="A7" s="199" t="s">
        <v>367</v>
      </c>
      <c r="B7" s="199"/>
      <c r="C7" s="1487" t="s">
        <v>8</v>
      </c>
      <c r="D7" s="1487"/>
      <c r="E7" s="1487"/>
      <c r="F7" s="1487"/>
      <c r="G7" s="1487"/>
      <c r="H7" s="1487"/>
      <c r="I7" s="1487"/>
      <c r="J7" s="1487"/>
    </row>
    <row r="8" spans="1:10" ht="15" x14ac:dyDescent="0.25">
      <c r="A8" s="199" t="s">
        <v>466</v>
      </c>
      <c r="B8" s="203"/>
      <c r="C8" s="959" t="s">
        <v>34</v>
      </c>
      <c r="D8" s="959"/>
      <c r="E8" s="959"/>
      <c r="F8" s="959"/>
      <c r="G8" s="959"/>
      <c r="H8" s="959"/>
      <c r="I8" s="959"/>
      <c r="J8" s="959"/>
    </row>
    <row r="9" spans="1:10" ht="15" x14ac:dyDescent="0.25">
      <c r="A9" s="198"/>
      <c r="B9" s="203"/>
      <c r="C9" s="770">
        <v>555555</v>
      </c>
      <c r="D9" s="770"/>
      <c r="E9" s="770"/>
      <c r="F9" s="770"/>
      <c r="G9" s="770"/>
      <c r="H9" s="770"/>
      <c r="I9" s="770"/>
      <c r="J9" s="770"/>
    </row>
    <row r="10" spans="1:10" ht="15" x14ac:dyDescent="0.25">
      <c r="A10" s="199" t="s">
        <v>467</v>
      </c>
      <c r="B10" s="203"/>
      <c r="C10" s="770" t="s">
        <v>38</v>
      </c>
      <c r="D10" s="770"/>
      <c r="E10" s="770" t="s">
        <v>468</v>
      </c>
      <c r="F10" s="770"/>
      <c r="G10" s="770"/>
      <c r="H10" s="770" t="s">
        <v>36</v>
      </c>
      <c r="I10" s="770"/>
      <c r="J10" s="770"/>
    </row>
    <row r="11" spans="1:10" ht="15" x14ac:dyDescent="0.25">
      <c r="A11" s="199" t="s">
        <v>469</v>
      </c>
      <c r="B11" s="203"/>
      <c r="C11" s="975">
        <v>44713</v>
      </c>
      <c r="D11" s="975"/>
      <c r="E11" s="770" t="s">
        <v>470</v>
      </c>
      <c r="F11" s="770"/>
      <c r="G11" s="770"/>
      <c r="H11" s="975">
        <v>45991</v>
      </c>
      <c r="I11" s="975"/>
      <c r="J11" s="975"/>
    </row>
    <row r="12" spans="1:10" ht="6.6" customHeight="1" thickBot="1" x14ac:dyDescent="0.3">
      <c r="A12" s="24"/>
      <c r="B12" s="24"/>
      <c r="C12" s="24"/>
      <c r="D12" s="24"/>
      <c r="E12" s="24"/>
      <c r="F12" s="24"/>
      <c r="G12" s="24"/>
      <c r="H12" s="24"/>
      <c r="I12" s="24"/>
      <c r="J12" s="24"/>
    </row>
    <row r="13" spans="1:10" ht="15.75" thickBot="1" x14ac:dyDescent="0.3">
      <c r="A13" s="1502" t="s">
        <v>1743</v>
      </c>
      <c r="B13" s="1503"/>
      <c r="C13" s="1503"/>
      <c r="D13" s="1503"/>
      <c r="E13" s="1503"/>
      <c r="F13" s="1503"/>
      <c r="G13" s="1503"/>
      <c r="H13" s="1503"/>
      <c r="I13" s="1503"/>
      <c r="J13" s="1504"/>
    </row>
    <row r="14" spans="1:10" ht="6" customHeight="1" x14ac:dyDescent="0.25">
      <c r="A14" s="24"/>
      <c r="B14" s="24"/>
      <c r="C14" s="24"/>
      <c r="D14" s="24"/>
      <c r="E14" s="24"/>
      <c r="F14" s="24"/>
      <c r="G14" s="24"/>
      <c r="H14" s="24"/>
      <c r="I14" s="24"/>
      <c r="J14" s="24"/>
    </row>
    <row r="15" spans="1:10" ht="15" x14ac:dyDescent="0.25">
      <c r="A15" s="1489" t="s">
        <v>1744</v>
      </c>
      <c r="B15" s="1489"/>
      <c r="C15" s="1489"/>
      <c r="D15" s="1489"/>
      <c r="E15" s="1489"/>
      <c r="F15" s="1489"/>
      <c r="G15" s="1489" t="s">
        <v>1536</v>
      </c>
      <c r="H15" s="1489" t="s">
        <v>1537</v>
      </c>
      <c r="I15" s="1489" t="s">
        <v>1538</v>
      </c>
      <c r="J15" s="1489"/>
    </row>
    <row r="16" spans="1:10" ht="15" x14ac:dyDescent="0.25">
      <c r="A16" s="1489"/>
      <c r="B16" s="1489"/>
      <c r="C16" s="1489"/>
      <c r="D16" s="1489"/>
      <c r="E16" s="1489"/>
      <c r="F16" s="1489"/>
      <c r="G16" s="1489"/>
      <c r="H16" s="1489"/>
      <c r="I16" s="577" t="s">
        <v>1539</v>
      </c>
      <c r="J16" s="577" t="s">
        <v>1540</v>
      </c>
    </row>
    <row r="17" spans="1:10" ht="15" x14ac:dyDescent="0.25">
      <c r="A17" s="582">
        <v>701</v>
      </c>
      <c r="B17" s="1493" t="s">
        <v>1222</v>
      </c>
      <c r="C17" s="1494"/>
      <c r="D17" s="1494"/>
      <c r="E17" s="1494"/>
      <c r="F17" s="1495"/>
      <c r="G17" s="583">
        <v>0</v>
      </c>
      <c r="H17" s="583">
        <v>0</v>
      </c>
      <c r="I17" s="583">
        <v>0</v>
      </c>
      <c r="J17" s="427">
        <v>0</v>
      </c>
    </row>
    <row r="18" spans="1:10" ht="15" x14ac:dyDescent="0.25">
      <c r="A18" s="582">
        <v>702</v>
      </c>
      <c r="B18" s="1493" t="s">
        <v>1745</v>
      </c>
      <c r="C18" s="1494"/>
      <c r="D18" s="1494"/>
      <c r="E18" s="1494"/>
      <c r="F18" s="1495"/>
      <c r="G18" s="583">
        <v>0</v>
      </c>
      <c r="H18" s="583">
        <v>0</v>
      </c>
      <c r="I18" s="583">
        <v>0</v>
      </c>
      <c r="J18" s="427">
        <v>0</v>
      </c>
    </row>
    <row r="19" spans="1:10" ht="15" x14ac:dyDescent="0.25">
      <c r="A19" s="582">
        <v>703</v>
      </c>
      <c r="B19" s="1493" t="s">
        <v>1746</v>
      </c>
      <c r="C19" s="1494"/>
      <c r="D19" s="1494"/>
      <c r="E19" s="1494"/>
      <c r="F19" s="1495"/>
      <c r="G19" s="583">
        <v>0</v>
      </c>
      <c r="H19" s="583">
        <v>0</v>
      </c>
      <c r="I19" s="583">
        <v>0</v>
      </c>
      <c r="J19" s="427">
        <v>0</v>
      </c>
    </row>
    <row r="20" spans="1:10" ht="15" x14ac:dyDescent="0.25">
      <c r="A20" s="582">
        <v>7041</v>
      </c>
      <c r="B20" s="1493" t="s">
        <v>1747</v>
      </c>
      <c r="C20" s="1494"/>
      <c r="D20" s="1494"/>
      <c r="E20" s="1494"/>
      <c r="F20" s="1495"/>
      <c r="G20" s="583">
        <v>0</v>
      </c>
      <c r="H20" s="583">
        <v>0</v>
      </c>
      <c r="I20" s="583">
        <v>0</v>
      </c>
      <c r="J20" s="427">
        <v>0</v>
      </c>
    </row>
    <row r="21" spans="1:10" ht="15" x14ac:dyDescent="0.25">
      <c r="A21" s="582">
        <v>7042</v>
      </c>
      <c r="B21" s="1493" t="s">
        <v>1748</v>
      </c>
      <c r="C21" s="1494"/>
      <c r="D21" s="1494"/>
      <c r="E21" s="1494"/>
      <c r="F21" s="1495"/>
      <c r="G21" s="583">
        <v>0</v>
      </c>
      <c r="H21" s="583">
        <v>0</v>
      </c>
      <c r="I21" s="583">
        <v>0</v>
      </c>
      <c r="J21" s="427">
        <v>0</v>
      </c>
    </row>
    <row r="22" spans="1:10" ht="15" x14ac:dyDescent="0.25">
      <c r="A22" s="582">
        <v>7043</v>
      </c>
      <c r="B22" s="1493" t="s">
        <v>1749</v>
      </c>
      <c r="C22" s="1494"/>
      <c r="D22" s="1494"/>
      <c r="E22" s="1494"/>
      <c r="F22" s="1495"/>
      <c r="G22" s="583">
        <v>0</v>
      </c>
      <c r="H22" s="583">
        <v>0</v>
      </c>
      <c r="I22" s="583">
        <v>0</v>
      </c>
      <c r="J22" s="427">
        <v>0</v>
      </c>
    </row>
    <row r="23" spans="1:10" ht="15" x14ac:dyDescent="0.25">
      <c r="A23" s="582">
        <v>7044</v>
      </c>
      <c r="B23" s="1493" t="s">
        <v>1750</v>
      </c>
      <c r="C23" s="1494"/>
      <c r="D23" s="1494"/>
      <c r="E23" s="1494"/>
      <c r="F23" s="1495"/>
      <c r="G23" s="583">
        <v>0</v>
      </c>
      <c r="H23" s="583">
        <v>0</v>
      </c>
      <c r="I23" s="583">
        <v>0</v>
      </c>
      <c r="J23" s="427">
        <v>0</v>
      </c>
    </row>
    <row r="24" spans="1:10" ht="15" x14ac:dyDescent="0.25">
      <c r="A24" s="582">
        <v>7045</v>
      </c>
      <c r="B24" s="1493" t="s">
        <v>1751</v>
      </c>
      <c r="C24" s="1494"/>
      <c r="D24" s="1494"/>
      <c r="E24" s="1494"/>
      <c r="F24" s="1495"/>
      <c r="G24" s="583">
        <v>0</v>
      </c>
      <c r="H24" s="583">
        <v>0</v>
      </c>
      <c r="I24" s="583">
        <v>0</v>
      </c>
      <c r="J24" s="427">
        <v>0</v>
      </c>
    </row>
    <row r="25" spans="1:10" ht="15" x14ac:dyDescent="0.25">
      <c r="A25" s="595">
        <v>7046</v>
      </c>
      <c r="B25" s="1522" t="s">
        <v>1752</v>
      </c>
      <c r="C25" s="1516"/>
      <c r="D25" s="1516"/>
      <c r="E25" s="1516"/>
      <c r="F25" s="1523"/>
      <c r="G25" s="583">
        <v>0</v>
      </c>
      <c r="H25" s="583">
        <v>0</v>
      </c>
      <c r="I25" s="583">
        <v>0</v>
      </c>
      <c r="J25" s="427">
        <v>0</v>
      </c>
    </row>
    <row r="26" spans="1:10" ht="15" x14ac:dyDescent="0.25">
      <c r="A26" s="595">
        <v>7047</v>
      </c>
      <c r="B26" s="1522" t="s">
        <v>1753</v>
      </c>
      <c r="C26" s="1516"/>
      <c r="D26" s="1516"/>
      <c r="E26" s="1516"/>
      <c r="F26" s="1523"/>
      <c r="G26" s="583">
        <v>0</v>
      </c>
      <c r="H26" s="583">
        <v>0</v>
      </c>
      <c r="I26" s="583">
        <v>0</v>
      </c>
      <c r="J26" s="427">
        <v>0</v>
      </c>
    </row>
    <row r="27" spans="1:10" ht="15" x14ac:dyDescent="0.25">
      <c r="A27" s="595">
        <v>7048</v>
      </c>
      <c r="B27" s="1522" t="s">
        <v>1754</v>
      </c>
      <c r="C27" s="1516"/>
      <c r="D27" s="1516"/>
      <c r="E27" s="1516"/>
      <c r="F27" s="1523"/>
      <c r="G27" s="583">
        <v>0</v>
      </c>
      <c r="H27" s="583">
        <v>0</v>
      </c>
      <c r="I27" s="583">
        <v>0</v>
      </c>
      <c r="J27" s="427">
        <v>0</v>
      </c>
    </row>
    <row r="28" spans="1:10" ht="15" x14ac:dyDescent="0.25">
      <c r="A28" s="595">
        <v>7051</v>
      </c>
      <c r="B28" s="1522" t="s">
        <v>1755</v>
      </c>
      <c r="C28" s="1516"/>
      <c r="D28" s="1516"/>
      <c r="E28" s="1516"/>
      <c r="F28" s="1523"/>
      <c r="G28" s="583">
        <v>0</v>
      </c>
      <c r="H28" s="583">
        <v>0</v>
      </c>
      <c r="I28" s="583">
        <v>0</v>
      </c>
      <c r="J28" s="427">
        <v>0</v>
      </c>
    </row>
    <row r="29" spans="1:10" ht="15" x14ac:dyDescent="0.25">
      <c r="A29" s="595">
        <v>7052</v>
      </c>
      <c r="B29" s="1522" t="s">
        <v>1756</v>
      </c>
      <c r="C29" s="1516"/>
      <c r="D29" s="1516"/>
      <c r="E29" s="1516"/>
      <c r="F29" s="1523"/>
      <c r="G29" s="583">
        <v>0</v>
      </c>
      <c r="H29" s="583">
        <v>0</v>
      </c>
      <c r="I29" s="583">
        <v>0</v>
      </c>
      <c r="J29" s="427">
        <v>0</v>
      </c>
    </row>
    <row r="30" spans="1:10" ht="15" x14ac:dyDescent="0.25">
      <c r="A30" s="595">
        <v>7053</v>
      </c>
      <c r="B30" s="1522" t="s">
        <v>1757</v>
      </c>
      <c r="C30" s="1516"/>
      <c r="D30" s="1516"/>
      <c r="E30" s="1516"/>
      <c r="F30" s="1523"/>
      <c r="G30" s="583">
        <v>0</v>
      </c>
      <c r="H30" s="583">
        <v>0</v>
      </c>
      <c r="I30" s="583">
        <v>0</v>
      </c>
      <c r="J30" s="427">
        <v>0</v>
      </c>
    </row>
    <row r="31" spans="1:10" ht="15" x14ac:dyDescent="0.25">
      <c r="A31" s="595">
        <v>7054</v>
      </c>
      <c r="B31" s="1522" t="s">
        <v>1758</v>
      </c>
      <c r="C31" s="1516"/>
      <c r="D31" s="1516"/>
      <c r="E31" s="1516"/>
      <c r="F31" s="1523"/>
      <c r="G31" s="583">
        <v>0</v>
      </c>
      <c r="H31" s="583">
        <v>0</v>
      </c>
      <c r="I31" s="583">
        <v>0</v>
      </c>
      <c r="J31" s="427">
        <v>0</v>
      </c>
    </row>
    <row r="32" spans="1:10" ht="15" x14ac:dyDescent="0.25">
      <c r="A32" s="595">
        <v>7055</v>
      </c>
      <c r="B32" s="1522" t="s">
        <v>1759</v>
      </c>
      <c r="C32" s="1516"/>
      <c r="D32" s="1516"/>
      <c r="E32" s="1516"/>
      <c r="F32" s="1523"/>
      <c r="G32" s="583">
        <v>0</v>
      </c>
      <c r="H32" s="583">
        <v>0</v>
      </c>
      <c r="I32" s="583">
        <v>0</v>
      </c>
      <c r="J32" s="427">
        <v>0</v>
      </c>
    </row>
    <row r="33" spans="1:10" ht="15" x14ac:dyDescent="0.25">
      <c r="A33" s="595">
        <v>706</v>
      </c>
      <c r="B33" s="1522" t="s">
        <v>1225</v>
      </c>
      <c r="C33" s="1516"/>
      <c r="D33" s="1516"/>
      <c r="E33" s="1516"/>
      <c r="F33" s="1523"/>
      <c r="G33" s="583">
        <v>0</v>
      </c>
      <c r="H33" s="583">
        <v>0</v>
      </c>
      <c r="I33" s="583">
        <v>0</v>
      </c>
      <c r="J33" s="427">
        <v>0</v>
      </c>
    </row>
    <row r="34" spans="1:10" ht="15" x14ac:dyDescent="0.25">
      <c r="A34" s="595">
        <v>707</v>
      </c>
      <c r="B34" s="1522" t="s">
        <v>1760</v>
      </c>
      <c r="C34" s="1516"/>
      <c r="D34" s="1516"/>
      <c r="E34" s="1516"/>
      <c r="F34" s="1523"/>
      <c r="G34" s="583">
        <v>0</v>
      </c>
      <c r="H34" s="583">
        <v>0</v>
      </c>
      <c r="I34" s="583">
        <v>0</v>
      </c>
      <c r="J34" s="427">
        <v>0</v>
      </c>
    </row>
    <row r="35" spans="1:10" ht="15" x14ac:dyDescent="0.25">
      <c r="A35" s="595">
        <v>7081</v>
      </c>
      <c r="B35" s="1522" t="s">
        <v>1761</v>
      </c>
      <c r="C35" s="1516"/>
      <c r="D35" s="1516"/>
      <c r="E35" s="1516"/>
      <c r="F35" s="1523"/>
      <c r="G35" s="583">
        <v>0</v>
      </c>
      <c r="H35" s="583">
        <v>0</v>
      </c>
      <c r="I35" s="583">
        <v>0</v>
      </c>
      <c r="J35" s="427">
        <v>0</v>
      </c>
    </row>
    <row r="36" spans="1:10" ht="15" x14ac:dyDescent="0.25">
      <c r="A36" s="595">
        <v>7082</v>
      </c>
      <c r="B36" s="1522" t="s">
        <v>1762</v>
      </c>
      <c r="C36" s="1516"/>
      <c r="D36" s="1516"/>
      <c r="E36" s="1516"/>
      <c r="F36" s="1523"/>
      <c r="G36" s="583">
        <v>0</v>
      </c>
      <c r="H36" s="583">
        <v>0</v>
      </c>
      <c r="I36" s="583">
        <v>0</v>
      </c>
      <c r="J36" s="427">
        <v>0</v>
      </c>
    </row>
    <row r="37" spans="1:10" ht="15" x14ac:dyDescent="0.25">
      <c r="A37" s="598" t="s">
        <v>605</v>
      </c>
      <c r="B37" s="1521" t="s">
        <v>1763</v>
      </c>
      <c r="C37" s="1521"/>
      <c r="D37" s="1521"/>
      <c r="E37" s="1521"/>
      <c r="F37" s="1521"/>
      <c r="G37" s="599">
        <v>0</v>
      </c>
      <c r="H37" s="599">
        <v>0</v>
      </c>
      <c r="I37" s="600">
        <v>0</v>
      </c>
      <c r="J37" s="601">
        <v>0</v>
      </c>
    </row>
    <row r="38" spans="1:10" ht="15" x14ac:dyDescent="0.25">
      <c r="A38" s="595">
        <v>711</v>
      </c>
      <c r="B38" s="1522" t="s">
        <v>1764</v>
      </c>
      <c r="C38" s="1516"/>
      <c r="D38" s="1516"/>
      <c r="E38" s="1516"/>
      <c r="F38" s="1523"/>
      <c r="G38" s="583">
        <v>0</v>
      </c>
      <c r="H38" s="583">
        <v>0</v>
      </c>
      <c r="I38" s="583">
        <v>0</v>
      </c>
      <c r="J38" s="427">
        <v>0</v>
      </c>
    </row>
    <row r="39" spans="1:10" ht="15" x14ac:dyDescent="0.25">
      <c r="A39" s="595">
        <v>713</v>
      </c>
      <c r="B39" s="1522" t="s">
        <v>1765</v>
      </c>
      <c r="C39" s="1516"/>
      <c r="D39" s="1516"/>
      <c r="E39" s="1516"/>
      <c r="F39" s="1523"/>
      <c r="G39" s="583">
        <v>0</v>
      </c>
      <c r="H39" s="583">
        <v>0</v>
      </c>
      <c r="I39" s="583">
        <v>0</v>
      </c>
      <c r="J39" s="427">
        <v>0</v>
      </c>
    </row>
    <row r="40" spans="1:10" ht="15" x14ac:dyDescent="0.25">
      <c r="A40" s="595">
        <v>718</v>
      </c>
      <c r="B40" s="1522" t="s">
        <v>1766</v>
      </c>
      <c r="C40" s="1516"/>
      <c r="D40" s="1516"/>
      <c r="E40" s="1516"/>
      <c r="F40" s="1523"/>
      <c r="G40" s="583">
        <v>0</v>
      </c>
      <c r="H40" s="583">
        <v>0</v>
      </c>
      <c r="I40" s="583">
        <v>0</v>
      </c>
      <c r="J40" s="427">
        <v>0</v>
      </c>
    </row>
    <row r="41" spans="1:10" ht="15" x14ac:dyDescent="0.25">
      <c r="A41" s="598" t="s">
        <v>607</v>
      </c>
      <c r="B41" s="1521" t="s">
        <v>1767</v>
      </c>
      <c r="C41" s="1521"/>
      <c r="D41" s="1521"/>
      <c r="E41" s="1521"/>
      <c r="F41" s="1521"/>
      <c r="G41" s="599">
        <v>0</v>
      </c>
      <c r="H41" s="599">
        <v>0</v>
      </c>
      <c r="I41" s="600">
        <v>0</v>
      </c>
      <c r="J41" s="601">
        <v>0</v>
      </c>
    </row>
    <row r="42" spans="1:10" ht="15" x14ac:dyDescent="0.25">
      <c r="A42" s="595">
        <v>721</v>
      </c>
      <c r="B42" s="1522" t="s">
        <v>1768</v>
      </c>
      <c r="C42" s="1516"/>
      <c r="D42" s="1516"/>
      <c r="E42" s="1516"/>
      <c r="F42" s="1523"/>
      <c r="G42" s="583">
        <v>0</v>
      </c>
      <c r="H42" s="583">
        <v>0</v>
      </c>
      <c r="I42" s="583">
        <v>0</v>
      </c>
      <c r="J42" s="427">
        <v>0</v>
      </c>
    </row>
    <row r="43" spans="1:10" ht="15" x14ac:dyDescent="0.25">
      <c r="A43" s="595">
        <v>722</v>
      </c>
      <c r="B43" s="1522" t="s">
        <v>1769</v>
      </c>
      <c r="C43" s="1516"/>
      <c r="D43" s="1516"/>
      <c r="E43" s="1516"/>
      <c r="F43" s="1523"/>
      <c r="G43" s="583">
        <v>0</v>
      </c>
      <c r="H43" s="583">
        <v>0</v>
      </c>
      <c r="I43" s="583">
        <v>0</v>
      </c>
      <c r="J43" s="427">
        <v>0</v>
      </c>
    </row>
    <row r="44" spans="1:10" ht="15" x14ac:dyDescent="0.25">
      <c r="A44" s="595">
        <v>724</v>
      </c>
      <c r="B44" s="1522" t="s">
        <v>1770</v>
      </c>
      <c r="C44" s="1516"/>
      <c r="D44" s="1516"/>
      <c r="E44" s="1516"/>
      <c r="F44" s="1523"/>
      <c r="G44" s="583">
        <v>0</v>
      </c>
      <c r="H44" s="583">
        <v>0</v>
      </c>
      <c r="I44" s="583">
        <v>0</v>
      </c>
      <c r="J44" s="427">
        <v>0</v>
      </c>
    </row>
    <row r="45" spans="1:10" ht="15" x14ac:dyDescent="0.25">
      <c r="A45" s="595">
        <v>726</v>
      </c>
      <c r="B45" s="1522" t="s">
        <v>1771</v>
      </c>
      <c r="C45" s="1516"/>
      <c r="D45" s="1516"/>
      <c r="E45" s="1516"/>
      <c r="F45" s="1523"/>
      <c r="G45" s="583">
        <v>0</v>
      </c>
      <c r="H45" s="583">
        <v>0</v>
      </c>
      <c r="I45" s="583">
        <v>0</v>
      </c>
      <c r="J45" s="427">
        <v>0</v>
      </c>
    </row>
    <row r="46" spans="1:10" ht="15" x14ac:dyDescent="0.25">
      <c r="A46" s="598" t="s">
        <v>609</v>
      </c>
      <c r="B46" s="1521" t="s">
        <v>1772</v>
      </c>
      <c r="C46" s="1521"/>
      <c r="D46" s="1521"/>
      <c r="E46" s="1521"/>
      <c r="F46" s="1521"/>
      <c r="G46" s="599">
        <v>0</v>
      </c>
      <c r="H46" s="599">
        <v>0</v>
      </c>
      <c r="I46" s="600">
        <v>0</v>
      </c>
      <c r="J46" s="601">
        <v>0</v>
      </c>
    </row>
    <row r="47" spans="1:10" ht="15" x14ac:dyDescent="0.25">
      <c r="A47" s="595">
        <v>735</v>
      </c>
      <c r="B47" s="1522" t="s">
        <v>1773</v>
      </c>
      <c r="C47" s="1516"/>
      <c r="D47" s="1516"/>
      <c r="E47" s="1516"/>
      <c r="F47" s="1523"/>
      <c r="G47" s="602">
        <v>0</v>
      </c>
      <c r="H47" s="602">
        <v>0</v>
      </c>
      <c r="I47" s="583">
        <v>0</v>
      </c>
      <c r="J47" s="427">
        <v>0</v>
      </c>
    </row>
    <row r="48" spans="1:10" ht="15" x14ac:dyDescent="0.25">
      <c r="A48" s="595">
        <v>736</v>
      </c>
      <c r="B48" s="1522" t="s">
        <v>1774</v>
      </c>
      <c r="C48" s="1516"/>
      <c r="D48" s="1516"/>
      <c r="E48" s="1516"/>
      <c r="F48" s="1523"/>
      <c r="G48" s="602">
        <v>0</v>
      </c>
      <c r="H48" s="602">
        <v>0</v>
      </c>
      <c r="I48" s="583">
        <v>0</v>
      </c>
      <c r="J48" s="427">
        <v>0</v>
      </c>
    </row>
    <row r="49" spans="1:10" ht="15" x14ac:dyDescent="0.25">
      <c r="A49" s="598" t="s">
        <v>611</v>
      </c>
      <c r="B49" s="1521" t="s">
        <v>1775</v>
      </c>
      <c r="C49" s="1521"/>
      <c r="D49" s="1521"/>
      <c r="E49" s="1521"/>
      <c r="F49" s="1521"/>
      <c r="G49" s="599">
        <v>0</v>
      </c>
      <c r="H49" s="599">
        <v>0</v>
      </c>
      <c r="I49" s="600">
        <v>0</v>
      </c>
      <c r="J49" s="601">
        <v>0</v>
      </c>
    </row>
    <row r="50" spans="1:10" ht="15" x14ac:dyDescent="0.25">
      <c r="A50" s="595">
        <v>751</v>
      </c>
      <c r="B50" s="1522" t="s">
        <v>1776</v>
      </c>
      <c r="C50" s="1516"/>
      <c r="D50" s="1516"/>
      <c r="E50" s="1516"/>
      <c r="F50" s="1523"/>
      <c r="G50" s="583">
        <v>0</v>
      </c>
      <c r="H50" s="583">
        <v>0</v>
      </c>
      <c r="I50" s="583">
        <v>0</v>
      </c>
      <c r="J50" s="427">
        <v>0</v>
      </c>
    </row>
    <row r="51" spans="1:10" ht="15" x14ac:dyDescent="0.25">
      <c r="A51" s="595">
        <v>752</v>
      </c>
      <c r="B51" s="1522" t="s">
        <v>1777</v>
      </c>
      <c r="C51" s="1516"/>
      <c r="D51" s="1516"/>
      <c r="E51" s="1516"/>
      <c r="F51" s="1523"/>
      <c r="G51" s="583">
        <v>0</v>
      </c>
      <c r="H51" s="583">
        <v>0</v>
      </c>
      <c r="I51" s="583">
        <v>0</v>
      </c>
      <c r="J51" s="427">
        <v>0</v>
      </c>
    </row>
    <row r="52" spans="1:10" ht="15" x14ac:dyDescent="0.25">
      <c r="A52" s="595">
        <v>7542</v>
      </c>
      <c r="B52" s="1522" t="s">
        <v>1778</v>
      </c>
      <c r="C52" s="1516"/>
      <c r="D52" s="1516"/>
      <c r="E52" s="1516"/>
      <c r="F52" s="1523"/>
      <c r="G52" s="583">
        <v>0</v>
      </c>
      <c r="H52" s="583">
        <v>0</v>
      </c>
      <c r="I52" s="583">
        <v>0</v>
      </c>
      <c r="J52" s="427">
        <v>0</v>
      </c>
    </row>
    <row r="53" spans="1:10" ht="15" x14ac:dyDescent="0.25">
      <c r="A53" s="595">
        <v>7582</v>
      </c>
      <c r="B53" s="1522" t="s">
        <v>1779</v>
      </c>
      <c r="C53" s="1516"/>
      <c r="D53" s="1516"/>
      <c r="E53" s="1516"/>
      <c r="F53" s="1523"/>
      <c r="G53" s="583">
        <v>0</v>
      </c>
      <c r="H53" s="583">
        <v>0</v>
      </c>
      <c r="I53" s="583">
        <v>0</v>
      </c>
      <c r="J53" s="427">
        <v>0</v>
      </c>
    </row>
    <row r="54" spans="1:10" ht="15" x14ac:dyDescent="0.25">
      <c r="A54" s="595">
        <v>7583</v>
      </c>
      <c r="B54" s="1522" t="s">
        <v>1780</v>
      </c>
      <c r="C54" s="1516"/>
      <c r="D54" s="1516"/>
      <c r="E54" s="1516"/>
      <c r="F54" s="1523"/>
      <c r="G54" s="583">
        <v>0</v>
      </c>
      <c r="H54" s="583">
        <v>0</v>
      </c>
      <c r="I54" s="583">
        <v>0</v>
      </c>
      <c r="J54" s="427">
        <v>0</v>
      </c>
    </row>
    <row r="55" spans="1:10" ht="15" x14ac:dyDescent="0.25">
      <c r="A55" s="595">
        <v>7588</v>
      </c>
      <c r="B55" s="1522" t="s">
        <v>1781</v>
      </c>
      <c r="C55" s="1516"/>
      <c r="D55" s="1516"/>
      <c r="E55" s="1516"/>
      <c r="F55" s="1523"/>
      <c r="G55" s="583">
        <v>0</v>
      </c>
      <c r="H55" s="583">
        <v>0</v>
      </c>
      <c r="I55" s="583">
        <v>0</v>
      </c>
      <c r="J55" s="427">
        <v>0</v>
      </c>
    </row>
    <row r="56" spans="1:10" ht="15" x14ac:dyDescent="0.25">
      <c r="A56" s="595">
        <v>7591</v>
      </c>
      <c r="B56" s="1522" t="s">
        <v>1782</v>
      </c>
      <c r="C56" s="1516"/>
      <c r="D56" s="1516"/>
      <c r="E56" s="1516"/>
      <c r="F56" s="1523"/>
      <c r="G56" s="583">
        <v>0</v>
      </c>
      <c r="H56" s="583">
        <v>0</v>
      </c>
      <c r="I56" s="583">
        <v>0</v>
      </c>
      <c r="J56" s="427">
        <v>0</v>
      </c>
    </row>
    <row r="57" spans="1:10" ht="15" x14ac:dyDescent="0.25">
      <c r="A57" s="595">
        <v>7593</v>
      </c>
      <c r="B57" s="1522" t="s">
        <v>1783</v>
      </c>
      <c r="C57" s="1516"/>
      <c r="D57" s="1516"/>
      <c r="E57" s="1516"/>
      <c r="F57" s="1523"/>
      <c r="G57" s="583">
        <v>0</v>
      </c>
      <c r="H57" s="583">
        <v>0</v>
      </c>
      <c r="I57" s="583">
        <v>0</v>
      </c>
      <c r="J57" s="427">
        <v>0</v>
      </c>
    </row>
    <row r="58" spans="1:10" ht="15" x14ac:dyDescent="0.25">
      <c r="A58" s="595">
        <v>7594</v>
      </c>
      <c r="B58" s="1522" t="s">
        <v>1784</v>
      </c>
      <c r="C58" s="1516"/>
      <c r="D58" s="1516"/>
      <c r="E58" s="1516"/>
      <c r="F58" s="1523"/>
      <c r="G58" s="583">
        <v>0</v>
      </c>
      <c r="H58" s="583">
        <v>0</v>
      </c>
      <c r="I58" s="583">
        <v>0</v>
      </c>
      <c r="J58" s="427">
        <v>0</v>
      </c>
    </row>
    <row r="59" spans="1:10" ht="15" x14ac:dyDescent="0.25">
      <c r="A59" s="595">
        <v>7598</v>
      </c>
      <c r="B59" s="1522" t="s">
        <v>1785</v>
      </c>
      <c r="C59" s="1516"/>
      <c r="D59" s="1516"/>
      <c r="E59" s="1516"/>
      <c r="F59" s="1523"/>
      <c r="G59" s="583">
        <v>0</v>
      </c>
      <c r="H59" s="583">
        <v>0</v>
      </c>
      <c r="I59" s="583">
        <v>0</v>
      </c>
      <c r="J59" s="427">
        <v>0</v>
      </c>
    </row>
    <row r="60" spans="1:10" ht="15" x14ac:dyDescent="0.25">
      <c r="A60" s="598" t="s">
        <v>613</v>
      </c>
      <c r="B60" s="1521" t="s">
        <v>1786</v>
      </c>
      <c r="C60" s="1521"/>
      <c r="D60" s="1521"/>
      <c r="E60" s="1521"/>
      <c r="F60" s="1521"/>
      <c r="G60" s="599">
        <v>0</v>
      </c>
      <c r="H60" s="599">
        <v>0</v>
      </c>
      <c r="I60" s="600">
        <v>0</v>
      </c>
      <c r="J60" s="601">
        <v>0</v>
      </c>
    </row>
    <row r="61" spans="1:10" ht="15" x14ac:dyDescent="0.25">
      <c r="A61" s="595">
        <v>7712</v>
      </c>
      <c r="B61" s="1522" t="s">
        <v>1787</v>
      </c>
      <c r="C61" s="1516"/>
      <c r="D61" s="1516"/>
      <c r="E61" s="1516"/>
      <c r="F61" s="1523"/>
      <c r="G61" s="583">
        <v>0</v>
      </c>
      <c r="H61" s="583">
        <v>0</v>
      </c>
      <c r="I61" s="583">
        <v>0</v>
      </c>
      <c r="J61" s="427">
        <v>0</v>
      </c>
    </row>
    <row r="62" spans="1:10" ht="15" x14ac:dyDescent="0.25">
      <c r="A62" s="595">
        <v>7713</v>
      </c>
      <c r="B62" s="1522" t="s">
        <v>1788</v>
      </c>
      <c r="C62" s="1516"/>
      <c r="D62" s="1516"/>
      <c r="E62" s="1516"/>
      <c r="F62" s="1523"/>
      <c r="G62" s="583">
        <v>0</v>
      </c>
      <c r="H62" s="583">
        <v>0</v>
      </c>
      <c r="I62" s="583">
        <v>0</v>
      </c>
      <c r="J62" s="427">
        <v>0</v>
      </c>
    </row>
    <row r="63" spans="1:10" ht="15" x14ac:dyDescent="0.25">
      <c r="A63" s="595">
        <v>7721</v>
      </c>
      <c r="B63" s="1522" t="s">
        <v>1789</v>
      </c>
      <c r="C63" s="1516"/>
      <c r="D63" s="1516"/>
      <c r="E63" s="1516"/>
      <c r="F63" s="1523"/>
      <c r="G63" s="583">
        <v>0</v>
      </c>
      <c r="H63" s="583">
        <v>0</v>
      </c>
      <c r="I63" s="583">
        <v>0</v>
      </c>
      <c r="J63" s="427">
        <v>0</v>
      </c>
    </row>
    <row r="64" spans="1:10" ht="15" x14ac:dyDescent="0.25">
      <c r="A64" s="595">
        <v>7722</v>
      </c>
      <c r="B64" s="1522" t="s">
        <v>1790</v>
      </c>
      <c r="C64" s="1516"/>
      <c r="D64" s="1516"/>
      <c r="E64" s="1516"/>
      <c r="F64" s="1523"/>
      <c r="G64" s="583">
        <v>0</v>
      </c>
      <c r="H64" s="583">
        <v>0</v>
      </c>
      <c r="I64" s="583">
        <v>0</v>
      </c>
      <c r="J64" s="427">
        <v>0</v>
      </c>
    </row>
    <row r="65" spans="1:10" ht="15" x14ac:dyDescent="0.25">
      <c r="A65" s="595">
        <v>773</v>
      </c>
      <c r="B65" s="1522" t="s">
        <v>1395</v>
      </c>
      <c r="C65" s="1516"/>
      <c r="D65" s="1516"/>
      <c r="E65" s="1516"/>
      <c r="F65" s="1523"/>
      <c r="G65" s="583">
        <v>0</v>
      </c>
      <c r="H65" s="583">
        <v>0</v>
      </c>
      <c r="I65" s="583">
        <v>0</v>
      </c>
      <c r="J65" s="427">
        <v>0</v>
      </c>
    </row>
    <row r="66" spans="1:10" ht="15" x14ac:dyDescent="0.25">
      <c r="A66" s="595">
        <v>7745</v>
      </c>
      <c r="B66" s="1522" t="s">
        <v>1791</v>
      </c>
      <c r="C66" s="1516"/>
      <c r="D66" s="1516"/>
      <c r="E66" s="1516"/>
      <c r="F66" s="1523"/>
      <c r="G66" s="583">
        <v>0</v>
      </c>
      <c r="H66" s="583">
        <v>0</v>
      </c>
      <c r="I66" s="583">
        <v>0</v>
      </c>
      <c r="J66" s="427">
        <v>0</v>
      </c>
    </row>
    <row r="67" spans="1:10" ht="15" x14ac:dyDescent="0.25">
      <c r="A67" s="595">
        <v>7746</v>
      </c>
      <c r="B67" s="1522" t="s">
        <v>1792</v>
      </c>
      <c r="C67" s="1516"/>
      <c r="D67" s="1516"/>
      <c r="E67" s="1516"/>
      <c r="F67" s="1523"/>
      <c r="G67" s="583">
        <v>0</v>
      </c>
      <c r="H67" s="583">
        <v>0</v>
      </c>
      <c r="I67" s="583">
        <v>0</v>
      </c>
      <c r="J67" s="427">
        <v>0</v>
      </c>
    </row>
    <row r="68" spans="1:10" ht="13.9" customHeight="1" x14ac:dyDescent="0.25">
      <c r="A68" s="595">
        <v>7747</v>
      </c>
      <c r="B68" s="1522" t="s">
        <v>1793</v>
      </c>
      <c r="C68" s="1516"/>
      <c r="D68" s="1516"/>
      <c r="E68" s="1516"/>
      <c r="F68" s="1523"/>
      <c r="G68" s="583">
        <v>0</v>
      </c>
      <c r="H68" s="583">
        <v>0</v>
      </c>
      <c r="I68" s="583">
        <v>0</v>
      </c>
      <c r="J68" s="427">
        <v>0</v>
      </c>
    </row>
    <row r="69" spans="1:10" ht="13.9" customHeight="1" x14ac:dyDescent="0.25">
      <c r="A69" s="595">
        <v>7748</v>
      </c>
      <c r="B69" s="1522" t="s">
        <v>1794</v>
      </c>
      <c r="C69" s="1516"/>
      <c r="D69" s="1516"/>
      <c r="E69" s="1516"/>
      <c r="F69" s="1523"/>
      <c r="G69" s="583">
        <v>0</v>
      </c>
      <c r="H69" s="583">
        <v>0</v>
      </c>
      <c r="I69" s="583">
        <v>0</v>
      </c>
      <c r="J69" s="427">
        <v>0</v>
      </c>
    </row>
    <row r="70" spans="1:10" ht="13.9" customHeight="1" x14ac:dyDescent="0.25">
      <c r="A70" s="595">
        <v>776</v>
      </c>
      <c r="B70" s="1522" t="s">
        <v>1795</v>
      </c>
      <c r="C70" s="1516"/>
      <c r="D70" s="1516"/>
      <c r="E70" s="1516"/>
      <c r="F70" s="1523"/>
      <c r="G70" s="583">
        <v>0</v>
      </c>
      <c r="H70" s="583">
        <v>0</v>
      </c>
      <c r="I70" s="583">
        <v>0</v>
      </c>
      <c r="J70" s="427">
        <v>0</v>
      </c>
    </row>
    <row r="71" spans="1:10" ht="13.9" customHeight="1" x14ac:dyDescent="0.25">
      <c r="A71" s="595">
        <v>777</v>
      </c>
      <c r="B71" s="1522" t="s">
        <v>1398</v>
      </c>
      <c r="C71" s="1516"/>
      <c r="D71" s="1516"/>
      <c r="E71" s="1516"/>
      <c r="F71" s="1523"/>
      <c r="G71" s="583">
        <v>0</v>
      </c>
      <c r="H71" s="583">
        <v>0</v>
      </c>
      <c r="I71" s="583">
        <v>0</v>
      </c>
      <c r="J71" s="427">
        <v>0</v>
      </c>
    </row>
    <row r="72" spans="1:10" ht="13.9" customHeight="1" x14ac:dyDescent="0.25">
      <c r="A72" s="595">
        <v>7781</v>
      </c>
      <c r="B72" s="1522" t="s">
        <v>1796</v>
      </c>
      <c r="C72" s="1516"/>
      <c r="D72" s="1516"/>
      <c r="E72" s="1516"/>
      <c r="F72" s="1523"/>
      <c r="G72" s="583">
        <v>0</v>
      </c>
      <c r="H72" s="583">
        <v>0</v>
      </c>
      <c r="I72" s="583">
        <v>0</v>
      </c>
      <c r="J72" s="427">
        <v>0</v>
      </c>
    </row>
    <row r="73" spans="1:10" ht="13.9" customHeight="1" x14ac:dyDescent="0.25">
      <c r="A73" s="595">
        <v>7782</v>
      </c>
      <c r="B73" s="1522" t="s">
        <v>1797</v>
      </c>
      <c r="C73" s="1516"/>
      <c r="D73" s="1516"/>
      <c r="E73" s="1516"/>
      <c r="F73" s="1523"/>
      <c r="G73" s="583">
        <v>0</v>
      </c>
      <c r="H73" s="583">
        <v>0</v>
      </c>
      <c r="I73" s="583">
        <v>0</v>
      </c>
      <c r="J73" s="427">
        <v>0</v>
      </c>
    </row>
    <row r="74" spans="1:10" ht="13.9" customHeight="1" x14ac:dyDescent="0.25">
      <c r="A74" s="595">
        <v>7791</v>
      </c>
      <c r="B74" s="1522" t="s">
        <v>1798</v>
      </c>
      <c r="C74" s="1516"/>
      <c r="D74" s="1516"/>
      <c r="E74" s="1516"/>
      <c r="F74" s="1523"/>
      <c r="G74" s="583">
        <v>0</v>
      </c>
      <c r="H74" s="583">
        <v>0</v>
      </c>
      <c r="I74" s="583">
        <v>0</v>
      </c>
      <c r="J74" s="427">
        <v>0</v>
      </c>
    </row>
    <row r="75" spans="1:10" ht="13.9" customHeight="1" x14ac:dyDescent="0.25">
      <c r="A75" s="595">
        <v>7795</v>
      </c>
      <c r="B75" s="1522" t="s">
        <v>1799</v>
      </c>
      <c r="C75" s="1516"/>
      <c r="D75" s="1516"/>
      <c r="E75" s="1516"/>
      <c r="F75" s="1523"/>
      <c r="G75" s="583">
        <v>0</v>
      </c>
      <c r="H75" s="583">
        <v>0</v>
      </c>
      <c r="I75" s="583">
        <v>0</v>
      </c>
      <c r="J75" s="427">
        <v>0</v>
      </c>
    </row>
    <row r="76" spans="1:10" ht="13.9" customHeight="1" x14ac:dyDescent="0.25">
      <c r="A76" s="595">
        <v>7798</v>
      </c>
      <c r="B76" s="596" t="s">
        <v>1800</v>
      </c>
      <c r="C76" s="592"/>
      <c r="D76" s="592"/>
      <c r="E76" s="592"/>
      <c r="F76" s="597"/>
      <c r="G76" s="583">
        <v>0</v>
      </c>
      <c r="H76" s="583">
        <v>0</v>
      </c>
      <c r="I76" s="583">
        <v>0</v>
      </c>
      <c r="J76" s="427">
        <v>0</v>
      </c>
    </row>
    <row r="77" spans="1:10" ht="13.15" customHeight="1" x14ac:dyDescent="0.25">
      <c r="A77" s="598" t="s">
        <v>615</v>
      </c>
      <c r="B77" s="1521" t="s">
        <v>1801</v>
      </c>
      <c r="C77" s="1521"/>
      <c r="D77" s="1521"/>
      <c r="E77" s="1521"/>
      <c r="F77" s="1521"/>
      <c r="G77" s="599">
        <v>0</v>
      </c>
      <c r="H77" s="599">
        <v>0</v>
      </c>
      <c r="I77" s="600">
        <v>0</v>
      </c>
      <c r="J77" s="601">
        <v>0</v>
      </c>
    </row>
  </sheetData>
  <mergeCells count="82">
    <mergeCell ref="C6:D6"/>
    <mergeCell ref="E6:F6"/>
    <mergeCell ref="H6:I6"/>
    <mergeCell ref="A1:J1"/>
    <mergeCell ref="C2:J2"/>
    <mergeCell ref="C3:J3"/>
    <mergeCell ref="C4:J4"/>
    <mergeCell ref="C5:J5"/>
    <mergeCell ref="C7:J7"/>
    <mergeCell ref="C8:J8"/>
    <mergeCell ref="C9:J9"/>
    <mergeCell ref="C10:D10"/>
    <mergeCell ref="E10:G10"/>
    <mergeCell ref="H10:J10"/>
    <mergeCell ref="C11:D11"/>
    <mergeCell ref="E11:G11"/>
    <mergeCell ref="H11:J11"/>
    <mergeCell ref="A13:J13"/>
    <mergeCell ref="A15:F16"/>
    <mergeCell ref="G15:G16"/>
    <mergeCell ref="H15:H16"/>
    <mergeCell ref="I15:J15"/>
    <mergeCell ref="B28:F28"/>
    <mergeCell ref="B17:F17"/>
    <mergeCell ref="B18:F18"/>
    <mergeCell ref="B19:F19"/>
    <mergeCell ref="B20:F20"/>
    <mergeCell ref="B21:F21"/>
    <mergeCell ref="B22:F22"/>
    <mergeCell ref="B23:F23"/>
    <mergeCell ref="B24:F24"/>
    <mergeCell ref="B25:F25"/>
    <mergeCell ref="B26:F26"/>
    <mergeCell ref="B27:F27"/>
    <mergeCell ref="B40:F40"/>
    <mergeCell ref="B29:F29"/>
    <mergeCell ref="B30:F30"/>
    <mergeCell ref="B31:F31"/>
    <mergeCell ref="B32:F32"/>
    <mergeCell ref="B33:F33"/>
    <mergeCell ref="B34:F34"/>
    <mergeCell ref="B35:F35"/>
    <mergeCell ref="B36:F36"/>
    <mergeCell ref="B37:F37"/>
    <mergeCell ref="B38:F38"/>
    <mergeCell ref="B39:F39"/>
    <mergeCell ref="B52:F52"/>
    <mergeCell ref="B41:F41"/>
    <mergeCell ref="B42:F42"/>
    <mergeCell ref="B43:F43"/>
    <mergeCell ref="B44:F44"/>
    <mergeCell ref="B45:F45"/>
    <mergeCell ref="B46:F46"/>
    <mergeCell ref="B47:F47"/>
    <mergeCell ref="B48:F48"/>
    <mergeCell ref="B49:F49"/>
    <mergeCell ref="B50:F50"/>
    <mergeCell ref="B51:F51"/>
    <mergeCell ref="B64:F64"/>
    <mergeCell ref="B53:F53"/>
    <mergeCell ref="B54:F54"/>
    <mergeCell ref="B55:F55"/>
    <mergeCell ref="B56:F56"/>
    <mergeCell ref="B57:F57"/>
    <mergeCell ref="B58:F58"/>
    <mergeCell ref="B59:F59"/>
    <mergeCell ref="B60:F60"/>
    <mergeCell ref="B61:F61"/>
    <mergeCell ref="B62:F62"/>
    <mergeCell ref="B63:F63"/>
    <mergeCell ref="B77:F77"/>
    <mergeCell ref="B65:F65"/>
    <mergeCell ref="B66:F66"/>
    <mergeCell ref="B67:F67"/>
    <mergeCell ref="B68:F68"/>
    <mergeCell ref="B69:F69"/>
    <mergeCell ref="B70:F70"/>
    <mergeCell ref="B71:F71"/>
    <mergeCell ref="B72:F72"/>
    <mergeCell ref="B73:F73"/>
    <mergeCell ref="B74:F74"/>
    <mergeCell ref="B75:F75"/>
  </mergeCells>
  <dataValidations count="1">
    <dataValidation type="whole" allowBlank="1" showInputMessage="1" showErrorMessage="1" errorTitle="Attention!" error="Valeur numérique attendue" sqref="G17:H36 G38:H40 G42:H45 G50:H59 G61:H76" xr:uid="{0F18B566-0B42-4ABF-A9EB-AA3896EE4464}">
      <formula1>-9999999999999</formula1>
      <formula2>9999999999999</formula2>
    </dataValidation>
  </dataValidations>
  <pageMargins left="0.7" right="0.7" top="0.75" bottom="0.75" header="0.3" footer="0.3"/>
  <drawing r:id="rId1"/>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4BBFC7-ED12-48B5-ADD7-E6B6410BF5D5}">
  <dimension ref="A1:J62"/>
  <sheetViews>
    <sheetView workbookViewId="0">
      <selection sqref="A1:XFD1048576"/>
    </sheetView>
  </sheetViews>
  <sheetFormatPr baseColWidth="10" defaultColWidth="11.42578125" defaultRowHeight="13.9" customHeight="1" x14ac:dyDescent="0.25"/>
  <cols>
    <col min="1" max="1" width="11.7109375" style="481" customWidth="1"/>
    <col min="2" max="2" width="28.140625" style="481" customWidth="1"/>
    <col min="3" max="6" width="10.140625" style="481" customWidth="1"/>
    <col min="7" max="9" width="13.42578125" style="481" customWidth="1"/>
    <col min="10" max="10" width="8.85546875" style="481" customWidth="1"/>
    <col min="11" max="11" width="8.140625" style="481" customWidth="1"/>
    <col min="12" max="12" width="10" style="481" customWidth="1"/>
    <col min="13" max="16384" width="11.42578125" style="481"/>
  </cols>
  <sheetData>
    <row r="1" spans="1:10" ht="11.45" customHeight="1" x14ac:dyDescent="0.25">
      <c r="A1" s="1514"/>
      <c r="B1" s="1514"/>
      <c r="C1" s="1515"/>
      <c r="D1" s="1515"/>
      <c r="E1" s="1515"/>
      <c r="F1" s="1515"/>
      <c r="G1" s="1515"/>
      <c r="H1" s="1515"/>
      <c r="I1" s="1515"/>
      <c r="J1" s="1515"/>
    </row>
    <row r="2" spans="1:10" ht="15" x14ac:dyDescent="0.25">
      <c r="A2" s="199" t="s">
        <v>361</v>
      </c>
      <c r="B2" s="199"/>
      <c r="C2" s="1505" t="s">
        <v>2</v>
      </c>
      <c r="D2" s="958"/>
      <c r="E2" s="958"/>
      <c r="F2" s="958"/>
      <c r="G2" s="958"/>
      <c r="H2" s="958"/>
      <c r="I2" s="958"/>
      <c r="J2" s="958"/>
    </row>
    <row r="3" spans="1:10" ht="15" customHeight="1" x14ac:dyDescent="0.25">
      <c r="A3" s="199"/>
      <c r="B3" s="199"/>
      <c r="C3" s="1506" t="s">
        <v>4</v>
      </c>
      <c r="D3" s="1506"/>
      <c r="E3" s="1506"/>
      <c r="F3" s="1506"/>
      <c r="G3" s="1506"/>
      <c r="H3" s="1506"/>
      <c r="I3" s="1506"/>
      <c r="J3" s="1506"/>
    </row>
    <row r="4" spans="1:10" ht="15" x14ac:dyDescent="0.25">
      <c r="A4" s="199" t="s">
        <v>362</v>
      </c>
      <c r="B4" s="199"/>
      <c r="C4" s="1506" t="s">
        <v>6</v>
      </c>
      <c r="D4" s="957"/>
      <c r="E4" s="957"/>
      <c r="F4" s="957"/>
      <c r="G4" s="957"/>
      <c r="H4" s="957"/>
      <c r="I4" s="957"/>
      <c r="J4" s="957"/>
    </row>
    <row r="5" spans="1:10" ht="15" customHeight="1" x14ac:dyDescent="0.25">
      <c r="A5" s="199" t="s">
        <v>363</v>
      </c>
      <c r="B5" s="199"/>
      <c r="C5" s="1492">
        <v>4431</v>
      </c>
      <c r="D5" s="1492"/>
      <c r="E5" s="1492"/>
      <c r="F5" s="1492"/>
      <c r="G5" s="1492"/>
      <c r="H5" s="1492"/>
      <c r="I5" s="1492"/>
      <c r="J5" s="1492"/>
    </row>
    <row r="6" spans="1:10" ht="15" x14ac:dyDescent="0.25">
      <c r="A6" s="199" t="s">
        <v>364</v>
      </c>
      <c r="B6" s="199"/>
      <c r="C6" s="957" t="s">
        <v>12</v>
      </c>
      <c r="D6" s="957"/>
      <c r="E6" s="1490" t="s">
        <v>365</v>
      </c>
      <c r="F6" s="1490"/>
      <c r="G6" s="202">
        <v>46022</v>
      </c>
      <c r="H6" s="770" t="s">
        <v>465</v>
      </c>
      <c r="I6" s="770"/>
      <c r="J6" s="235">
        <v>12</v>
      </c>
    </row>
    <row r="7" spans="1:10" ht="15" x14ac:dyDescent="0.25">
      <c r="A7" s="199" t="s">
        <v>367</v>
      </c>
      <c r="B7" s="199"/>
      <c r="C7" s="1487" t="s">
        <v>8</v>
      </c>
      <c r="D7" s="1487"/>
      <c r="E7" s="1487"/>
      <c r="F7" s="1487"/>
      <c r="G7" s="1487"/>
      <c r="H7" s="1487"/>
      <c r="I7" s="1487"/>
      <c r="J7" s="1487"/>
    </row>
    <row r="8" spans="1:10" ht="15" x14ac:dyDescent="0.25">
      <c r="A8" s="199" t="s">
        <v>466</v>
      </c>
      <c r="B8" s="203"/>
      <c r="C8" s="959" t="s">
        <v>34</v>
      </c>
      <c r="D8" s="959"/>
      <c r="E8" s="959"/>
      <c r="F8" s="959"/>
      <c r="G8" s="959"/>
      <c r="H8" s="959"/>
      <c r="I8" s="959"/>
      <c r="J8" s="959"/>
    </row>
    <row r="9" spans="1:10" ht="15" x14ac:dyDescent="0.25">
      <c r="A9" s="198"/>
      <c r="B9" s="203"/>
      <c r="C9" s="770">
        <v>555555</v>
      </c>
      <c r="D9" s="770"/>
      <c r="E9" s="770"/>
      <c r="F9" s="770"/>
      <c r="G9" s="770"/>
      <c r="H9" s="770"/>
      <c r="I9" s="770"/>
      <c r="J9" s="770"/>
    </row>
    <row r="10" spans="1:10" ht="15" x14ac:dyDescent="0.25">
      <c r="A10" s="199" t="s">
        <v>467</v>
      </c>
      <c r="B10" s="203"/>
      <c r="C10" s="770" t="s">
        <v>38</v>
      </c>
      <c r="D10" s="770"/>
      <c r="E10" s="770" t="s">
        <v>468</v>
      </c>
      <c r="F10" s="770"/>
      <c r="G10" s="770"/>
      <c r="H10" s="770" t="s">
        <v>36</v>
      </c>
      <c r="I10" s="770"/>
      <c r="J10" s="770"/>
    </row>
    <row r="11" spans="1:10" ht="15" x14ac:dyDescent="0.25">
      <c r="A11" s="199" t="s">
        <v>469</v>
      </c>
      <c r="B11" s="203"/>
      <c r="C11" s="975">
        <v>44713</v>
      </c>
      <c r="D11" s="975"/>
      <c r="E11" s="770" t="s">
        <v>470</v>
      </c>
      <c r="F11" s="770"/>
      <c r="G11" s="770"/>
      <c r="H11" s="975">
        <v>45991</v>
      </c>
      <c r="I11" s="975"/>
      <c r="J11" s="975"/>
    </row>
    <row r="12" spans="1:10" ht="11.45" customHeight="1" thickBot="1" x14ac:dyDescent="0.3">
      <c r="A12" s="24"/>
      <c r="B12" s="24"/>
      <c r="C12" s="24"/>
      <c r="D12" s="24"/>
      <c r="E12" s="24"/>
      <c r="F12" s="24"/>
      <c r="G12" s="24"/>
      <c r="H12" s="24"/>
      <c r="I12" s="24"/>
      <c r="J12" s="24"/>
    </row>
    <row r="13" spans="1:10" ht="21.75" customHeight="1" thickBot="1" x14ac:dyDescent="0.3">
      <c r="A13" s="1502" t="s">
        <v>1743</v>
      </c>
      <c r="B13" s="1503"/>
      <c r="C13" s="1503"/>
      <c r="D13" s="1503"/>
      <c r="E13" s="1503"/>
      <c r="F13" s="1503"/>
      <c r="G13" s="1503"/>
      <c r="H13" s="1503"/>
      <c r="I13" s="1503"/>
      <c r="J13" s="1504"/>
    </row>
    <row r="14" spans="1:10" ht="6" customHeight="1" x14ac:dyDescent="0.25">
      <c r="A14" s="24"/>
      <c r="B14" s="24"/>
      <c r="C14" s="24"/>
      <c r="D14" s="24"/>
      <c r="E14" s="24"/>
      <c r="F14" s="24"/>
      <c r="G14" s="24"/>
      <c r="H14" s="24"/>
      <c r="I14" s="24"/>
      <c r="J14" s="24"/>
    </row>
    <row r="15" spans="1:10" ht="15" x14ac:dyDescent="0.25">
      <c r="A15" s="1489" t="s">
        <v>1802</v>
      </c>
      <c r="B15" s="1489"/>
      <c r="C15" s="1489"/>
      <c r="D15" s="1489"/>
      <c r="E15" s="1489"/>
      <c r="F15" s="1489"/>
      <c r="G15" s="1489" t="s">
        <v>1536</v>
      </c>
      <c r="H15" s="1489" t="s">
        <v>1537</v>
      </c>
      <c r="I15" s="1489" t="s">
        <v>1538</v>
      </c>
      <c r="J15" s="1489"/>
    </row>
    <row r="16" spans="1:10" ht="15" x14ac:dyDescent="0.25">
      <c r="A16" s="1489"/>
      <c r="B16" s="1489"/>
      <c r="C16" s="1489"/>
      <c r="D16" s="1489"/>
      <c r="E16" s="1489"/>
      <c r="F16" s="1489"/>
      <c r="G16" s="1489"/>
      <c r="H16" s="1489"/>
      <c r="I16" s="577" t="s">
        <v>1539</v>
      </c>
      <c r="J16" s="577" t="s">
        <v>1540</v>
      </c>
    </row>
    <row r="17" spans="1:10" ht="15" x14ac:dyDescent="0.25">
      <c r="A17" s="603">
        <v>781</v>
      </c>
      <c r="B17" s="1522" t="s">
        <v>1803</v>
      </c>
      <c r="C17" s="1516"/>
      <c r="D17" s="1516"/>
      <c r="E17" s="1516"/>
      <c r="F17" s="1523"/>
      <c r="G17" s="583">
        <v>0</v>
      </c>
      <c r="H17" s="583">
        <v>0</v>
      </c>
      <c r="I17" s="602">
        <v>0</v>
      </c>
      <c r="J17" s="427">
        <v>0</v>
      </c>
    </row>
    <row r="18" spans="1:10" ht="15" x14ac:dyDescent="0.25">
      <c r="A18" s="603">
        <v>787</v>
      </c>
      <c r="B18" s="1522" t="s">
        <v>1400</v>
      </c>
      <c r="C18" s="1516"/>
      <c r="D18" s="1516"/>
      <c r="E18" s="1516"/>
      <c r="F18" s="1523"/>
      <c r="G18" s="583">
        <v>0</v>
      </c>
      <c r="H18" s="583">
        <v>0</v>
      </c>
      <c r="I18" s="602">
        <v>0</v>
      </c>
      <c r="J18" s="427">
        <v>0</v>
      </c>
    </row>
    <row r="19" spans="1:10" ht="15" x14ac:dyDescent="0.25">
      <c r="A19" s="604" t="s">
        <v>617</v>
      </c>
      <c r="B19" s="1521" t="s">
        <v>1804</v>
      </c>
      <c r="C19" s="1521"/>
      <c r="D19" s="1521"/>
      <c r="E19" s="1521"/>
      <c r="F19" s="1521"/>
      <c r="G19" s="599">
        <v>0</v>
      </c>
      <c r="H19" s="599">
        <v>0</v>
      </c>
      <c r="I19" s="599">
        <v>0</v>
      </c>
      <c r="J19" s="601">
        <v>0</v>
      </c>
    </row>
    <row r="20" spans="1:10" ht="15" x14ac:dyDescent="0.25">
      <c r="A20" s="603">
        <v>7911</v>
      </c>
      <c r="B20" s="1522" t="s">
        <v>1805</v>
      </c>
      <c r="C20" s="1516"/>
      <c r="D20" s="1516"/>
      <c r="E20" s="1516"/>
      <c r="F20" s="1523"/>
      <c r="G20" s="583">
        <v>0</v>
      </c>
      <c r="H20" s="583">
        <v>0</v>
      </c>
      <c r="I20" s="602">
        <v>0</v>
      </c>
      <c r="J20" s="427">
        <v>0</v>
      </c>
    </row>
    <row r="21" spans="1:10" ht="15" x14ac:dyDescent="0.25">
      <c r="A21" s="603">
        <v>7913</v>
      </c>
      <c r="B21" s="1522" t="s">
        <v>1806</v>
      </c>
      <c r="C21" s="1516"/>
      <c r="D21" s="1516"/>
      <c r="E21" s="1516"/>
      <c r="F21" s="1523"/>
      <c r="G21" s="583">
        <v>0</v>
      </c>
      <c r="H21" s="583">
        <v>0</v>
      </c>
      <c r="I21" s="602">
        <v>0</v>
      </c>
      <c r="J21" s="427">
        <v>0</v>
      </c>
    </row>
    <row r="22" spans="1:10" ht="15" x14ac:dyDescent="0.25">
      <c r="A22" s="603">
        <v>7914</v>
      </c>
      <c r="B22" s="1522" t="s">
        <v>1807</v>
      </c>
      <c r="C22" s="1516"/>
      <c r="D22" s="1516"/>
      <c r="E22" s="1516"/>
      <c r="F22" s="1523"/>
      <c r="G22" s="583">
        <v>0</v>
      </c>
      <c r="H22" s="583">
        <v>0</v>
      </c>
      <c r="I22" s="602">
        <v>0</v>
      </c>
      <c r="J22" s="427">
        <v>0</v>
      </c>
    </row>
    <row r="23" spans="1:10" ht="15" x14ac:dyDescent="0.25">
      <c r="A23" s="603">
        <v>7921</v>
      </c>
      <c r="B23" s="1522" t="s">
        <v>1808</v>
      </c>
      <c r="C23" s="1516"/>
      <c r="D23" s="1516"/>
      <c r="E23" s="1516"/>
      <c r="F23" s="1523"/>
      <c r="G23" s="583">
        <v>0</v>
      </c>
      <c r="H23" s="583">
        <v>0</v>
      </c>
      <c r="I23" s="602">
        <v>0</v>
      </c>
      <c r="J23" s="427">
        <v>0</v>
      </c>
    </row>
    <row r="24" spans="1:10" ht="15" x14ac:dyDescent="0.25">
      <c r="A24" s="603">
        <v>7923</v>
      </c>
      <c r="B24" s="1522" t="s">
        <v>1809</v>
      </c>
      <c r="C24" s="1516"/>
      <c r="D24" s="1516"/>
      <c r="E24" s="1516"/>
      <c r="F24" s="1523"/>
      <c r="G24" s="583">
        <v>0</v>
      </c>
      <c r="H24" s="583">
        <v>0</v>
      </c>
      <c r="I24" s="602"/>
      <c r="J24" s="427">
        <v>0</v>
      </c>
    </row>
    <row r="25" spans="1:10" ht="15" x14ac:dyDescent="0.25">
      <c r="A25" s="603">
        <v>7925</v>
      </c>
      <c r="B25" s="1522" t="s">
        <v>1810</v>
      </c>
      <c r="C25" s="1516"/>
      <c r="D25" s="1516"/>
      <c r="E25" s="1516"/>
      <c r="F25" s="1523"/>
      <c r="G25" s="583">
        <v>0</v>
      </c>
      <c r="H25" s="583">
        <v>0</v>
      </c>
      <c r="I25" s="602">
        <v>0</v>
      </c>
      <c r="J25" s="427">
        <v>0</v>
      </c>
    </row>
    <row r="26" spans="1:10" ht="15" x14ac:dyDescent="0.25">
      <c r="A26" s="603">
        <v>7928</v>
      </c>
      <c r="B26" s="1522" t="s">
        <v>1811</v>
      </c>
      <c r="C26" s="1516"/>
      <c r="D26" s="1516"/>
      <c r="E26" s="1516"/>
      <c r="F26" s="1523"/>
      <c r="G26" s="583">
        <v>0</v>
      </c>
      <c r="H26" s="583">
        <v>0</v>
      </c>
      <c r="I26" s="602">
        <v>0</v>
      </c>
      <c r="J26" s="427">
        <v>0</v>
      </c>
    </row>
    <row r="27" spans="1:10" ht="15" x14ac:dyDescent="0.25">
      <c r="A27" s="603">
        <v>7951</v>
      </c>
      <c r="B27" s="1522" t="s">
        <v>1812</v>
      </c>
      <c r="C27" s="1516"/>
      <c r="D27" s="1516"/>
      <c r="E27" s="1516"/>
      <c r="F27" s="1523"/>
      <c r="G27" s="583">
        <v>0</v>
      </c>
      <c r="H27" s="583">
        <v>0</v>
      </c>
      <c r="I27" s="602">
        <v>0</v>
      </c>
      <c r="J27" s="427">
        <v>0</v>
      </c>
    </row>
    <row r="28" spans="1:10" ht="15" x14ac:dyDescent="0.25">
      <c r="A28" s="603">
        <v>7952</v>
      </c>
      <c r="B28" s="1522" t="s">
        <v>1813</v>
      </c>
      <c r="C28" s="1516"/>
      <c r="D28" s="1516"/>
      <c r="E28" s="1516"/>
      <c r="F28" s="1523"/>
      <c r="G28" s="583">
        <v>0</v>
      </c>
      <c r="H28" s="583">
        <v>0</v>
      </c>
      <c r="I28" s="602">
        <v>0</v>
      </c>
      <c r="J28" s="427">
        <v>0</v>
      </c>
    </row>
    <row r="29" spans="1:10" ht="15" x14ac:dyDescent="0.25">
      <c r="A29" s="603">
        <v>7961</v>
      </c>
      <c r="B29" s="1522" t="s">
        <v>1814</v>
      </c>
      <c r="C29" s="1516"/>
      <c r="D29" s="1516"/>
      <c r="E29" s="1516"/>
      <c r="F29" s="1523"/>
      <c r="G29" s="583">
        <v>0</v>
      </c>
      <c r="H29" s="583">
        <v>0</v>
      </c>
      <c r="I29" s="602">
        <v>0</v>
      </c>
      <c r="J29" s="427">
        <v>0</v>
      </c>
    </row>
    <row r="30" spans="1:10" ht="15" x14ac:dyDescent="0.25">
      <c r="A30" s="603">
        <v>7962</v>
      </c>
      <c r="B30" s="1522" t="s">
        <v>1815</v>
      </c>
      <c r="C30" s="1516"/>
      <c r="D30" s="1516"/>
      <c r="E30" s="1516"/>
      <c r="F30" s="1523"/>
      <c r="G30" s="583">
        <v>0</v>
      </c>
      <c r="H30" s="583">
        <v>0</v>
      </c>
      <c r="I30" s="602">
        <v>0</v>
      </c>
      <c r="J30" s="427">
        <v>0</v>
      </c>
    </row>
    <row r="31" spans="1:10" ht="15" x14ac:dyDescent="0.25">
      <c r="A31" s="603">
        <v>7968</v>
      </c>
      <c r="B31" s="1522" t="s">
        <v>1816</v>
      </c>
      <c r="C31" s="1516"/>
      <c r="D31" s="1516"/>
      <c r="E31" s="1516"/>
      <c r="F31" s="1523"/>
      <c r="G31" s="583">
        <v>0</v>
      </c>
      <c r="H31" s="583">
        <v>0</v>
      </c>
      <c r="I31" s="602">
        <v>0</v>
      </c>
      <c r="J31" s="427">
        <v>0</v>
      </c>
    </row>
    <row r="32" spans="1:10" ht="15" x14ac:dyDescent="0.25">
      <c r="A32" s="603">
        <v>7971</v>
      </c>
      <c r="B32" s="1522" t="s">
        <v>1805</v>
      </c>
      <c r="C32" s="1516"/>
      <c r="D32" s="1516"/>
      <c r="E32" s="1516"/>
      <c r="F32" s="1523"/>
      <c r="G32" s="583">
        <v>0</v>
      </c>
      <c r="H32" s="583">
        <v>0</v>
      </c>
      <c r="I32" s="602">
        <v>0</v>
      </c>
      <c r="J32" s="427">
        <v>0</v>
      </c>
    </row>
    <row r="33" spans="1:10" ht="15" x14ac:dyDescent="0.25">
      <c r="A33" s="603">
        <v>7972</v>
      </c>
      <c r="B33" s="1522" t="s">
        <v>1817</v>
      </c>
      <c r="C33" s="1516"/>
      <c r="D33" s="1516"/>
      <c r="E33" s="1516"/>
      <c r="F33" s="1523"/>
      <c r="G33" s="583">
        <v>0</v>
      </c>
      <c r="H33" s="583">
        <v>0</v>
      </c>
      <c r="I33" s="602">
        <v>0</v>
      </c>
      <c r="J33" s="427">
        <v>0</v>
      </c>
    </row>
    <row r="34" spans="1:10" ht="15" x14ac:dyDescent="0.25">
      <c r="A34" s="603">
        <v>798</v>
      </c>
      <c r="B34" s="1522" t="s">
        <v>950</v>
      </c>
      <c r="C34" s="1516"/>
      <c r="D34" s="1516"/>
      <c r="E34" s="1516"/>
      <c r="F34" s="1523"/>
      <c r="G34" s="583">
        <v>0</v>
      </c>
      <c r="H34" s="583">
        <v>0</v>
      </c>
      <c r="I34" s="602">
        <v>0</v>
      </c>
      <c r="J34" s="427">
        <v>0</v>
      </c>
    </row>
    <row r="35" spans="1:10" ht="15" x14ac:dyDescent="0.25">
      <c r="A35" s="603">
        <v>799</v>
      </c>
      <c r="B35" s="1522" t="s">
        <v>1818</v>
      </c>
      <c r="C35" s="1516"/>
      <c r="D35" s="1516"/>
      <c r="E35" s="1516"/>
      <c r="F35" s="1523"/>
      <c r="G35" s="583">
        <v>0</v>
      </c>
      <c r="H35" s="583">
        <v>0</v>
      </c>
      <c r="I35" s="602">
        <v>0</v>
      </c>
      <c r="J35" s="427">
        <v>0</v>
      </c>
    </row>
    <row r="36" spans="1:10" ht="15" x14ac:dyDescent="0.25">
      <c r="A36" s="604" t="s">
        <v>620</v>
      </c>
      <c r="B36" s="1521" t="s">
        <v>1819</v>
      </c>
      <c r="C36" s="1521"/>
      <c r="D36" s="1521"/>
      <c r="E36" s="1521"/>
      <c r="F36" s="1521"/>
      <c r="G36" s="599">
        <v>0</v>
      </c>
      <c r="H36" s="599">
        <v>0</v>
      </c>
      <c r="I36" s="599">
        <v>0</v>
      </c>
      <c r="J36" s="601">
        <v>0</v>
      </c>
    </row>
    <row r="37" spans="1:10" ht="15" x14ac:dyDescent="0.25">
      <c r="A37" s="603">
        <v>821</v>
      </c>
      <c r="B37" s="1522" t="s">
        <v>1820</v>
      </c>
      <c r="C37" s="1516"/>
      <c r="D37" s="1516"/>
      <c r="E37" s="1516"/>
      <c r="F37" s="1523"/>
      <c r="G37" s="583">
        <v>0</v>
      </c>
      <c r="H37" s="583">
        <v>0</v>
      </c>
      <c r="I37" s="602">
        <v>0</v>
      </c>
      <c r="J37" s="427">
        <v>0</v>
      </c>
    </row>
    <row r="38" spans="1:10" ht="15" x14ac:dyDescent="0.25">
      <c r="A38" s="603">
        <v>822</v>
      </c>
      <c r="B38" s="1522" t="s">
        <v>1821</v>
      </c>
      <c r="C38" s="1516"/>
      <c r="D38" s="1516"/>
      <c r="E38" s="1516"/>
      <c r="F38" s="1523"/>
      <c r="G38" s="583">
        <v>0</v>
      </c>
      <c r="H38" s="583">
        <v>0</v>
      </c>
      <c r="I38" s="602">
        <v>0</v>
      </c>
      <c r="J38" s="427">
        <v>0</v>
      </c>
    </row>
    <row r="39" spans="1:10" ht="15" x14ac:dyDescent="0.25">
      <c r="A39" s="603">
        <v>826</v>
      </c>
      <c r="B39" s="1522" t="s">
        <v>1822</v>
      </c>
      <c r="C39" s="1516"/>
      <c r="D39" s="1516"/>
      <c r="E39" s="1516"/>
      <c r="F39" s="1523"/>
      <c r="G39" s="583">
        <v>0</v>
      </c>
      <c r="H39" s="583">
        <v>0</v>
      </c>
      <c r="I39" s="602">
        <v>0</v>
      </c>
      <c r="J39" s="427">
        <v>0</v>
      </c>
    </row>
    <row r="40" spans="1:10" ht="15" x14ac:dyDescent="0.25">
      <c r="A40" s="603">
        <v>828</v>
      </c>
      <c r="B40" s="1522" t="s">
        <v>1823</v>
      </c>
      <c r="C40" s="1516"/>
      <c r="D40" s="1516"/>
      <c r="E40" s="1516"/>
      <c r="F40" s="1523"/>
      <c r="G40" s="583">
        <v>0</v>
      </c>
      <c r="H40" s="583">
        <v>0</v>
      </c>
      <c r="I40" s="602">
        <v>0</v>
      </c>
      <c r="J40" s="427">
        <v>0</v>
      </c>
    </row>
    <row r="41" spans="1:10" ht="15" x14ac:dyDescent="0.25">
      <c r="A41" s="604" t="s">
        <v>1655</v>
      </c>
      <c r="B41" s="1521" t="s">
        <v>1824</v>
      </c>
      <c r="C41" s="1521"/>
      <c r="D41" s="1521"/>
      <c r="E41" s="1521"/>
      <c r="F41" s="1521"/>
      <c r="G41" s="599">
        <v>0</v>
      </c>
      <c r="H41" s="599">
        <v>0</v>
      </c>
      <c r="I41" s="599">
        <v>0</v>
      </c>
      <c r="J41" s="601">
        <v>0</v>
      </c>
    </row>
    <row r="42" spans="1:10" ht="15" x14ac:dyDescent="0.25">
      <c r="A42" s="603">
        <v>8411</v>
      </c>
      <c r="B42" s="1522" t="s">
        <v>1825</v>
      </c>
      <c r="C42" s="1516"/>
      <c r="D42" s="1516"/>
      <c r="E42" s="1516"/>
      <c r="F42" s="1523"/>
      <c r="G42" s="583">
        <v>0</v>
      </c>
      <c r="H42" s="583">
        <v>0</v>
      </c>
      <c r="I42" s="602">
        <v>0</v>
      </c>
      <c r="J42" s="427">
        <v>0</v>
      </c>
    </row>
    <row r="43" spans="1:10" ht="15" x14ac:dyDescent="0.25">
      <c r="A43" s="603">
        <v>8421</v>
      </c>
      <c r="B43" s="1522" t="s">
        <v>1826</v>
      </c>
      <c r="C43" s="1516"/>
      <c r="D43" s="1516"/>
      <c r="E43" s="1516"/>
      <c r="F43" s="1523"/>
      <c r="G43" s="583">
        <v>0</v>
      </c>
      <c r="H43" s="583">
        <v>0</v>
      </c>
      <c r="I43" s="602">
        <v>0</v>
      </c>
      <c r="J43" s="427">
        <v>0</v>
      </c>
    </row>
    <row r="44" spans="1:10" ht="15" x14ac:dyDescent="0.25">
      <c r="A44" s="603">
        <v>8422</v>
      </c>
      <c r="B44" s="1481" t="s">
        <v>1827</v>
      </c>
      <c r="C44" s="1482"/>
      <c r="D44" s="1482"/>
      <c r="E44" s="1482"/>
      <c r="F44" s="1483"/>
      <c r="G44" s="583">
        <v>0</v>
      </c>
      <c r="H44" s="583">
        <v>0</v>
      </c>
      <c r="I44" s="602">
        <v>0</v>
      </c>
      <c r="J44" s="427">
        <v>0</v>
      </c>
    </row>
    <row r="45" spans="1:10" ht="15" x14ac:dyDescent="0.25">
      <c r="A45" s="603">
        <v>8425</v>
      </c>
      <c r="B45" s="1522" t="s">
        <v>1828</v>
      </c>
      <c r="C45" s="1516"/>
      <c r="D45" s="1516"/>
      <c r="E45" s="1516"/>
      <c r="F45" s="1523"/>
      <c r="G45" s="583">
        <v>0</v>
      </c>
      <c r="H45" s="583">
        <v>0</v>
      </c>
      <c r="I45" s="602">
        <v>0</v>
      </c>
      <c r="J45" s="427">
        <v>0</v>
      </c>
    </row>
    <row r="46" spans="1:10" ht="15" x14ac:dyDescent="0.25">
      <c r="A46" s="603">
        <v>843</v>
      </c>
      <c r="B46" s="1522" t="s">
        <v>1418</v>
      </c>
      <c r="C46" s="1516"/>
      <c r="D46" s="1516"/>
      <c r="E46" s="1516"/>
      <c r="F46" s="1523"/>
      <c r="G46" s="583">
        <v>0</v>
      </c>
      <c r="H46" s="583">
        <v>0</v>
      </c>
      <c r="I46" s="602">
        <v>0</v>
      </c>
      <c r="J46" s="427">
        <v>0</v>
      </c>
    </row>
    <row r="47" spans="1:10" ht="15" x14ac:dyDescent="0.25">
      <c r="A47" s="603">
        <v>846</v>
      </c>
      <c r="B47" s="1522" t="s">
        <v>1829</v>
      </c>
      <c r="C47" s="1516"/>
      <c r="D47" s="1516"/>
      <c r="E47" s="1516"/>
      <c r="F47" s="1523"/>
      <c r="G47" s="583">
        <v>0</v>
      </c>
      <c r="H47" s="583">
        <v>0</v>
      </c>
      <c r="I47" s="602">
        <v>0</v>
      </c>
      <c r="J47" s="427">
        <v>0</v>
      </c>
    </row>
    <row r="48" spans="1:10" ht="15" x14ac:dyDescent="0.25">
      <c r="A48" s="603">
        <v>848</v>
      </c>
      <c r="B48" s="1522" t="s">
        <v>1830</v>
      </c>
      <c r="C48" s="1516"/>
      <c r="D48" s="1516"/>
      <c r="E48" s="1516"/>
      <c r="F48" s="1523"/>
      <c r="G48" s="583">
        <v>0</v>
      </c>
      <c r="H48" s="583">
        <v>0</v>
      </c>
      <c r="I48" s="602">
        <v>0</v>
      </c>
      <c r="J48" s="427">
        <v>0</v>
      </c>
    </row>
    <row r="49" spans="1:10" ht="15" x14ac:dyDescent="0.25">
      <c r="A49" s="603">
        <v>849</v>
      </c>
      <c r="B49" s="1522" t="s">
        <v>1831</v>
      </c>
      <c r="C49" s="1516"/>
      <c r="D49" s="1516"/>
      <c r="E49" s="1516"/>
      <c r="F49" s="1523"/>
      <c r="G49" s="583">
        <v>0</v>
      </c>
      <c r="H49" s="583">
        <v>0</v>
      </c>
      <c r="I49" s="602">
        <v>0</v>
      </c>
      <c r="J49" s="427">
        <v>0</v>
      </c>
    </row>
    <row r="50" spans="1:10" ht="15" x14ac:dyDescent="0.25">
      <c r="A50" s="604" t="s">
        <v>1664</v>
      </c>
      <c r="B50" s="1521" t="s">
        <v>1832</v>
      </c>
      <c r="C50" s="1521"/>
      <c r="D50" s="1521"/>
      <c r="E50" s="1521"/>
      <c r="F50" s="1521"/>
      <c r="G50" s="599">
        <v>0</v>
      </c>
      <c r="H50" s="599">
        <v>0</v>
      </c>
      <c r="I50" s="599">
        <v>0</v>
      </c>
      <c r="J50" s="601">
        <v>0</v>
      </c>
    </row>
    <row r="51" spans="1:10" ht="15" x14ac:dyDescent="0.25">
      <c r="A51" s="603">
        <v>861</v>
      </c>
      <c r="B51" s="1522" t="s">
        <v>1833</v>
      </c>
      <c r="C51" s="1516"/>
      <c r="D51" s="1516"/>
      <c r="E51" s="1516"/>
      <c r="F51" s="1523"/>
      <c r="G51" s="583">
        <v>0</v>
      </c>
      <c r="H51" s="583">
        <v>0</v>
      </c>
      <c r="I51" s="602"/>
      <c r="J51" s="427">
        <v>0</v>
      </c>
    </row>
    <row r="52" spans="1:10" ht="15" x14ac:dyDescent="0.25">
      <c r="A52" s="603">
        <v>862</v>
      </c>
      <c r="B52" s="1522" t="s">
        <v>1834</v>
      </c>
      <c r="C52" s="1516"/>
      <c r="D52" s="1516"/>
      <c r="E52" s="1516"/>
      <c r="F52" s="1523"/>
      <c r="G52" s="583">
        <v>0</v>
      </c>
      <c r="H52" s="583">
        <v>0</v>
      </c>
      <c r="I52" s="602"/>
      <c r="J52" s="427">
        <v>0</v>
      </c>
    </row>
    <row r="53" spans="1:10" ht="15" x14ac:dyDescent="0.25">
      <c r="A53" s="603">
        <v>863</v>
      </c>
      <c r="B53" s="1522" t="s">
        <v>1835</v>
      </c>
      <c r="C53" s="1516"/>
      <c r="D53" s="1516"/>
      <c r="E53" s="1516"/>
      <c r="F53" s="1523"/>
      <c r="G53" s="583">
        <v>0</v>
      </c>
      <c r="H53" s="583">
        <v>0</v>
      </c>
      <c r="I53" s="602"/>
      <c r="J53" s="427">
        <v>0</v>
      </c>
    </row>
    <row r="54" spans="1:10" ht="15" x14ac:dyDescent="0.25">
      <c r="A54" s="603">
        <v>864</v>
      </c>
      <c r="B54" s="1522" t="s">
        <v>1836</v>
      </c>
      <c r="C54" s="1516"/>
      <c r="D54" s="1516"/>
      <c r="E54" s="1516"/>
      <c r="F54" s="1523"/>
      <c r="G54" s="583">
        <v>0</v>
      </c>
      <c r="H54" s="583">
        <v>0</v>
      </c>
      <c r="I54" s="602"/>
      <c r="J54" s="427">
        <v>0</v>
      </c>
    </row>
    <row r="55" spans="1:10" ht="15" x14ac:dyDescent="0.25">
      <c r="A55" s="603">
        <v>868</v>
      </c>
      <c r="B55" s="1522" t="s">
        <v>1837</v>
      </c>
      <c r="C55" s="1516"/>
      <c r="D55" s="1516"/>
      <c r="E55" s="1516"/>
      <c r="F55" s="1523"/>
      <c r="G55" s="583">
        <v>0</v>
      </c>
      <c r="H55" s="583">
        <v>0</v>
      </c>
      <c r="I55" s="602"/>
      <c r="J55" s="427">
        <v>0</v>
      </c>
    </row>
    <row r="56" spans="1:10" ht="15" x14ac:dyDescent="0.25">
      <c r="A56" s="604" t="s">
        <v>1690</v>
      </c>
      <c r="B56" s="1521" t="s">
        <v>1838</v>
      </c>
      <c r="C56" s="1521"/>
      <c r="D56" s="1521"/>
      <c r="E56" s="1521"/>
      <c r="F56" s="1521"/>
      <c r="G56" s="599">
        <v>0</v>
      </c>
      <c r="H56" s="599">
        <v>0</v>
      </c>
      <c r="I56" s="599">
        <v>0</v>
      </c>
      <c r="J56" s="601">
        <v>0</v>
      </c>
    </row>
    <row r="57" spans="1:10" ht="15" x14ac:dyDescent="0.25">
      <c r="A57" s="603">
        <v>881</v>
      </c>
      <c r="B57" s="1522" t="s">
        <v>1839</v>
      </c>
      <c r="C57" s="1516"/>
      <c r="D57" s="1516"/>
      <c r="E57" s="1516"/>
      <c r="F57" s="1523"/>
      <c r="G57" s="583">
        <v>0</v>
      </c>
      <c r="H57" s="583">
        <v>0</v>
      </c>
      <c r="I57" s="602"/>
      <c r="J57" s="427">
        <v>0</v>
      </c>
    </row>
    <row r="58" spans="1:10" ht="15" x14ac:dyDescent="0.25">
      <c r="A58" s="603">
        <v>884</v>
      </c>
      <c r="B58" s="1522" t="s">
        <v>1840</v>
      </c>
      <c r="C58" s="1516"/>
      <c r="D58" s="1516"/>
      <c r="E58" s="1516"/>
      <c r="F58" s="1523"/>
      <c r="G58" s="583">
        <v>0</v>
      </c>
      <c r="H58" s="583">
        <v>0</v>
      </c>
      <c r="I58" s="602"/>
      <c r="J58" s="427">
        <v>0</v>
      </c>
    </row>
    <row r="59" spans="1:10" ht="15" x14ac:dyDescent="0.25">
      <c r="A59" s="603">
        <v>888</v>
      </c>
      <c r="B59" s="1522" t="s">
        <v>1841</v>
      </c>
      <c r="C59" s="1516"/>
      <c r="D59" s="1516"/>
      <c r="E59" s="1516"/>
      <c r="F59" s="1523"/>
      <c r="G59" s="583">
        <v>0</v>
      </c>
      <c r="H59" s="583">
        <v>0</v>
      </c>
      <c r="I59" s="602"/>
      <c r="J59" s="427">
        <v>0</v>
      </c>
    </row>
    <row r="60" spans="1:10" ht="15" x14ac:dyDescent="0.25">
      <c r="A60" s="604" t="s">
        <v>1712</v>
      </c>
      <c r="B60" s="1521" t="s">
        <v>1842</v>
      </c>
      <c r="C60" s="1521"/>
      <c r="D60" s="1521"/>
      <c r="E60" s="1521"/>
      <c r="F60" s="1521"/>
      <c r="G60" s="599">
        <v>0</v>
      </c>
      <c r="H60" s="599">
        <v>0</v>
      </c>
      <c r="I60" s="599">
        <v>0</v>
      </c>
      <c r="J60" s="601">
        <v>0</v>
      </c>
    </row>
    <row r="61" spans="1:10" ht="15" customHeight="1" x14ac:dyDescent="0.25">
      <c r="A61" s="1524" t="s">
        <v>1843</v>
      </c>
      <c r="B61" s="1524"/>
      <c r="C61" s="1524"/>
      <c r="D61" s="1524"/>
      <c r="E61" s="1524"/>
      <c r="F61" s="1524"/>
      <c r="G61" s="605">
        <v>0</v>
      </c>
      <c r="H61" s="605">
        <v>0</v>
      </c>
      <c r="I61" s="599">
        <v>0</v>
      </c>
      <c r="J61" s="601">
        <v>0</v>
      </c>
    </row>
    <row r="62" spans="1:10" ht="15" x14ac:dyDescent="0.25"/>
  </sheetData>
  <mergeCells count="67">
    <mergeCell ref="C6:D6"/>
    <mergeCell ref="E6:F6"/>
    <mergeCell ref="H6:I6"/>
    <mergeCell ref="A1:J1"/>
    <mergeCell ref="C2:J2"/>
    <mergeCell ref="C3:J3"/>
    <mergeCell ref="C4:J4"/>
    <mergeCell ref="C5:J5"/>
    <mergeCell ref="C7:J7"/>
    <mergeCell ref="C8:J8"/>
    <mergeCell ref="C9:J9"/>
    <mergeCell ref="C10:D10"/>
    <mergeCell ref="E10:G10"/>
    <mergeCell ref="H10:J10"/>
    <mergeCell ref="C11:D11"/>
    <mergeCell ref="E11:G11"/>
    <mergeCell ref="H11:J11"/>
    <mergeCell ref="A13:J13"/>
    <mergeCell ref="A15:F16"/>
    <mergeCell ref="G15:G16"/>
    <mergeCell ref="H15:H16"/>
    <mergeCell ref="I15:J15"/>
    <mergeCell ref="B28:F28"/>
    <mergeCell ref="B17:F17"/>
    <mergeCell ref="B18:F18"/>
    <mergeCell ref="B19:F19"/>
    <mergeCell ref="B20:F20"/>
    <mergeCell ref="B21:F21"/>
    <mergeCell ref="B22:F22"/>
    <mergeCell ref="B23:F23"/>
    <mergeCell ref="B24:F24"/>
    <mergeCell ref="B25:F25"/>
    <mergeCell ref="B26:F26"/>
    <mergeCell ref="B27:F27"/>
    <mergeCell ref="B40:F40"/>
    <mergeCell ref="B29:F29"/>
    <mergeCell ref="B30:F30"/>
    <mergeCell ref="B31:F31"/>
    <mergeCell ref="B32:F32"/>
    <mergeCell ref="B33:F33"/>
    <mergeCell ref="B34:F34"/>
    <mergeCell ref="B35:F35"/>
    <mergeCell ref="B36:F36"/>
    <mergeCell ref="B37:F37"/>
    <mergeCell ref="B38:F38"/>
    <mergeCell ref="B39:F39"/>
    <mergeCell ref="B52:F52"/>
    <mergeCell ref="B41:F41"/>
    <mergeCell ref="B42:F42"/>
    <mergeCell ref="B43:F43"/>
    <mergeCell ref="B44:F44"/>
    <mergeCell ref="B45:F45"/>
    <mergeCell ref="B46:F46"/>
    <mergeCell ref="B47:F47"/>
    <mergeCell ref="B48:F48"/>
    <mergeCell ref="B49:F49"/>
    <mergeCell ref="B50:F50"/>
    <mergeCell ref="B51:F51"/>
    <mergeCell ref="B59:F59"/>
    <mergeCell ref="B60:F60"/>
    <mergeCell ref="A61:F61"/>
    <mergeCell ref="B53:F53"/>
    <mergeCell ref="B54:F54"/>
    <mergeCell ref="B55:F55"/>
    <mergeCell ref="B56:F56"/>
    <mergeCell ref="B57:F57"/>
    <mergeCell ref="B58:F58"/>
  </mergeCells>
  <dataValidations count="1">
    <dataValidation type="whole" allowBlank="1" showInputMessage="1" showErrorMessage="1" errorTitle="Attention!" error="Valeur numérique attendue" sqref="G17:H18 G37:H40 G51:H55 G57:H59 G20:H35 G42:H49" xr:uid="{F8331970-0CA8-4DA5-BB79-0B4A060F8714}">
      <formula1>-9999999999999</formula1>
      <formula2>9999999999999</formula2>
    </dataValidation>
  </dataValidations>
  <pageMargins left="0.7" right="0.7" top="0.75" bottom="0.75" header="0.3" footer="0.3"/>
  <drawing r:id="rId1"/>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95768A-2EC3-41E3-9E5A-7B31ACD4BDA1}">
  <dimension ref="A1:J36"/>
  <sheetViews>
    <sheetView workbookViewId="0">
      <selection sqref="A1:XFD1048576"/>
    </sheetView>
  </sheetViews>
  <sheetFormatPr baseColWidth="10" defaultColWidth="11.42578125" defaultRowHeight="13.15" customHeight="1" x14ac:dyDescent="0.25"/>
  <cols>
    <col min="1" max="1" width="30.5703125" style="481" customWidth="1"/>
    <col min="2" max="2" width="4.5703125" style="481" customWidth="1"/>
    <col min="3" max="3" width="11.5703125" style="481" customWidth="1"/>
    <col min="4" max="4" width="7.85546875" style="481" customWidth="1"/>
    <col min="5" max="5" width="6.5703125" style="481" customWidth="1"/>
    <col min="6" max="6" width="11.42578125" style="481"/>
    <col min="7" max="7" width="15.85546875" style="481" customWidth="1"/>
    <col min="8" max="8" width="16.5703125" style="481" customWidth="1"/>
    <col min="9" max="9" width="9.7109375" style="481" customWidth="1"/>
    <col min="10" max="10" width="8.42578125" style="481" customWidth="1"/>
    <col min="11" max="11" width="8.140625" style="481" customWidth="1"/>
    <col min="12" max="12" width="10.28515625" style="481" customWidth="1"/>
    <col min="13" max="16384" width="11.42578125" style="481"/>
  </cols>
  <sheetData>
    <row r="1" spans="1:10" ht="10.5" customHeight="1" x14ac:dyDescent="0.25">
      <c r="A1" s="1514"/>
      <c r="B1" s="1514"/>
      <c r="C1" s="1515"/>
      <c r="D1" s="1515"/>
      <c r="E1" s="1515"/>
      <c r="F1" s="1515"/>
      <c r="G1" s="1515"/>
      <c r="H1" s="1515"/>
      <c r="I1" s="1515"/>
      <c r="J1" s="1515"/>
    </row>
    <row r="2" spans="1:10" ht="15" x14ac:dyDescent="0.25">
      <c r="A2" s="199" t="s">
        <v>361</v>
      </c>
      <c r="B2" s="199"/>
      <c r="C2" s="1505" t="s">
        <v>2</v>
      </c>
      <c r="D2" s="958"/>
      <c r="E2" s="958"/>
      <c r="F2" s="958"/>
      <c r="G2" s="958"/>
      <c r="H2" s="958"/>
      <c r="I2" s="958"/>
      <c r="J2" s="958"/>
    </row>
    <row r="3" spans="1:10" ht="15" customHeight="1" x14ac:dyDescent="0.25">
      <c r="A3" s="199"/>
      <c r="B3" s="199"/>
      <c r="C3" s="1506" t="s">
        <v>4</v>
      </c>
      <c r="D3" s="1506"/>
      <c r="E3" s="1506"/>
      <c r="F3" s="1506"/>
      <c r="G3" s="1506"/>
      <c r="H3" s="1506"/>
      <c r="I3" s="1506"/>
      <c r="J3" s="1506"/>
    </row>
    <row r="4" spans="1:10" ht="15" x14ac:dyDescent="0.25">
      <c r="A4" s="199" t="s">
        <v>362</v>
      </c>
      <c r="B4" s="199"/>
      <c r="C4" s="1506" t="s">
        <v>6</v>
      </c>
      <c r="D4" s="957"/>
      <c r="E4" s="957"/>
      <c r="F4" s="957"/>
      <c r="G4" s="957"/>
      <c r="H4" s="957"/>
      <c r="I4" s="957"/>
      <c r="J4" s="957"/>
    </row>
    <row r="5" spans="1:10" ht="15" customHeight="1" x14ac:dyDescent="0.25">
      <c r="A5" s="199" t="s">
        <v>363</v>
      </c>
      <c r="B5" s="199"/>
      <c r="C5" s="1492">
        <v>4431</v>
      </c>
      <c r="D5" s="1492"/>
      <c r="E5" s="1492"/>
      <c r="F5" s="1492"/>
      <c r="G5" s="1492"/>
      <c r="H5" s="1492"/>
      <c r="I5" s="1492"/>
      <c r="J5" s="1492"/>
    </row>
    <row r="6" spans="1:10" ht="15" x14ac:dyDescent="0.25">
      <c r="A6" s="199" t="s">
        <v>364</v>
      </c>
      <c r="B6" s="199"/>
      <c r="C6" s="957" t="s">
        <v>12</v>
      </c>
      <c r="D6" s="957"/>
      <c r="E6" s="1490" t="s">
        <v>365</v>
      </c>
      <c r="F6" s="1490"/>
      <c r="G6" s="202">
        <v>46022</v>
      </c>
      <c r="H6" s="770" t="s">
        <v>465</v>
      </c>
      <c r="I6" s="770"/>
      <c r="J6" s="235">
        <v>12</v>
      </c>
    </row>
    <row r="7" spans="1:10" ht="15" x14ac:dyDescent="0.25">
      <c r="A7" s="199" t="s">
        <v>367</v>
      </c>
      <c r="B7" s="199"/>
      <c r="C7" s="1487" t="s">
        <v>8</v>
      </c>
      <c r="D7" s="1487"/>
      <c r="E7" s="1487"/>
      <c r="F7" s="1487"/>
      <c r="G7" s="1487"/>
      <c r="H7" s="1487"/>
      <c r="I7" s="1487"/>
      <c r="J7" s="1487"/>
    </row>
    <row r="8" spans="1:10" ht="15" x14ac:dyDescent="0.25">
      <c r="A8" s="199" t="s">
        <v>466</v>
      </c>
      <c r="B8" s="203"/>
      <c r="C8" s="959" t="s">
        <v>34</v>
      </c>
      <c r="D8" s="959"/>
      <c r="E8" s="959"/>
      <c r="F8" s="959"/>
      <c r="G8" s="959"/>
      <c r="H8" s="959"/>
      <c r="I8" s="959"/>
      <c r="J8" s="959"/>
    </row>
    <row r="9" spans="1:10" ht="15" x14ac:dyDescent="0.25">
      <c r="A9" s="198"/>
      <c r="B9" s="203"/>
      <c r="C9" s="770">
        <v>555555</v>
      </c>
      <c r="D9" s="770"/>
      <c r="E9" s="770"/>
      <c r="F9" s="770"/>
      <c r="G9" s="770"/>
      <c r="H9" s="770"/>
      <c r="I9" s="770"/>
      <c r="J9" s="770"/>
    </row>
    <row r="10" spans="1:10" ht="15" x14ac:dyDescent="0.25">
      <c r="A10" s="199" t="s">
        <v>467</v>
      </c>
      <c r="B10" s="203"/>
      <c r="C10" s="770" t="s">
        <v>38</v>
      </c>
      <c r="D10" s="770"/>
      <c r="E10" s="770" t="s">
        <v>468</v>
      </c>
      <c r="F10" s="770"/>
      <c r="G10" s="770"/>
      <c r="H10" s="770" t="s">
        <v>36</v>
      </c>
      <c r="I10" s="770"/>
      <c r="J10" s="770"/>
    </row>
    <row r="11" spans="1:10" ht="15" x14ac:dyDescent="0.25">
      <c r="A11" s="199" t="s">
        <v>469</v>
      </c>
      <c r="B11" s="203"/>
      <c r="C11" s="975">
        <v>44713</v>
      </c>
      <c r="D11" s="975"/>
      <c r="E11" s="770" t="s">
        <v>470</v>
      </c>
      <c r="F11" s="770"/>
      <c r="G11" s="770"/>
      <c r="H11" s="975">
        <v>45991</v>
      </c>
      <c r="I11" s="975"/>
      <c r="J11" s="975"/>
    </row>
    <row r="12" spans="1:10" ht="15.75" thickBot="1" x14ac:dyDescent="0.3">
      <c r="A12" s="199"/>
      <c r="B12" s="199"/>
      <c r="C12" s="606"/>
      <c r="D12" s="200"/>
      <c r="E12" s="200"/>
      <c r="F12" s="200"/>
      <c r="G12" s="200"/>
      <c r="H12" s="200"/>
      <c r="I12" s="200"/>
      <c r="J12" s="200"/>
    </row>
    <row r="13" spans="1:10" ht="15.75" thickBot="1" x14ac:dyDescent="0.3">
      <c r="A13" s="1502" t="s">
        <v>1844</v>
      </c>
      <c r="B13" s="1503"/>
      <c r="C13" s="1503"/>
      <c r="D13" s="1503"/>
      <c r="E13" s="1503"/>
      <c r="F13" s="1503"/>
      <c r="G13" s="1503"/>
      <c r="H13" s="1503"/>
      <c r="I13" s="1503"/>
      <c r="J13" s="1504"/>
    </row>
    <row r="14" spans="1:10" ht="15.75" thickBot="1" x14ac:dyDescent="0.3">
      <c r="A14" s="24"/>
      <c r="B14" s="24"/>
      <c r="C14" s="1557"/>
      <c r="D14" s="1557"/>
      <c r="E14" s="1557"/>
      <c r="F14" s="1557"/>
      <c r="G14" s="1557"/>
      <c r="H14" s="1557"/>
      <c r="I14" s="1557"/>
      <c r="J14" s="24"/>
    </row>
    <row r="15" spans="1:10" ht="15.75" thickBot="1" x14ac:dyDescent="0.3">
      <c r="A15" s="1546" t="s">
        <v>1845</v>
      </c>
      <c r="B15" s="1547"/>
      <c r="C15" s="1547"/>
      <c r="D15" s="1547"/>
      <c r="E15" s="1547"/>
      <c r="F15" s="1548"/>
      <c r="G15" s="1552" t="s">
        <v>1536</v>
      </c>
      <c r="H15" s="1553"/>
      <c r="I15" s="1553"/>
      <c r="J15" s="1554"/>
    </row>
    <row r="16" spans="1:10" ht="26.25" thickBot="1" x14ac:dyDescent="0.3">
      <c r="A16" s="1549"/>
      <c r="B16" s="1550"/>
      <c r="C16" s="1550"/>
      <c r="D16" s="1550"/>
      <c r="E16" s="1550"/>
      <c r="F16" s="1551"/>
      <c r="G16" s="607" t="s">
        <v>1846</v>
      </c>
      <c r="H16" s="607" t="s">
        <v>1847</v>
      </c>
      <c r="I16" s="1555" t="s">
        <v>1848</v>
      </c>
      <c r="J16" s="1556"/>
    </row>
    <row r="17" spans="1:10" ht="15" x14ac:dyDescent="0.25">
      <c r="A17" s="1545" t="s">
        <v>1849</v>
      </c>
      <c r="B17" s="1545"/>
      <c r="C17" s="1545"/>
      <c r="D17" s="1545"/>
      <c r="E17" s="1545"/>
      <c r="F17" s="1545"/>
      <c r="G17" s="608">
        <v>0</v>
      </c>
      <c r="H17" s="608">
        <v>0</v>
      </c>
      <c r="I17" s="1537">
        <v>0</v>
      </c>
      <c r="J17" s="1537"/>
    </row>
    <row r="18" spans="1:10" ht="15" x14ac:dyDescent="0.25">
      <c r="A18" s="1540" t="s">
        <v>1850</v>
      </c>
      <c r="B18" s="1540"/>
      <c r="C18" s="1540"/>
      <c r="D18" s="1540"/>
      <c r="E18" s="1540"/>
      <c r="F18" s="1540"/>
      <c r="G18" s="608">
        <v>0</v>
      </c>
      <c r="H18" s="608">
        <v>0</v>
      </c>
      <c r="I18" s="1537">
        <v>0</v>
      </c>
      <c r="J18" s="1537"/>
    </row>
    <row r="19" spans="1:10" ht="15" x14ac:dyDescent="0.25">
      <c r="A19" s="1540" t="s">
        <v>1851</v>
      </c>
      <c r="B19" s="1540"/>
      <c r="C19" s="1540"/>
      <c r="D19" s="1540"/>
      <c r="E19" s="1540"/>
      <c r="F19" s="1540"/>
      <c r="G19" s="608">
        <v>0</v>
      </c>
      <c r="H19" s="608">
        <v>0</v>
      </c>
      <c r="I19" s="1537">
        <v>0</v>
      </c>
      <c r="J19" s="1537"/>
    </row>
    <row r="20" spans="1:10" ht="15" x14ac:dyDescent="0.25">
      <c r="A20" s="1540" t="s">
        <v>1852</v>
      </c>
      <c r="B20" s="1540"/>
      <c r="C20" s="1540"/>
      <c r="D20" s="1540"/>
      <c r="E20" s="1540"/>
      <c r="F20" s="1540"/>
      <c r="G20" s="608">
        <v>0</v>
      </c>
      <c r="H20" s="608">
        <v>0</v>
      </c>
      <c r="I20" s="1537">
        <v>0</v>
      </c>
      <c r="J20" s="1537"/>
    </row>
    <row r="21" spans="1:10" ht="15" x14ac:dyDescent="0.25">
      <c r="A21" s="1540" t="s">
        <v>1853</v>
      </c>
      <c r="B21" s="1540"/>
      <c r="C21" s="1540"/>
      <c r="D21" s="1540"/>
      <c r="E21" s="1540"/>
      <c r="F21" s="1540"/>
      <c r="G21" s="608">
        <v>0</v>
      </c>
      <c r="H21" s="608">
        <v>0</v>
      </c>
      <c r="I21" s="1537">
        <v>0</v>
      </c>
      <c r="J21" s="1537"/>
    </row>
    <row r="22" spans="1:10" ht="15" x14ac:dyDescent="0.25">
      <c r="A22" s="609"/>
      <c r="B22" s="1541" t="s">
        <v>1854</v>
      </c>
      <c r="C22" s="1542"/>
      <c r="D22" s="1542"/>
      <c r="E22" s="1542"/>
      <c r="F22" s="1542"/>
      <c r="G22" s="610">
        <v>0</v>
      </c>
      <c r="H22" s="610">
        <v>0</v>
      </c>
      <c r="I22" s="1544">
        <v>0</v>
      </c>
      <c r="J22" s="1544"/>
    </row>
    <row r="23" spans="1:10" ht="15.75" customHeight="1" x14ac:dyDescent="0.25">
      <c r="A23" s="609"/>
      <c r="B23" s="1541" t="s">
        <v>1855</v>
      </c>
      <c r="C23" s="1542"/>
      <c r="D23" s="1542"/>
      <c r="E23" s="1542"/>
      <c r="F23" s="1542"/>
      <c r="G23" s="611"/>
      <c r="H23" s="611"/>
      <c r="I23" s="1543"/>
      <c r="J23" s="1543"/>
    </row>
    <row r="24" spans="1:10" ht="15" x14ac:dyDescent="0.25">
      <c r="A24" s="1540" t="s">
        <v>1856</v>
      </c>
      <c r="B24" s="1540"/>
      <c r="C24" s="1540"/>
      <c r="D24" s="1540"/>
      <c r="E24" s="1540"/>
      <c r="F24" s="1540"/>
      <c r="G24" s="608">
        <v>0</v>
      </c>
      <c r="H24" s="608">
        <v>0</v>
      </c>
      <c r="I24" s="1537">
        <v>0</v>
      </c>
      <c r="J24" s="1537"/>
    </row>
    <row r="25" spans="1:10" ht="15" x14ac:dyDescent="0.25">
      <c r="A25" s="1540" t="s">
        <v>1857</v>
      </c>
      <c r="B25" s="1540"/>
      <c r="C25" s="1540"/>
      <c r="D25" s="1540"/>
      <c r="E25" s="1540"/>
      <c r="F25" s="1540"/>
      <c r="G25" s="608">
        <v>0</v>
      </c>
      <c r="H25" s="608">
        <v>0</v>
      </c>
      <c r="I25" s="1537">
        <v>0</v>
      </c>
      <c r="J25" s="1537"/>
    </row>
    <row r="26" spans="1:10" ht="15" x14ac:dyDescent="0.25">
      <c r="A26" s="1540" t="s">
        <v>1858</v>
      </c>
      <c r="B26" s="1540"/>
      <c r="C26" s="1540"/>
      <c r="D26" s="1540"/>
      <c r="E26" s="1540"/>
      <c r="F26" s="1540"/>
      <c r="G26" s="608">
        <v>0</v>
      </c>
      <c r="H26" s="608">
        <v>0</v>
      </c>
      <c r="I26" s="1537">
        <v>0</v>
      </c>
      <c r="J26" s="1537"/>
    </row>
    <row r="27" spans="1:10" ht="15" x14ac:dyDescent="0.25">
      <c r="A27" s="1540" t="s">
        <v>1859</v>
      </c>
      <c r="B27" s="1540"/>
      <c r="C27" s="1540"/>
      <c r="D27" s="1540"/>
      <c r="E27" s="1540"/>
      <c r="F27" s="1540"/>
      <c r="G27" s="608">
        <v>0</v>
      </c>
      <c r="H27" s="608">
        <v>0</v>
      </c>
      <c r="I27" s="1537">
        <v>0</v>
      </c>
      <c r="J27" s="1537"/>
    </row>
    <row r="28" spans="1:10" ht="15" x14ac:dyDescent="0.25">
      <c r="A28" s="1540" t="s">
        <v>1860</v>
      </c>
      <c r="B28" s="1540"/>
      <c r="C28" s="1540"/>
      <c r="D28" s="1540"/>
      <c r="E28" s="1540"/>
      <c r="F28" s="1540"/>
      <c r="G28" s="608">
        <v>0</v>
      </c>
      <c r="H28" s="608">
        <v>0</v>
      </c>
      <c r="I28" s="1537">
        <v>0</v>
      </c>
      <c r="J28" s="1537"/>
    </row>
    <row r="29" spans="1:10" ht="15" x14ac:dyDescent="0.25">
      <c r="A29" s="1536" t="s">
        <v>1861</v>
      </c>
      <c r="B29" s="1536"/>
      <c r="C29" s="1536"/>
      <c r="D29" s="1536"/>
      <c r="E29" s="1536"/>
      <c r="F29" s="1536"/>
      <c r="G29" s="608">
        <v>0</v>
      </c>
      <c r="H29" s="608">
        <v>0</v>
      </c>
      <c r="I29" s="1537">
        <v>0</v>
      </c>
      <c r="J29" s="1537"/>
    </row>
    <row r="30" spans="1:10" ht="15" x14ac:dyDescent="0.25">
      <c r="A30" s="612"/>
      <c r="B30" s="1532" t="s">
        <v>1862</v>
      </c>
      <c r="C30" s="1533"/>
      <c r="D30" s="1533"/>
      <c r="E30" s="1533"/>
      <c r="F30" s="1533"/>
      <c r="G30" s="613">
        <v>0</v>
      </c>
      <c r="H30" s="613">
        <v>0</v>
      </c>
      <c r="I30" s="1538">
        <v>0</v>
      </c>
      <c r="J30" s="1539"/>
    </row>
    <row r="31" spans="1:10" ht="15" x14ac:dyDescent="0.25">
      <c r="A31" s="612"/>
      <c r="B31" s="1532" t="s">
        <v>1863</v>
      </c>
      <c r="C31" s="1533"/>
      <c r="D31" s="1533"/>
      <c r="E31" s="1533"/>
      <c r="F31" s="1533"/>
      <c r="G31" s="614"/>
      <c r="H31" s="614"/>
      <c r="I31" s="1534"/>
      <c r="J31" s="1535"/>
    </row>
    <row r="32" spans="1:10" ht="15" x14ac:dyDescent="0.25">
      <c r="A32" s="612"/>
      <c r="B32" s="1532" t="s">
        <v>1864</v>
      </c>
      <c r="C32" s="1533"/>
      <c r="D32" s="1533"/>
      <c r="E32" s="1533"/>
      <c r="F32" s="1533"/>
      <c r="G32" s="614"/>
      <c r="H32" s="614"/>
      <c r="I32" s="1534"/>
      <c r="J32" s="1535"/>
    </row>
    <row r="33" spans="1:10" ht="15" x14ac:dyDescent="0.25">
      <c r="A33" s="1536" t="s">
        <v>1865</v>
      </c>
      <c r="B33" s="1536"/>
      <c r="C33" s="1536"/>
      <c r="D33" s="1536"/>
      <c r="E33" s="1536"/>
      <c r="F33" s="1536"/>
      <c r="G33" s="608">
        <v>0</v>
      </c>
      <c r="H33" s="608">
        <v>0</v>
      </c>
      <c r="I33" s="1537">
        <v>0</v>
      </c>
      <c r="J33" s="1537"/>
    </row>
    <row r="34" spans="1:10" ht="15" x14ac:dyDescent="0.25">
      <c r="A34" s="1536" t="s">
        <v>1866</v>
      </c>
      <c r="B34" s="1536"/>
      <c r="C34" s="1536"/>
      <c r="D34" s="1536"/>
      <c r="E34" s="1536"/>
      <c r="F34" s="1536"/>
      <c r="G34" s="608">
        <v>0</v>
      </c>
      <c r="H34" s="608">
        <v>0</v>
      </c>
      <c r="I34" s="1537">
        <v>0</v>
      </c>
      <c r="J34" s="1537"/>
    </row>
    <row r="35" spans="1:10" ht="15" x14ac:dyDescent="0.25">
      <c r="A35" s="615"/>
      <c r="B35" s="1525" t="s">
        <v>1867</v>
      </c>
      <c r="C35" s="1526"/>
      <c r="D35" s="1526"/>
      <c r="E35" s="1526"/>
      <c r="F35" s="1526"/>
      <c r="G35" s="616"/>
      <c r="H35" s="616"/>
      <c r="I35" s="1527"/>
      <c r="J35" s="1528"/>
    </row>
    <row r="36" spans="1:10" ht="13.15" customHeight="1" x14ac:dyDescent="0.25">
      <c r="A36" s="617"/>
      <c r="B36" s="1529" t="s">
        <v>1868</v>
      </c>
      <c r="C36" s="1530"/>
      <c r="D36" s="1530"/>
      <c r="E36" s="1530"/>
      <c r="F36" s="1530"/>
      <c r="G36" s="618"/>
      <c r="H36" s="618"/>
      <c r="I36" s="1531"/>
      <c r="J36" s="1531"/>
    </row>
  </sheetData>
  <mergeCells count="62">
    <mergeCell ref="C6:D6"/>
    <mergeCell ref="E6:F6"/>
    <mergeCell ref="H6:I6"/>
    <mergeCell ref="A1:J1"/>
    <mergeCell ref="C2:J2"/>
    <mergeCell ref="C3:J3"/>
    <mergeCell ref="C4:J4"/>
    <mergeCell ref="C5:J5"/>
    <mergeCell ref="A15:F16"/>
    <mergeCell ref="G15:J15"/>
    <mergeCell ref="I16:J16"/>
    <mergeCell ref="C7:J7"/>
    <mergeCell ref="C8:J8"/>
    <mergeCell ref="C9:J9"/>
    <mergeCell ref="C10:D10"/>
    <mergeCell ref="E10:G10"/>
    <mergeCell ref="H10:J10"/>
    <mergeCell ref="C11:D11"/>
    <mergeCell ref="E11:G11"/>
    <mergeCell ref="H11:J11"/>
    <mergeCell ref="A13:J13"/>
    <mergeCell ref="C14:I14"/>
    <mergeCell ref="A17:F17"/>
    <mergeCell ref="I17:J17"/>
    <mergeCell ref="A18:F18"/>
    <mergeCell ref="I18:J18"/>
    <mergeCell ref="A19:F19"/>
    <mergeCell ref="I19:J19"/>
    <mergeCell ref="A20:F20"/>
    <mergeCell ref="I20:J20"/>
    <mergeCell ref="A21:F21"/>
    <mergeCell ref="I21:J21"/>
    <mergeCell ref="B22:F22"/>
    <mergeCell ref="I22:J22"/>
    <mergeCell ref="B23:F23"/>
    <mergeCell ref="I23:J23"/>
    <mergeCell ref="A24:F24"/>
    <mergeCell ref="I24:J24"/>
    <mergeCell ref="A25:F25"/>
    <mergeCell ref="I25:J25"/>
    <mergeCell ref="A26:F26"/>
    <mergeCell ref="I26:J26"/>
    <mergeCell ref="A27:F27"/>
    <mergeCell ref="I27:J27"/>
    <mergeCell ref="A28:F28"/>
    <mergeCell ref="I28:J28"/>
    <mergeCell ref="A29:F29"/>
    <mergeCell ref="I29:J29"/>
    <mergeCell ref="B30:F30"/>
    <mergeCell ref="I30:J30"/>
    <mergeCell ref="B31:F31"/>
    <mergeCell ref="I31:J31"/>
    <mergeCell ref="B35:F35"/>
    <mergeCell ref="I35:J35"/>
    <mergeCell ref="B36:F36"/>
    <mergeCell ref="I36:J36"/>
    <mergeCell ref="B32:F32"/>
    <mergeCell ref="I32:J32"/>
    <mergeCell ref="A33:F33"/>
    <mergeCell ref="I33:J33"/>
    <mergeCell ref="A34:F34"/>
    <mergeCell ref="I34:J34"/>
  </mergeCells>
  <pageMargins left="0.7" right="0.7" top="0.75" bottom="0.75" header="0.3" footer="0.3"/>
  <drawing r:id="rId1"/>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4B4639-C65B-45F0-9779-CE60576E63D7}">
  <dimension ref="A1:N50"/>
  <sheetViews>
    <sheetView workbookViewId="0">
      <selection activeCell="C10" sqref="C10:G10"/>
    </sheetView>
  </sheetViews>
  <sheetFormatPr baseColWidth="10" defaultColWidth="11.42578125" defaultRowHeight="13.9" customHeight="1" x14ac:dyDescent="0.25"/>
  <cols>
    <col min="1" max="1" width="21.140625" style="481" customWidth="1"/>
    <col min="2" max="2" width="10.42578125" style="481" customWidth="1"/>
    <col min="3" max="3" width="4.85546875" style="481" customWidth="1"/>
    <col min="4" max="4" width="8.5703125" style="481" customWidth="1"/>
    <col min="5" max="5" width="4.140625" style="481" customWidth="1"/>
    <col min="6" max="6" width="9.42578125" style="481" customWidth="1"/>
    <col min="7" max="7" width="4.140625" style="481" customWidth="1"/>
    <col min="8" max="8" width="0.5703125" style="481" customWidth="1"/>
    <col min="9" max="9" width="26" style="481" customWidth="1"/>
    <col min="10" max="10" width="8.5703125" style="481" customWidth="1"/>
    <col min="11" max="11" width="7.42578125" style="481" customWidth="1"/>
    <col min="12" max="12" width="10.28515625" style="481" customWidth="1"/>
    <col min="13" max="13" width="8" style="481" customWidth="1"/>
    <col min="14" max="14" width="10.28515625" style="481" customWidth="1"/>
    <col min="15" max="15" width="11.42578125" style="481"/>
    <col min="16" max="16" width="7.7109375" style="481" customWidth="1"/>
    <col min="17" max="16384" width="11.42578125" style="481"/>
  </cols>
  <sheetData>
    <row r="1" spans="1:14" ht="10.5" customHeight="1" x14ac:dyDescent="0.25">
      <c r="A1" s="1514"/>
      <c r="B1" s="1514"/>
      <c r="C1" s="1515"/>
      <c r="D1" s="1515"/>
      <c r="E1" s="1515"/>
      <c r="F1" s="1515"/>
      <c r="G1" s="1515"/>
      <c r="H1" s="1515"/>
      <c r="I1" s="1515"/>
      <c r="J1" s="1515"/>
    </row>
    <row r="2" spans="1:14" ht="15" customHeight="1" x14ac:dyDescent="0.25">
      <c r="A2" s="199" t="s">
        <v>361</v>
      </c>
      <c r="B2" s="199"/>
      <c r="C2" s="1505" t="s">
        <v>2</v>
      </c>
      <c r="D2" s="1505"/>
      <c r="E2" s="1505"/>
      <c r="F2" s="1505"/>
      <c r="G2" s="1505"/>
      <c r="H2" s="1505"/>
      <c r="I2" s="1505"/>
      <c r="J2" s="1505"/>
      <c r="K2" s="1505"/>
      <c r="L2" s="1505"/>
      <c r="M2" s="1505"/>
      <c r="N2" s="1505"/>
    </row>
    <row r="3" spans="1:14" ht="15" customHeight="1" x14ac:dyDescent="0.25">
      <c r="A3" s="199"/>
      <c r="B3" s="199"/>
      <c r="C3" s="1506" t="s">
        <v>4</v>
      </c>
      <c r="D3" s="1506"/>
      <c r="E3" s="1506"/>
      <c r="F3" s="1506"/>
      <c r="G3" s="1506"/>
      <c r="H3" s="1506"/>
      <c r="I3" s="1506"/>
      <c r="J3" s="1506"/>
      <c r="K3" s="1506"/>
      <c r="L3" s="1506"/>
      <c r="M3" s="1506"/>
      <c r="N3" s="1506"/>
    </row>
    <row r="4" spans="1:14" ht="15" customHeight="1" x14ac:dyDescent="0.25">
      <c r="A4" s="199" t="s">
        <v>362</v>
      </c>
      <c r="B4" s="199"/>
      <c r="C4" s="1506" t="s">
        <v>6</v>
      </c>
      <c r="D4" s="1506"/>
      <c r="E4" s="1506"/>
      <c r="F4" s="1506"/>
      <c r="G4" s="1506"/>
      <c r="H4" s="1506"/>
      <c r="I4" s="1506"/>
      <c r="J4" s="1506"/>
      <c r="K4" s="1506"/>
      <c r="L4" s="1506"/>
      <c r="M4" s="1506"/>
      <c r="N4" s="1506"/>
    </row>
    <row r="5" spans="1:14" ht="15" customHeight="1" x14ac:dyDescent="0.25">
      <c r="A5" s="199" t="s">
        <v>363</v>
      </c>
      <c r="B5" s="199"/>
      <c r="C5" s="1492">
        <v>4431</v>
      </c>
      <c r="D5" s="1492"/>
      <c r="E5" s="1492"/>
      <c r="F5" s="1492"/>
      <c r="G5" s="1492"/>
      <c r="H5" s="1492"/>
      <c r="I5" s="1492"/>
      <c r="J5" s="1492"/>
      <c r="K5" s="1492"/>
      <c r="L5" s="1492"/>
      <c r="M5" s="1492"/>
      <c r="N5" s="1492"/>
    </row>
    <row r="6" spans="1:14" ht="15" customHeight="1" x14ac:dyDescent="0.25">
      <c r="A6" s="199" t="s">
        <v>364</v>
      </c>
      <c r="B6" s="199"/>
      <c r="C6" s="957" t="s">
        <v>12</v>
      </c>
      <c r="D6" s="957"/>
      <c r="E6" s="957"/>
      <c r="F6" s="957"/>
      <c r="G6" s="239"/>
      <c r="H6" s="770" t="s">
        <v>365</v>
      </c>
      <c r="I6" s="770"/>
      <c r="J6" s="1142">
        <v>46022</v>
      </c>
      <c r="K6" s="958"/>
      <c r="L6" s="1642" t="s">
        <v>465</v>
      </c>
      <c r="M6" s="1642"/>
      <c r="N6" s="619">
        <v>12</v>
      </c>
    </row>
    <row r="7" spans="1:14" ht="15" customHeight="1" x14ac:dyDescent="0.25">
      <c r="A7" s="199" t="s">
        <v>367</v>
      </c>
      <c r="B7" s="199"/>
      <c r="C7" s="1487" t="s">
        <v>8</v>
      </c>
      <c r="D7" s="1487"/>
      <c r="E7" s="1487"/>
      <c r="F7" s="1487"/>
      <c r="G7" s="1487"/>
      <c r="H7" s="1487"/>
      <c r="I7" s="1487"/>
      <c r="J7" s="1487"/>
      <c r="K7" s="1487"/>
      <c r="L7" s="1487"/>
      <c r="M7" s="1487"/>
      <c r="N7" s="1487"/>
    </row>
    <row r="8" spans="1:14" ht="15" customHeight="1" x14ac:dyDescent="0.25">
      <c r="A8" s="199" t="s">
        <v>466</v>
      </c>
      <c r="B8" s="199"/>
      <c r="C8" s="959" t="s">
        <v>34</v>
      </c>
      <c r="D8" s="959"/>
      <c r="E8" s="959"/>
      <c r="F8" s="959"/>
      <c r="G8" s="959"/>
      <c r="H8" s="959"/>
      <c r="I8" s="959"/>
      <c r="J8" s="959"/>
      <c r="K8" s="959"/>
      <c r="L8" s="959"/>
      <c r="M8" s="959"/>
      <c r="N8" s="959"/>
    </row>
    <row r="9" spans="1:14" ht="15" customHeight="1" x14ac:dyDescent="0.25">
      <c r="A9" s="198"/>
      <c r="B9" s="199"/>
      <c r="C9" s="770">
        <v>555555</v>
      </c>
      <c r="D9" s="770"/>
      <c r="E9" s="770"/>
      <c r="F9" s="770"/>
      <c r="G9" s="770"/>
      <c r="H9" s="770"/>
      <c r="I9" s="770"/>
      <c r="J9" s="770"/>
      <c r="K9" s="770"/>
      <c r="L9" s="770"/>
      <c r="M9" s="770"/>
      <c r="N9" s="770"/>
    </row>
    <row r="10" spans="1:14" ht="15" customHeight="1" x14ac:dyDescent="0.25">
      <c r="A10" s="199" t="s">
        <v>467</v>
      </c>
      <c r="B10" s="199"/>
      <c r="C10" s="770" t="s">
        <v>38</v>
      </c>
      <c r="D10" s="770"/>
      <c r="E10" s="770"/>
      <c r="F10" s="770"/>
      <c r="G10" s="770"/>
      <c r="H10" s="200"/>
      <c r="I10" s="770" t="s">
        <v>468</v>
      </c>
      <c r="J10" s="770"/>
      <c r="K10" s="770"/>
      <c r="L10" s="770" t="s">
        <v>36</v>
      </c>
      <c r="M10" s="770"/>
      <c r="N10" s="770"/>
    </row>
    <row r="11" spans="1:14" ht="15" customHeight="1" x14ac:dyDescent="0.25">
      <c r="A11" s="199" t="s">
        <v>469</v>
      </c>
      <c r="B11" s="199"/>
      <c r="C11" s="975">
        <v>44713</v>
      </c>
      <c r="D11" s="975"/>
      <c r="E11" s="975"/>
      <c r="F11" s="975"/>
      <c r="G11" s="975"/>
      <c r="H11" s="200"/>
      <c r="I11" s="770" t="s">
        <v>470</v>
      </c>
      <c r="J11" s="770"/>
      <c r="K11" s="770"/>
      <c r="L11" s="975">
        <v>45991</v>
      </c>
      <c r="M11" s="975"/>
      <c r="N11" s="975"/>
    </row>
    <row r="12" spans="1:14" ht="8.4499999999999993" customHeight="1" thickBot="1" x14ac:dyDescent="0.3">
      <c r="A12" s="24"/>
      <c r="B12" s="24"/>
      <c r="C12" s="24"/>
      <c r="D12" s="24"/>
      <c r="E12" s="24"/>
      <c r="F12" s="24"/>
      <c r="G12" s="24"/>
      <c r="H12" s="24"/>
      <c r="I12" s="24"/>
      <c r="J12" s="24"/>
      <c r="K12" s="308"/>
      <c r="L12" s="308"/>
      <c r="M12" s="308"/>
      <c r="N12" s="308"/>
    </row>
    <row r="13" spans="1:14" ht="15.75" thickBot="1" x14ac:dyDescent="0.3">
      <c r="A13" s="1633" t="s">
        <v>1869</v>
      </c>
      <c r="B13" s="1634"/>
      <c r="C13" s="1634"/>
      <c r="D13" s="1634"/>
      <c r="E13" s="1634"/>
      <c r="F13" s="1634"/>
      <c r="G13" s="1634"/>
      <c r="H13" s="1634"/>
      <c r="I13" s="1634"/>
      <c r="J13" s="1634"/>
      <c r="K13" s="1634"/>
      <c r="L13" s="1634"/>
      <c r="M13" s="1634"/>
      <c r="N13" s="1635"/>
    </row>
    <row r="14" spans="1:14" ht="6" customHeight="1" thickBot="1" x14ac:dyDescent="0.3">
      <c r="A14" s="28"/>
      <c r="B14" s="28"/>
      <c r="C14" s="1636"/>
      <c r="D14" s="1636"/>
      <c r="E14" s="1636"/>
      <c r="F14" s="1636"/>
      <c r="G14" s="1636"/>
      <c r="H14" s="1636"/>
      <c r="I14" s="1636"/>
      <c r="J14" s="28"/>
      <c r="K14" s="28"/>
      <c r="L14" s="28"/>
      <c r="M14" s="28"/>
      <c r="N14" s="28"/>
    </row>
    <row r="15" spans="1:14" ht="15" x14ac:dyDescent="0.25">
      <c r="A15" s="1637" t="s">
        <v>1870</v>
      </c>
      <c r="B15" s="1638"/>
      <c r="C15" s="1638"/>
      <c r="D15" s="1638"/>
      <c r="E15" s="1638"/>
      <c r="F15" s="1638"/>
      <c r="G15" s="1639"/>
      <c r="H15" s="620"/>
      <c r="I15" s="1637" t="s">
        <v>1871</v>
      </c>
      <c r="J15" s="1640"/>
      <c r="K15" s="1640"/>
      <c r="L15" s="1640"/>
      <c r="M15" s="1640"/>
      <c r="N15" s="1641"/>
    </row>
    <row r="16" spans="1:14" ht="15" x14ac:dyDescent="0.25">
      <c r="A16" s="1623" t="s">
        <v>1872</v>
      </c>
      <c r="B16" s="1624"/>
      <c r="C16" s="1624"/>
      <c r="D16" s="1624" t="s">
        <v>1873</v>
      </c>
      <c r="E16" s="1624"/>
      <c r="F16" s="1624" t="s">
        <v>1874</v>
      </c>
      <c r="G16" s="1629"/>
      <c r="H16" s="620"/>
      <c r="I16" s="1632" t="s">
        <v>1875</v>
      </c>
      <c r="J16" s="1619" t="s">
        <v>1876</v>
      </c>
      <c r="K16" s="1619" t="s">
        <v>1877</v>
      </c>
      <c r="L16" s="1619"/>
      <c r="M16" s="1619" t="s">
        <v>1878</v>
      </c>
      <c r="N16" s="1620"/>
    </row>
    <row r="17" spans="1:14" ht="15" x14ac:dyDescent="0.25">
      <c r="A17" s="1625"/>
      <c r="B17" s="1626"/>
      <c r="C17" s="1626"/>
      <c r="D17" s="1626"/>
      <c r="E17" s="1626"/>
      <c r="F17" s="1626"/>
      <c r="G17" s="1630"/>
      <c r="H17" s="620"/>
      <c r="I17" s="1632"/>
      <c r="J17" s="1619"/>
      <c r="K17" s="1619"/>
      <c r="L17" s="1619"/>
      <c r="M17" s="1619"/>
      <c r="N17" s="1620"/>
    </row>
    <row r="18" spans="1:14" ht="15" x14ac:dyDescent="0.25">
      <c r="A18" s="1625"/>
      <c r="B18" s="1626"/>
      <c r="C18" s="1626"/>
      <c r="D18" s="1626"/>
      <c r="E18" s="1626"/>
      <c r="F18" s="1626"/>
      <c r="G18" s="1630"/>
      <c r="H18" s="620"/>
      <c r="I18" s="1632"/>
      <c r="J18" s="1619"/>
      <c r="K18" s="1619"/>
      <c r="L18" s="1619"/>
      <c r="M18" s="1619"/>
      <c r="N18" s="1620"/>
    </row>
    <row r="19" spans="1:14" ht="15" x14ac:dyDescent="0.25">
      <c r="A19" s="1627"/>
      <c r="B19" s="1628"/>
      <c r="C19" s="1628"/>
      <c r="D19" s="1628"/>
      <c r="E19" s="1628"/>
      <c r="F19" s="1628"/>
      <c r="G19" s="1631"/>
      <c r="H19" s="620"/>
      <c r="I19" s="1632"/>
      <c r="J19" s="1619"/>
      <c r="K19" s="622" t="s">
        <v>1879</v>
      </c>
      <c r="L19" s="622" t="s">
        <v>1880</v>
      </c>
      <c r="M19" s="622" t="s">
        <v>1879</v>
      </c>
      <c r="N19" s="623" t="s">
        <v>1880</v>
      </c>
    </row>
    <row r="20" spans="1:14" ht="15" x14ac:dyDescent="0.25">
      <c r="A20" s="624"/>
      <c r="B20" s="620"/>
      <c r="C20" s="620"/>
      <c r="D20" s="1621"/>
      <c r="E20" s="1621"/>
      <c r="F20" s="1621"/>
      <c r="G20" s="1622"/>
      <c r="H20" s="620"/>
      <c r="I20" s="625"/>
      <c r="J20" s="626"/>
      <c r="K20" s="627"/>
      <c r="L20" s="627"/>
      <c r="M20" s="627"/>
      <c r="N20" s="628"/>
    </row>
    <row r="21" spans="1:14" ht="15" x14ac:dyDescent="0.25">
      <c r="A21" s="1611" t="s">
        <v>1881</v>
      </c>
      <c r="B21" s="1612"/>
      <c r="C21" s="1612"/>
      <c r="D21" s="1613"/>
      <c r="E21" s="1613"/>
      <c r="F21" s="1613"/>
      <c r="G21" s="1614"/>
      <c r="H21" s="620"/>
      <c r="I21" s="625"/>
      <c r="J21" s="626"/>
      <c r="K21" s="627"/>
      <c r="L21" s="627"/>
      <c r="M21" s="627"/>
      <c r="N21" s="628"/>
    </row>
    <row r="22" spans="1:14" ht="15" x14ac:dyDescent="0.25">
      <c r="A22" s="624"/>
      <c r="B22" s="620"/>
      <c r="C22" s="620"/>
      <c r="D22" s="1613"/>
      <c r="E22" s="1613"/>
      <c r="F22" s="1613"/>
      <c r="G22" s="1614"/>
      <c r="H22" s="620"/>
      <c r="I22" s="625"/>
      <c r="J22" s="626"/>
      <c r="K22" s="627"/>
      <c r="L22" s="627"/>
      <c r="M22" s="627"/>
      <c r="N22" s="628"/>
    </row>
    <row r="23" spans="1:14" ht="15" x14ac:dyDescent="0.25">
      <c r="A23" s="629"/>
      <c r="B23" s="630"/>
      <c r="C23" s="630"/>
      <c r="D23" s="1613"/>
      <c r="E23" s="1613"/>
      <c r="F23" s="1613"/>
      <c r="G23" s="1614"/>
      <c r="H23" s="620"/>
      <c r="I23" s="625"/>
      <c r="J23" s="626"/>
      <c r="K23" s="627"/>
      <c r="L23" s="627"/>
      <c r="M23" s="627"/>
      <c r="N23" s="628"/>
    </row>
    <row r="24" spans="1:14" ht="15" x14ac:dyDescent="0.25">
      <c r="A24" s="1584" t="s">
        <v>1882</v>
      </c>
      <c r="B24" s="1585"/>
      <c r="C24" s="1585"/>
      <c r="D24" s="1613"/>
      <c r="E24" s="1613"/>
      <c r="F24" s="1613"/>
      <c r="G24" s="1614"/>
      <c r="H24" s="620"/>
      <c r="I24" s="625"/>
      <c r="J24" s="626"/>
      <c r="K24" s="627"/>
      <c r="L24" s="627"/>
      <c r="M24" s="627"/>
      <c r="N24" s="628"/>
    </row>
    <row r="25" spans="1:14" ht="21" x14ac:dyDescent="0.25">
      <c r="A25" s="631" t="s">
        <v>1883</v>
      </c>
      <c r="B25" s="632"/>
      <c r="C25" s="632"/>
      <c r="D25" s="1613"/>
      <c r="E25" s="1613"/>
      <c r="F25" s="1613"/>
      <c r="G25" s="1614"/>
      <c r="H25" s="620"/>
      <c r="I25" s="625"/>
      <c r="J25" s="626"/>
      <c r="K25" s="627"/>
      <c r="L25" s="627"/>
      <c r="M25" s="627"/>
      <c r="N25" s="628"/>
    </row>
    <row r="26" spans="1:14" ht="15" x14ac:dyDescent="0.25">
      <c r="A26" s="1617" t="s">
        <v>1884</v>
      </c>
      <c r="B26" s="1618"/>
      <c r="C26" s="1618"/>
      <c r="D26" s="1574"/>
      <c r="E26" s="1574"/>
      <c r="F26" s="1574"/>
      <c r="G26" s="1575"/>
      <c r="H26" s="620"/>
      <c r="I26" s="625"/>
      <c r="J26" s="626"/>
      <c r="K26" s="627"/>
      <c r="L26" s="627"/>
      <c r="M26" s="627"/>
      <c r="N26" s="628"/>
    </row>
    <row r="27" spans="1:14" ht="15" x14ac:dyDescent="0.25">
      <c r="A27" s="624"/>
      <c r="B27" s="620"/>
      <c r="C27" s="620"/>
      <c r="D27" s="1613"/>
      <c r="E27" s="1613"/>
      <c r="F27" s="1613"/>
      <c r="G27" s="1614"/>
      <c r="H27" s="620"/>
      <c r="I27" s="625"/>
      <c r="J27" s="626"/>
      <c r="K27" s="627"/>
      <c r="L27" s="627"/>
      <c r="M27" s="627"/>
      <c r="N27" s="628"/>
    </row>
    <row r="28" spans="1:14" ht="15" x14ac:dyDescent="0.25">
      <c r="A28" s="1611" t="s">
        <v>1885</v>
      </c>
      <c r="B28" s="1612"/>
      <c r="C28" s="1612"/>
      <c r="D28" s="1613"/>
      <c r="E28" s="1613"/>
      <c r="F28" s="1613"/>
      <c r="G28" s="1614"/>
      <c r="H28" s="620"/>
      <c r="I28" s="625"/>
      <c r="J28" s="626"/>
      <c r="K28" s="627"/>
      <c r="L28" s="627"/>
      <c r="M28" s="627"/>
      <c r="N28" s="628"/>
    </row>
    <row r="29" spans="1:14" ht="15" x14ac:dyDescent="0.25">
      <c r="A29" s="1615"/>
      <c r="B29" s="1616"/>
      <c r="C29" s="1616"/>
      <c r="D29" s="1613"/>
      <c r="E29" s="1613"/>
      <c r="F29" s="1613"/>
      <c r="G29" s="1614"/>
      <c r="H29" s="620"/>
      <c r="I29" s="625"/>
      <c r="J29" s="626"/>
      <c r="K29" s="627"/>
      <c r="L29" s="627"/>
      <c r="M29" s="627"/>
      <c r="N29" s="628"/>
    </row>
    <row r="30" spans="1:14" ht="15" x14ac:dyDescent="0.25">
      <c r="A30" s="1601"/>
      <c r="B30" s="1602"/>
      <c r="C30" s="1602"/>
      <c r="D30" s="1574"/>
      <c r="E30" s="1574"/>
      <c r="F30" s="1574"/>
      <c r="G30" s="1575"/>
      <c r="H30" s="620"/>
      <c r="I30" s="625"/>
      <c r="J30" s="626"/>
      <c r="K30" s="627"/>
      <c r="L30" s="627"/>
      <c r="M30" s="627"/>
      <c r="N30" s="628"/>
    </row>
    <row r="31" spans="1:14" ht="15" x14ac:dyDescent="0.25">
      <c r="A31" s="1601"/>
      <c r="B31" s="1602"/>
      <c r="C31" s="1602"/>
      <c r="D31" s="1574"/>
      <c r="E31" s="1574"/>
      <c r="F31" s="1574"/>
      <c r="G31" s="1575"/>
      <c r="H31" s="620"/>
      <c r="I31" s="625"/>
      <c r="J31" s="626"/>
      <c r="K31" s="627"/>
      <c r="L31" s="627"/>
      <c r="M31" s="627"/>
      <c r="N31" s="628"/>
    </row>
    <row r="32" spans="1:14" ht="15" x14ac:dyDescent="0.25">
      <c r="A32" s="1601"/>
      <c r="B32" s="1602"/>
      <c r="C32" s="1602"/>
      <c r="D32" s="1574"/>
      <c r="E32" s="1574"/>
      <c r="F32" s="1574"/>
      <c r="G32" s="1575"/>
      <c r="H32" s="620"/>
      <c r="I32" s="625"/>
      <c r="J32" s="626"/>
      <c r="K32" s="627"/>
      <c r="L32" s="627"/>
      <c r="M32" s="627"/>
      <c r="N32" s="628"/>
    </row>
    <row r="33" spans="1:14" ht="15" x14ac:dyDescent="0.25">
      <c r="A33" s="1601"/>
      <c r="B33" s="1602"/>
      <c r="C33" s="1602"/>
      <c r="D33" s="1574"/>
      <c r="E33" s="1574"/>
      <c r="F33" s="1574"/>
      <c r="G33" s="1575"/>
      <c r="H33" s="620"/>
      <c r="I33" s="625"/>
      <c r="J33" s="626"/>
      <c r="K33" s="627"/>
      <c r="L33" s="627"/>
      <c r="M33" s="627"/>
      <c r="N33" s="628"/>
    </row>
    <row r="34" spans="1:14" ht="15" x14ac:dyDescent="0.25">
      <c r="A34" s="1601"/>
      <c r="B34" s="1602"/>
      <c r="C34" s="1602"/>
      <c r="D34" s="1574"/>
      <c r="E34" s="1574"/>
      <c r="F34" s="1574"/>
      <c r="G34" s="1575"/>
      <c r="H34" s="620"/>
      <c r="I34" s="625"/>
      <c r="J34" s="626"/>
      <c r="K34" s="627"/>
      <c r="L34" s="627"/>
      <c r="M34" s="627"/>
      <c r="N34" s="628"/>
    </row>
    <row r="35" spans="1:14" ht="15" x14ac:dyDescent="0.25">
      <c r="A35" s="1601"/>
      <c r="B35" s="1602"/>
      <c r="C35" s="1602"/>
      <c r="D35" s="1574"/>
      <c r="E35" s="1574"/>
      <c r="F35" s="1574"/>
      <c r="G35" s="1575"/>
      <c r="H35" s="620"/>
      <c r="I35" s="625"/>
      <c r="J35" s="626"/>
      <c r="K35" s="627"/>
      <c r="L35" s="627"/>
      <c r="M35" s="627"/>
      <c r="N35" s="628"/>
    </row>
    <row r="36" spans="1:14" ht="15" x14ac:dyDescent="0.25">
      <c r="A36" s="1601"/>
      <c r="B36" s="1602"/>
      <c r="C36" s="1602"/>
      <c r="D36" s="1574"/>
      <c r="E36" s="1574"/>
      <c r="F36" s="1574"/>
      <c r="G36" s="1575"/>
      <c r="H36" s="620"/>
      <c r="I36" s="625"/>
      <c r="J36" s="626"/>
      <c r="K36" s="627"/>
      <c r="L36" s="627"/>
      <c r="M36" s="627"/>
      <c r="N36" s="628"/>
    </row>
    <row r="37" spans="1:14" ht="15" x14ac:dyDescent="0.25">
      <c r="A37" s="1601"/>
      <c r="B37" s="1602"/>
      <c r="C37" s="1602"/>
      <c r="D37" s="1574"/>
      <c r="E37" s="1574"/>
      <c r="F37" s="1574"/>
      <c r="G37" s="1575"/>
      <c r="H37" s="620"/>
      <c r="I37" s="1599" t="s">
        <v>1886</v>
      </c>
      <c r="J37" s="1600"/>
      <c r="K37" s="627"/>
      <c r="L37" s="627"/>
      <c r="M37" s="627"/>
      <c r="N37" s="628"/>
    </row>
    <row r="38" spans="1:14" ht="15.75" thickBot="1" x14ac:dyDescent="0.3">
      <c r="A38" s="1601"/>
      <c r="B38" s="1602"/>
      <c r="C38" s="1603"/>
      <c r="D38" s="1577"/>
      <c r="E38" s="1577"/>
      <c r="F38" s="1577"/>
      <c r="G38" s="1578"/>
      <c r="H38" s="620"/>
      <c r="I38" s="1604" t="s">
        <v>849</v>
      </c>
      <c r="J38" s="1605"/>
      <c r="K38" s="633">
        <f>SUM(K20:K37)</f>
        <v>0</v>
      </c>
      <c r="L38" s="633">
        <f>SUM(L20:L37)</f>
        <v>0</v>
      </c>
      <c r="M38" s="633">
        <f>SUM(M20:M37)</f>
        <v>0</v>
      </c>
      <c r="N38" s="634">
        <f>SUM(N20:N37)</f>
        <v>0</v>
      </c>
    </row>
    <row r="39" spans="1:14" ht="3.75" customHeight="1" thickBot="1" x14ac:dyDescent="0.3">
      <c r="A39" s="624"/>
      <c r="B39" s="620"/>
      <c r="C39" s="620"/>
      <c r="D39" s="620"/>
      <c r="E39" s="620"/>
      <c r="F39" s="620"/>
      <c r="G39" s="635"/>
      <c r="H39" s="620"/>
      <c r="I39" s="620"/>
      <c r="J39" s="620"/>
      <c r="K39" s="620"/>
      <c r="L39" s="620"/>
      <c r="M39" s="620"/>
      <c r="N39" s="620"/>
    </row>
    <row r="40" spans="1:14" ht="15" x14ac:dyDescent="0.25">
      <c r="A40" s="636" t="s">
        <v>1887</v>
      </c>
      <c r="B40" s="1606" t="s">
        <v>1888</v>
      </c>
      <c r="C40" s="1607"/>
      <c r="D40" s="1607"/>
      <c r="E40" s="1607"/>
      <c r="F40" s="1607"/>
      <c r="G40" s="1608"/>
      <c r="H40" s="620"/>
      <c r="I40" s="1609" t="s">
        <v>1889</v>
      </c>
      <c r="J40" s="1610"/>
      <c r="K40" s="1610"/>
      <c r="L40" s="1610"/>
      <c r="M40" s="1590" t="s">
        <v>1890</v>
      </c>
      <c r="N40" s="1591"/>
    </row>
    <row r="41" spans="1:14" ht="15" x14ac:dyDescent="0.25">
      <c r="A41" s="1592" t="s">
        <v>1891</v>
      </c>
      <c r="B41" s="1593" t="s">
        <v>1892</v>
      </c>
      <c r="C41" s="1593"/>
      <c r="D41" s="1593" t="s">
        <v>1316</v>
      </c>
      <c r="E41" s="1593"/>
      <c r="F41" s="1593"/>
      <c r="G41" s="1594"/>
      <c r="H41" s="620"/>
      <c r="I41" s="1579" t="s">
        <v>1893</v>
      </c>
      <c r="J41" s="1580"/>
      <c r="K41" s="1580"/>
      <c r="L41" s="1581"/>
      <c r="M41" s="1582"/>
      <c r="N41" s="1583"/>
    </row>
    <row r="42" spans="1:14" ht="15" x14ac:dyDescent="0.25">
      <c r="A42" s="1592"/>
      <c r="B42" s="637" t="s">
        <v>1322</v>
      </c>
      <c r="C42" s="637" t="s">
        <v>1323</v>
      </c>
      <c r="D42" s="1593" t="s">
        <v>1322</v>
      </c>
      <c r="E42" s="1593"/>
      <c r="F42" s="1593" t="s">
        <v>1323</v>
      </c>
      <c r="G42" s="1594"/>
      <c r="H42" s="620"/>
      <c r="I42" s="1584" t="s">
        <v>1894</v>
      </c>
      <c r="J42" s="1585"/>
      <c r="K42" s="1585"/>
      <c r="L42" s="1586"/>
      <c r="M42" s="1595"/>
      <c r="N42" s="1596"/>
    </row>
    <row r="43" spans="1:14" ht="15" x14ac:dyDescent="0.25">
      <c r="A43" s="624" t="s">
        <v>1895</v>
      </c>
      <c r="B43" s="639"/>
      <c r="C43" s="639"/>
      <c r="D43" s="1574"/>
      <c r="E43" s="1574"/>
      <c r="F43" s="1574"/>
      <c r="G43" s="1575"/>
      <c r="H43" s="620"/>
      <c r="I43" s="631" t="s">
        <v>1896</v>
      </c>
      <c r="J43" s="632"/>
      <c r="K43" s="632"/>
      <c r="L43" s="638"/>
      <c r="M43" s="1597"/>
      <c r="N43" s="1598"/>
    </row>
    <row r="44" spans="1:14" ht="31.5" x14ac:dyDescent="0.25">
      <c r="A44" s="624" t="s">
        <v>1897</v>
      </c>
      <c r="B44" s="640"/>
      <c r="C44" s="640"/>
      <c r="D44" s="1577"/>
      <c r="E44" s="1577"/>
      <c r="F44" s="1577"/>
      <c r="G44" s="1578"/>
      <c r="H44" s="620"/>
      <c r="I44" s="1587" t="s">
        <v>1898</v>
      </c>
      <c r="J44" s="1588"/>
      <c r="K44" s="1588"/>
      <c r="L44" s="1589"/>
      <c r="M44" s="1565">
        <f>SUM(M41:N43)</f>
        <v>0</v>
      </c>
      <c r="N44" s="1567"/>
    </row>
    <row r="45" spans="1:14" ht="31.5" x14ac:dyDescent="0.25">
      <c r="A45" s="624" t="s">
        <v>1899</v>
      </c>
      <c r="B45" s="640"/>
      <c r="C45" s="640"/>
      <c r="D45" s="1577"/>
      <c r="E45" s="1577"/>
      <c r="F45" s="1577"/>
      <c r="G45" s="1578"/>
      <c r="H45" s="620"/>
      <c r="I45" s="1579" t="s">
        <v>1900</v>
      </c>
      <c r="J45" s="1580"/>
      <c r="K45" s="1580"/>
      <c r="L45" s="1581"/>
      <c r="M45" s="1582"/>
      <c r="N45" s="1583"/>
    </row>
    <row r="46" spans="1:14" ht="21" x14ac:dyDescent="0.25">
      <c r="A46" s="624" t="s">
        <v>1901</v>
      </c>
      <c r="B46" s="640"/>
      <c r="C46" s="640"/>
      <c r="D46" s="1577"/>
      <c r="E46" s="1577"/>
      <c r="F46" s="1577"/>
      <c r="G46" s="1578"/>
      <c r="H46" s="620"/>
      <c r="I46" s="1584" t="s">
        <v>1902</v>
      </c>
      <c r="J46" s="1585"/>
      <c r="K46" s="1585"/>
      <c r="L46" s="1586"/>
      <c r="M46" s="1582"/>
      <c r="N46" s="1583"/>
    </row>
    <row r="47" spans="1:14" ht="15" x14ac:dyDescent="0.25">
      <c r="A47" s="641" t="s">
        <v>849</v>
      </c>
      <c r="B47" s="642">
        <f>SUM(B43:B46)</f>
        <v>0</v>
      </c>
      <c r="C47" s="642">
        <f>SUM(C43:C46)</f>
        <v>0</v>
      </c>
      <c r="D47" s="1565">
        <f>SUM(D43:E46)</f>
        <v>0</v>
      </c>
      <c r="E47" s="1566"/>
      <c r="F47" s="1565">
        <f>SUM(F43:G46)</f>
        <v>0</v>
      </c>
      <c r="G47" s="1567"/>
      <c r="H47" s="620"/>
      <c r="I47" s="1568"/>
      <c r="J47" s="1569"/>
      <c r="K47" s="1569"/>
      <c r="L47" s="1570"/>
      <c r="M47" s="1571"/>
      <c r="N47" s="1572"/>
    </row>
    <row r="48" spans="1:14" ht="15" x14ac:dyDescent="0.25">
      <c r="A48" s="643" t="s">
        <v>1334</v>
      </c>
      <c r="B48" s="639"/>
      <c r="C48" s="639"/>
      <c r="D48" s="1573"/>
      <c r="E48" s="1573"/>
      <c r="F48" s="1574"/>
      <c r="G48" s="1575"/>
      <c r="H48" s="620"/>
      <c r="I48" s="644"/>
      <c r="J48" s="645"/>
      <c r="K48" s="645"/>
      <c r="L48" s="646"/>
      <c r="M48" s="1576"/>
      <c r="N48" s="1572"/>
    </row>
    <row r="49" spans="1:14" ht="15.75" thickBot="1" x14ac:dyDescent="0.3">
      <c r="A49" s="647" t="s">
        <v>1336</v>
      </c>
      <c r="B49" s="648"/>
      <c r="C49" s="648"/>
      <c r="D49" s="1558"/>
      <c r="E49" s="1558"/>
      <c r="F49" s="1559"/>
      <c r="G49" s="1560"/>
      <c r="H49" s="649"/>
      <c r="I49" s="1561" t="s">
        <v>1903</v>
      </c>
      <c r="J49" s="1562"/>
      <c r="K49" s="1562"/>
      <c r="L49" s="1562"/>
      <c r="M49" s="1563">
        <f>SUM(M45:N48)</f>
        <v>0</v>
      </c>
      <c r="N49" s="1564"/>
    </row>
    <row r="50" spans="1:14" ht="15" x14ac:dyDescent="0.25"/>
  </sheetData>
  <mergeCells count="120">
    <mergeCell ref="A1:J1"/>
    <mergeCell ref="C2:N2"/>
    <mergeCell ref="C3:N3"/>
    <mergeCell ref="C4:N4"/>
    <mergeCell ref="C5:N5"/>
    <mergeCell ref="C6:F6"/>
    <mergeCell ref="H6:I6"/>
    <mergeCell ref="J6:K6"/>
    <mergeCell ref="L6:M6"/>
    <mergeCell ref="C11:G11"/>
    <mergeCell ref="I11:K11"/>
    <mergeCell ref="L11:N11"/>
    <mergeCell ref="A13:N13"/>
    <mergeCell ref="C14:I14"/>
    <mergeCell ref="A15:G15"/>
    <mergeCell ref="I15:N15"/>
    <mergeCell ref="C7:N7"/>
    <mergeCell ref="C8:N8"/>
    <mergeCell ref="C9:N9"/>
    <mergeCell ref="C10:G10"/>
    <mergeCell ref="I10:K10"/>
    <mergeCell ref="L10:N10"/>
    <mergeCell ref="M16:N18"/>
    <mergeCell ref="D20:E20"/>
    <mergeCell ref="F20:G20"/>
    <mergeCell ref="A21:C21"/>
    <mergeCell ref="D21:E21"/>
    <mergeCell ref="F21:G21"/>
    <mergeCell ref="A16:C19"/>
    <mergeCell ref="D16:E19"/>
    <mergeCell ref="F16:G19"/>
    <mergeCell ref="I16:I19"/>
    <mergeCell ref="J16:J19"/>
    <mergeCell ref="K16:L18"/>
    <mergeCell ref="D25:E25"/>
    <mergeCell ref="F25:G25"/>
    <mergeCell ref="A26:C26"/>
    <mergeCell ref="D26:E26"/>
    <mergeCell ref="F26:G26"/>
    <mergeCell ref="D27:E27"/>
    <mergeCell ref="F27:G27"/>
    <mergeCell ref="D22:E22"/>
    <mergeCell ref="F22:G22"/>
    <mergeCell ref="D23:E23"/>
    <mergeCell ref="F23:G23"/>
    <mergeCell ref="A24:C24"/>
    <mergeCell ref="D24:E24"/>
    <mergeCell ref="F24:G24"/>
    <mergeCell ref="A30:C30"/>
    <mergeCell ref="D30:E30"/>
    <mergeCell ref="F30:G30"/>
    <mergeCell ref="A31:C31"/>
    <mergeCell ref="D31:E31"/>
    <mergeCell ref="F31:G31"/>
    <mergeCell ref="A28:C28"/>
    <mergeCell ref="D28:E28"/>
    <mergeCell ref="F28:G28"/>
    <mergeCell ref="A29:C29"/>
    <mergeCell ref="D29:E29"/>
    <mergeCell ref="F29:G29"/>
    <mergeCell ref="A34:C34"/>
    <mergeCell ref="D34:E34"/>
    <mergeCell ref="F34:G34"/>
    <mergeCell ref="A35:C35"/>
    <mergeCell ref="D35:E35"/>
    <mergeCell ref="F35:G35"/>
    <mergeCell ref="A32:C32"/>
    <mergeCell ref="D32:E32"/>
    <mergeCell ref="F32:G32"/>
    <mergeCell ref="A33:C33"/>
    <mergeCell ref="D33:E33"/>
    <mergeCell ref="F33:G33"/>
    <mergeCell ref="I37:J37"/>
    <mergeCell ref="A38:C38"/>
    <mergeCell ref="D38:E38"/>
    <mergeCell ref="F38:G38"/>
    <mergeCell ref="I38:J38"/>
    <mergeCell ref="B40:G40"/>
    <mergeCell ref="I40:L40"/>
    <mergeCell ref="A36:C36"/>
    <mergeCell ref="D36:E36"/>
    <mergeCell ref="F36:G36"/>
    <mergeCell ref="A37:C37"/>
    <mergeCell ref="D37:E37"/>
    <mergeCell ref="F37:G37"/>
    <mergeCell ref="M40:N40"/>
    <mergeCell ref="A41:A42"/>
    <mergeCell ref="B41:C41"/>
    <mergeCell ref="D41:G41"/>
    <mergeCell ref="I41:L41"/>
    <mergeCell ref="M41:N41"/>
    <mergeCell ref="D42:E42"/>
    <mergeCell ref="F42:G42"/>
    <mergeCell ref="I42:L42"/>
    <mergeCell ref="M42:N43"/>
    <mergeCell ref="D45:E45"/>
    <mergeCell ref="F45:G45"/>
    <mergeCell ref="I45:L45"/>
    <mergeCell ref="M45:N45"/>
    <mergeCell ref="D46:E46"/>
    <mergeCell ref="F46:G46"/>
    <mergeCell ref="I46:L46"/>
    <mergeCell ref="M46:N46"/>
    <mergeCell ref="D43:E43"/>
    <mergeCell ref="F43:G43"/>
    <mergeCell ref="D44:E44"/>
    <mergeCell ref="F44:G44"/>
    <mergeCell ref="I44:L44"/>
    <mergeCell ref="M44:N44"/>
    <mergeCell ref="D49:E49"/>
    <mergeCell ref="F49:G49"/>
    <mergeCell ref="I49:L49"/>
    <mergeCell ref="M49:N49"/>
    <mergeCell ref="D47:E47"/>
    <mergeCell ref="F47:G47"/>
    <mergeCell ref="I47:L47"/>
    <mergeCell ref="M47:N47"/>
    <mergeCell ref="D48:E48"/>
    <mergeCell ref="F48:G48"/>
    <mergeCell ref="M48:N48"/>
  </mergeCells>
  <dataValidations count="1">
    <dataValidation type="whole" allowBlank="1" showInputMessage="1" showErrorMessage="1" errorTitle="Attention!" error="Valeur numérique attendue" sqref="D26:G26 D30:G38 K20:N37 B43:G46 B48:G49 M41:N43 M45:N46" xr:uid="{53F3CCEE-E489-446F-8DFC-BE78539C0C5E}">
      <formula1>-9999999999999</formula1>
      <formula2>9999999999999</formula2>
    </dataValidation>
  </dataValidations>
  <pageMargins left="0.7" right="0.7" top="0.75" bottom="0.75" header="0.3" footer="0.3"/>
  <drawing r:id="rId1"/>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720F14-6D53-46ED-BBF4-1B5F40A9C48F}">
  <dimension ref="A1:N48"/>
  <sheetViews>
    <sheetView workbookViewId="0">
      <selection sqref="A1:XFD1048576"/>
    </sheetView>
  </sheetViews>
  <sheetFormatPr baseColWidth="10" defaultColWidth="11.42578125" defaultRowHeight="13.9" customHeight="1" x14ac:dyDescent="0.25"/>
  <cols>
    <col min="1" max="2" width="15.42578125" style="481" customWidth="1"/>
    <col min="3" max="3" width="5.140625" style="481" customWidth="1"/>
    <col min="4" max="4" width="7.28515625" style="481" customWidth="1"/>
    <col min="5" max="5" width="8.85546875" style="481" customWidth="1"/>
    <col min="6" max="6" width="9.85546875" style="481" customWidth="1"/>
    <col min="7" max="9" width="13.5703125" style="481" customWidth="1"/>
    <col min="10" max="10" width="11.85546875" style="481" customWidth="1"/>
    <col min="11" max="12" width="13.5703125" style="481" customWidth="1"/>
    <col min="13" max="13" width="11.42578125" style="481"/>
    <col min="14" max="14" width="13.5703125" style="481" customWidth="1"/>
    <col min="15" max="15" width="11.42578125" style="481"/>
    <col min="16" max="16" width="6.85546875" style="481" customWidth="1"/>
    <col min="17" max="16384" width="11.42578125" style="481"/>
  </cols>
  <sheetData>
    <row r="1" spans="1:14" ht="10.5" customHeight="1" x14ac:dyDescent="0.25">
      <c r="A1" s="1514"/>
      <c r="B1" s="1514"/>
      <c r="C1" s="1515"/>
      <c r="D1" s="1515"/>
      <c r="E1" s="1515"/>
      <c r="F1" s="1515"/>
      <c r="G1" s="1515"/>
      <c r="H1" s="1515"/>
      <c r="I1" s="1515"/>
      <c r="J1" s="1515"/>
    </row>
    <row r="2" spans="1:14" ht="15" customHeight="1" x14ac:dyDescent="0.25">
      <c r="A2" s="199" t="s">
        <v>361</v>
      </c>
      <c r="B2" s="199"/>
      <c r="C2" s="1505" t="s">
        <v>2</v>
      </c>
      <c r="D2" s="1505"/>
      <c r="E2" s="1505"/>
      <c r="F2" s="1505"/>
      <c r="G2" s="1505"/>
      <c r="H2" s="1505"/>
      <c r="I2" s="1505"/>
      <c r="J2" s="1505"/>
      <c r="K2" s="1505"/>
      <c r="L2" s="1505"/>
      <c r="M2" s="1505"/>
      <c r="N2" s="1505"/>
    </row>
    <row r="3" spans="1:14" ht="15" customHeight="1" x14ac:dyDescent="0.25">
      <c r="A3" s="199"/>
      <c r="B3" s="199"/>
      <c r="C3" s="1506" t="s">
        <v>4</v>
      </c>
      <c r="D3" s="1506"/>
      <c r="E3" s="1506"/>
      <c r="F3" s="1506"/>
      <c r="G3" s="1506"/>
      <c r="H3" s="1506"/>
      <c r="I3" s="1506"/>
      <c r="J3" s="1506"/>
      <c r="K3" s="1506"/>
      <c r="L3" s="1506"/>
      <c r="M3" s="1506"/>
      <c r="N3" s="1506"/>
    </row>
    <row r="4" spans="1:14" ht="15" customHeight="1" x14ac:dyDescent="0.25">
      <c r="A4" s="199" t="s">
        <v>362</v>
      </c>
      <c r="B4" s="199"/>
      <c r="C4" s="1506" t="s">
        <v>6</v>
      </c>
      <c r="D4" s="1506"/>
      <c r="E4" s="1506"/>
      <c r="F4" s="1506"/>
      <c r="G4" s="1506"/>
      <c r="H4" s="1506"/>
      <c r="I4" s="1506"/>
      <c r="J4" s="1506"/>
      <c r="K4" s="1506"/>
      <c r="L4" s="1506"/>
      <c r="M4" s="1506"/>
      <c r="N4" s="1506"/>
    </row>
    <row r="5" spans="1:14" ht="15" customHeight="1" x14ac:dyDescent="0.25">
      <c r="A5" s="199" t="s">
        <v>363</v>
      </c>
      <c r="B5" s="199"/>
      <c r="C5" s="1492">
        <v>4431</v>
      </c>
      <c r="D5" s="1492"/>
      <c r="E5" s="1492"/>
      <c r="F5" s="1492"/>
      <c r="G5" s="1492"/>
      <c r="H5" s="1492"/>
      <c r="I5" s="1492"/>
      <c r="J5" s="1492"/>
      <c r="K5" s="1492"/>
      <c r="L5" s="1492"/>
      <c r="M5" s="1492"/>
      <c r="N5" s="1492"/>
    </row>
    <row r="6" spans="1:14" ht="15" customHeight="1" x14ac:dyDescent="0.25">
      <c r="A6" s="199" t="s">
        <v>364</v>
      </c>
      <c r="B6" s="199"/>
      <c r="C6" s="957" t="s">
        <v>12</v>
      </c>
      <c r="D6" s="957"/>
      <c r="E6" s="957"/>
      <c r="F6" s="957"/>
      <c r="G6" s="239"/>
      <c r="H6" s="770" t="s">
        <v>365</v>
      </c>
      <c r="I6" s="770"/>
      <c r="J6" s="1142">
        <v>46022</v>
      </c>
      <c r="K6" s="958"/>
      <c r="L6" s="1642" t="s">
        <v>465</v>
      </c>
      <c r="M6" s="1642"/>
      <c r="N6" s="619">
        <v>12</v>
      </c>
    </row>
    <row r="7" spans="1:14" ht="15" customHeight="1" x14ac:dyDescent="0.25">
      <c r="A7" s="199" t="s">
        <v>367</v>
      </c>
      <c r="B7" s="199"/>
      <c r="C7" s="1487" t="s">
        <v>8</v>
      </c>
      <c r="D7" s="1487"/>
      <c r="E7" s="1487"/>
      <c r="F7" s="1487"/>
      <c r="G7" s="1487"/>
      <c r="H7" s="1487"/>
      <c r="I7" s="1487"/>
      <c r="J7" s="1487"/>
      <c r="K7" s="1487"/>
      <c r="L7" s="1487"/>
      <c r="M7" s="1487"/>
      <c r="N7" s="1487"/>
    </row>
    <row r="8" spans="1:14" ht="15" x14ac:dyDescent="0.25">
      <c r="A8" s="199" t="s">
        <v>466</v>
      </c>
      <c r="B8" s="199"/>
      <c r="C8" s="959" t="s">
        <v>34</v>
      </c>
      <c r="D8" s="959"/>
      <c r="E8" s="959"/>
      <c r="F8" s="959"/>
      <c r="G8" s="959"/>
      <c r="H8" s="959"/>
      <c r="I8" s="959"/>
      <c r="J8" s="959"/>
      <c r="K8" s="959"/>
      <c r="L8" s="959"/>
      <c r="M8" s="959"/>
      <c r="N8" s="959"/>
    </row>
    <row r="9" spans="1:14" ht="15" x14ac:dyDescent="0.25">
      <c r="A9" s="198"/>
      <c r="B9" s="199"/>
      <c r="C9" s="770">
        <v>555555</v>
      </c>
      <c r="D9" s="770"/>
      <c r="E9" s="770"/>
      <c r="F9" s="770"/>
      <c r="G9" s="770"/>
      <c r="H9" s="770"/>
      <c r="I9" s="770"/>
      <c r="J9" s="770"/>
      <c r="K9" s="770"/>
      <c r="L9" s="770"/>
      <c r="M9" s="770"/>
      <c r="N9" s="770"/>
    </row>
    <row r="10" spans="1:14" ht="15" x14ac:dyDescent="0.25">
      <c r="A10" s="199" t="s">
        <v>467</v>
      </c>
      <c r="B10" s="199"/>
      <c r="C10" s="770" t="s">
        <v>38</v>
      </c>
      <c r="D10" s="770"/>
      <c r="E10" s="770"/>
      <c r="F10" s="770"/>
      <c r="G10" s="770"/>
      <c r="H10" s="200"/>
      <c r="I10" s="770" t="s">
        <v>468</v>
      </c>
      <c r="J10" s="770"/>
      <c r="K10" s="770"/>
      <c r="L10" s="770" t="s">
        <v>36</v>
      </c>
      <c r="M10" s="770"/>
      <c r="N10" s="770"/>
    </row>
    <row r="11" spans="1:14" ht="15" x14ac:dyDescent="0.25">
      <c r="A11" s="199" t="s">
        <v>469</v>
      </c>
      <c r="B11" s="199"/>
      <c r="C11" s="975">
        <v>44713</v>
      </c>
      <c r="D11" s="975"/>
      <c r="E11" s="975"/>
      <c r="F11" s="975"/>
      <c r="G11" s="975"/>
      <c r="H11" s="200"/>
      <c r="I11" s="770" t="s">
        <v>470</v>
      </c>
      <c r="J11" s="770"/>
      <c r="K11" s="770"/>
      <c r="L11" s="975">
        <v>45991</v>
      </c>
      <c r="M11" s="975"/>
      <c r="N11" s="975"/>
    </row>
    <row r="12" spans="1:14" ht="10.9" customHeight="1" thickBot="1" x14ac:dyDescent="0.3">
      <c r="A12" s="24"/>
      <c r="B12" s="24"/>
      <c r="C12" s="24"/>
      <c r="D12" s="24"/>
      <c r="E12" s="24"/>
      <c r="F12" s="24"/>
      <c r="G12" s="24"/>
      <c r="H12" s="24"/>
      <c r="I12" s="24"/>
      <c r="J12" s="24"/>
      <c r="K12" s="308"/>
      <c r="L12" s="308"/>
      <c r="M12" s="308"/>
      <c r="N12" s="308"/>
    </row>
    <row r="13" spans="1:14" ht="15.75" thickBot="1" x14ac:dyDescent="0.3">
      <c r="A13" s="1633" t="s">
        <v>1904</v>
      </c>
      <c r="B13" s="1634"/>
      <c r="C13" s="1634"/>
      <c r="D13" s="1634"/>
      <c r="E13" s="1634"/>
      <c r="F13" s="1634"/>
      <c r="G13" s="1634"/>
      <c r="H13" s="1634"/>
      <c r="I13" s="1634"/>
      <c r="J13" s="1634"/>
      <c r="K13" s="1634"/>
      <c r="L13" s="1634"/>
      <c r="M13" s="1634"/>
      <c r="N13" s="1635"/>
    </row>
    <row r="14" spans="1:14" ht="7.15" customHeight="1" thickBot="1" x14ac:dyDescent="0.3">
      <c r="A14" s="28"/>
      <c r="B14" s="28"/>
      <c r="C14" s="1636"/>
      <c r="D14" s="1636"/>
      <c r="E14" s="1636"/>
      <c r="F14" s="1636"/>
      <c r="G14" s="1636"/>
      <c r="H14" s="1636"/>
      <c r="I14" s="1636"/>
      <c r="J14" s="28"/>
      <c r="K14" s="28"/>
      <c r="L14" s="28"/>
      <c r="M14" s="28"/>
      <c r="N14" s="28"/>
    </row>
    <row r="15" spans="1:14" ht="15" x14ac:dyDescent="0.25">
      <c r="A15" s="1652" t="s">
        <v>1905</v>
      </c>
      <c r="B15" s="1653" t="s">
        <v>1906</v>
      </c>
      <c r="C15" s="1653"/>
      <c r="D15" s="1653"/>
      <c r="E15" s="1649" t="s">
        <v>1907</v>
      </c>
      <c r="F15" s="1649" t="s">
        <v>1908</v>
      </c>
      <c r="G15" s="1649" t="s">
        <v>1909</v>
      </c>
      <c r="H15" s="1648" t="s">
        <v>1910</v>
      </c>
      <c r="I15" s="1648"/>
      <c r="J15" s="1648"/>
      <c r="K15" s="1649" t="s">
        <v>1911</v>
      </c>
      <c r="L15" s="1649" t="s">
        <v>1912</v>
      </c>
      <c r="M15" s="1649" t="s">
        <v>1913</v>
      </c>
      <c r="N15" s="1650" t="s">
        <v>1914</v>
      </c>
    </row>
    <row r="16" spans="1:14" ht="15.75" thickBot="1" x14ac:dyDescent="0.3">
      <c r="A16" s="1623"/>
      <c r="B16" s="1654"/>
      <c r="C16" s="1654"/>
      <c r="D16" s="1654"/>
      <c r="E16" s="1624"/>
      <c r="F16" s="1624"/>
      <c r="G16" s="1624"/>
      <c r="H16" s="621" t="s">
        <v>1915</v>
      </c>
      <c r="I16" s="621" t="s">
        <v>1916</v>
      </c>
      <c r="J16" s="621" t="s">
        <v>849</v>
      </c>
      <c r="K16" s="1624"/>
      <c r="L16" s="1624"/>
      <c r="M16" s="1624"/>
      <c r="N16" s="1629"/>
    </row>
    <row r="17" spans="1:14" ht="15" x14ac:dyDescent="0.25">
      <c r="A17" s="650"/>
      <c r="B17" s="1651"/>
      <c r="C17" s="1651"/>
      <c r="D17" s="1651"/>
      <c r="E17" s="651"/>
      <c r="F17" s="652"/>
      <c r="G17" s="653"/>
      <c r="H17" s="653"/>
      <c r="I17" s="653"/>
      <c r="J17" s="654">
        <f>H17+I17</f>
        <v>0</v>
      </c>
      <c r="K17" s="653"/>
      <c r="L17" s="653"/>
      <c r="M17" s="653"/>
      <c r="N17" s="655"/>
    </row>
    <row r="18" spans="1:14" ht="15" x14ac:dyDescent="0.25">
      <c r="A18" s="656"/>
      <c r="B18" s="1646"/>
      <c r="C18" s="1646"/>
      <c r="D18" s="1646"/>
      <c r="E18" s="657"/>
      <c r="F18" s="658"/>
      <c r="G18" s="659"/>
      <c r="H18" s="659"/>
      <c r="I18" s="659"/>
      <c r="J18" s="660">
        <f t="shared" ref="J18:J46" si="0">H18+I18</f>
        <v>0</v>
      </c>
      <c r="K18" s="659"/>
      <c r="L18" s="659"/>
      <c r="M18" s="659"/>
      <c r="N18" s="661"/>
    </row>
    <row r="19" spans="1:14" ht="15" x14ac:dyDescent="0.25">
      <c r="A19" s="656"/>
      <c r="B19" s="1646"/>
      <c r="C19" s="1646"/>
      <c r="D19" s="1646"/>
      <c r="E19" s="657"/>
      <c r="F19" s="658"/>
      <c r="G19" s="659"/>
      <c r="H19" s="659"/>
      <c r="I19" s="659"/>
      <c r="J19" s="660">
        <f t="shared" si="0"/>
        <v>0</v>
      </c>
      <c r="K19" s="659"/>
      <c r="L19" s="659"/>
      <c r="M19" s="659"/>
      <c r="N19" s="661"/>
    </row>
    <row r="20" spans="1:14" ht="15" x14ac:dyDescent="0.25">
      <c r="A20" s="656"/>
      <c r="B20" s="1646"/>
      <c r="C20" s="1646"/>
      <c r="D20" s="1646"/>
      <c r="E20" s="657"/>
      <c r="F20" s="658"/>
      <c r="G20" s="659"/>
      <c r="H20" s="659"/>
      <c r="I20" s="659"/>
      <c r="J20" s="660">
        <f t="shared" si="0"/>
        <v>0</v>
      </c>
      <c r="K20" s="659"/>
      <c r="L20" s="659"/>
      <c r="M20" s="659"/>
      <c r="N20" s="661"/>
    </row>
    <row r="21" spans="1:14" ht="15" x14ac:dyDescent="0.25">
      <c r="A21" s="656"/>
      <c r="B21" s="1646"/>
      <c r="C21" s="1646"/>
      <c r="D21" s="1646"/>
      <c r="E21" s="657"/>
      <c r="F21" s="658"/>
      <c r="G21" s="659"/>
      <c r="H21" s="659"/>
      <c r="I21" s="659"/>
      <c r="J21" s="660">
        <f t="shared" si="0"/>
        <v>0</v>
      </c>
      <c r="K21" s="659"/>
      <c r="L21" s="659"/>
      <c r="M21" s="659"/>
      <c r="N21" s="661"/>
    </row>
    <row r="22" spans="1:14" ht="15" x14ac:dyDescent="0.25">
      <c r="A22" s="656"/>
      <c r="B22" s="1646"/>
      <c r="C22" s="1646"/>
      <c r="D22" s="1646"/>
      <c r="E22" s="657"/>
      <c r="F22" s="658"/>
      <c r="G22" s="659"/>
      <c r="H22" s="659"/>
      <c r="I22" s="659"/>
      <c r="J22" s="660">
        <f t="shared" si="0"/>
        <v>0</v>
      </c>
      <c r="K22" s="659"/>
      <c r="L22" s="659"/>
      <c r="M22" s="659"/>
      <c r="N22" s="661"/>
    </row>
    <row r="23" spans="1:14" ht="15" x14ac:dyDescent="0.25">
      <c r="A23" s="656"/>
      <c r="B23" s="1646"/>
      <c r="C23" s="1646"/>
      <c r="D23" s="1646"/>
      <c r="E23" s="657"/>
      <c r="F23" s="658"/>
      <c r="G23" s="659"/>
      <c r="H23" s="659"/>
      <c r="I23" s="659"/>
      <c r="J23" s="660">
        <f t="shared" si="0"/>
        <v>0</v>
      </c>
      <c r="K23" s="659"/>
      <c r="L23" s="659"/>
      <c r="M23" s="659"/>
      <c r="N23" s="661"/>
    </row>
    <row r="24" spans="1:14" ht="15" x14ac:dyDescent="0.25">
      <c r="A24" s="656"/>
      <c r="B24" s="1646"/>
      <c r="C24" s="1646"/>
      <c r="D24" s="1646"/>
      <c r="E24" s="657"/>
      <c r="F24" s="658"/>
      <c r="G24" s="659"/>
      <c r="H24" s="659"/>
      <c r="I24" s="659"/>
      <c r="J24" s="660">
        <f t="shared" si="0"/>
        <v>0</v>
      </c>
      <c r="K24" s="659"/>
      <c r="L24" s="659"/>
      <c r="M24" s="659"/>
      <c r="N24" s="661"/>
    </row>
    <row r="25" spans="1:14" ht="15" x14ac:dyDescent="0.25">
      <c r="A25" s="656"/>
      <c r="B25" s="1646"/>
      <c r="C25" s="1646"/>
      <c r="D25" s="1646"/>
      <c r="E25" s="657"/>
      <c r="F25" s="658"/>
      <c r="G25" s="659"/>
      <c r="H25" s="659"/>
      <c r="I25" s="659"/>
      <c r="J25" s="660">
        <f t="shared" si="0"/>
        <v>0</v>
      </c>
      <c r="K25" s="659"/>
      <c r="L25" s="659"/>
      <c r="M25" s="659"/>
      <c r="N25" s="661"/>
    </row>
    <row r="26" spans="1:14" ht="15" x14ac:dyDescent="0.25">
      <c r="A26" s="656"/>
      <c r="B26" s="1646"/>
      <c r="C26" s="1646"/>
      <c r="D26" s="1646"/>
      <c r="E26" s="657"/>
      <c r="F26" s="658"/>
      <c r="G26" s="659"/>
      <c r="H26" s="659"/>
      <c r="I26" s="659"/>
      <c r="J26" s="660">
        <f t="shared" si="0"/>
        <v>0</v>
      </c>
      <c r="K26" s="659"/>
      <c r="L26" s="659"/>
      <c r="M26" s="659"/>
      <c r="N26" s="661"/>
    </row>
    <row r="27" spans="1:14" ht="15" x14ac:dyDescent="0.25">
      <c r="A27" s="656"/>
      <c r="B27" s="1646"/>
      <c r="C27" s="1646"/>
      <c r="D27" s="1646"/>
      <c r="E27" s="657"/>
      <c r="F27" s="658"/>
      <c r="G27" s="659"/>
      <c r="H27" s="659"/>
      <c r="I27" s="659"/>
      <c r="J27" s="660">
        <f t="shared" si="0"/>
        <v>0</v>
      </c>
      <c r="K27" s="659"/>
      <c r="L27" s="659"/>
      <c r="M27" s="659"/>
      <c r="N27" s="661"/>
    </row>
    <row r="28" spans="1:14" ht="15" x14ac:dyDescent="0.25">
      <c r="A28" s="656"/>
      <c r="B28" s="1646"/>
      <c r="C28" s="1646"/>
      <c r="D28" s="1646"/>
      <c r="E28" s="657"/>
      <c r="F28" s="658"/>
      <c r="G28" s="659"/>
      <c r="H28" s="659"/>
      <c r="I28" s="659"/>
      <c r="J28" s="660">
        <f t="shared" si="0"/>
        <v>0</v>
      </c>
      <c r="K28" s="659"/>
      <c r="L28" s="659"/>
      <c r="M28" s="659"/>
      <c r="N28" s="661"/>
    </row>
    <row r="29" spans="1:14" ht="15" x14ac:dyDescent="0.25">
      <c r="A29" s="656"/>
      <c r="B29" s="1646"/>
      <c r="C29" s="1646"/>
      <c r="D29" s="1646"/>
      <c r="E29" s="657"/>
      <c r="F29" s="658"/>
      <c r="G29" s="659"/>
      <c r="H29" s="659"/>
      <c r="I29" s="659"/>
      <c r="J29" s="660">
        <f t="shared" si="0"/>
        <v>0</v>
      </c>
      <c r="K29" s="659"/>
      <c r="L29" s="659"/>
      <c r="M29" s="659"/>
      <c r="N29" s="661"/>
    </row>
    <row r="30" spans="1:14" ht="15" x14ac:dyDescent="0.25">
      <c r="A30" s="656"/>
      <c r="B30" s="1646"/>
      <c r="C30" s="1646"/>
      <c r="D30" s="1646"/>
      <c r="E30" s="657"/>
      <c r="F30" s="658"/>
      <c r="G30" s="659"/>
      <c r="H30" s="659"/>
      <c r="I30" s="659"/>
      <c r="J30" s="660">
        <f t="shared" si="0"/>
        <v>0</v>
      </c>
      <c r="K30" s="659"/>
      <c r="L30" s="659"/>
      <c r="M30" s="659"/>
      <c r="N30" s="661"/>
    </row>
    <row r="31" spans="1:14" ht="15" x14ac:dyDescent="0.25">
      <c r="A31" s="656"/>
      <c r="B31" s="1646"/>
      <c r="C31" s="1646"/>
      <c r="D31" s="1646"/>
      <c r="E31" s="657"/>
      <c r="F31" s="658"/>
      <c r="G31" s="659"/>
      <c r="H31" s="659"/>
      <c r="I31" s="659"/>
      <c r="J31" s="660">
        <f t="shared" si="0"/>
        <v>0</v>
      </c>
      <c r="K31" s="659"/>
      <c r="L31" s="659"/>
      <c r="M31" s="659"/>
      <c r="N31" s="661"/>
    </row>
    <row r="32" spans="1:14" ht="15" x14ac:dyDescent="0.25">
      <c r="A32" s="656"/>
      <c r="B32" s="1646"/>
      <c r="C32" s="1646"/>
      <c r="D32" s="1646"/>
      <c r="E32" s="657"/>
      <c r="F32" s="658"/>
      <c r="G32" s="659"/>
      <c r="H32" s="659"/>
      <c r="I32" s="659"/>
      <c r="J32" s="660">
        <f t="shared" si="0"/>
        <v>0</v>
      </c>
      <c r="K32" s="659"/>
      <c r="L32" s="659"/>
      <c r="M32" s="659"/>
      <c r="N32" s="661"/>
    </row>
    <row r="33" spans="1:14" ht="15" x14ac:dyDescent="0.25">
      <c r="A33" s="656"/>
      <c r="B33" s="1646"/>
      <c r="C33" s="1646"/>
      <c r="D33" s="1646"/>
      <c r="E33" s="657"/>
      <c r="F33" s="658"/>
      <c r="G33" s="659"/>
      <c r="H33" s="659"/>
      <c r="I33" s="659"/>
      <c r="J33" s="660">
        <f t="shared" si="0"/>
        <v>0</v>
      </c>
      <c r="K33" s="659"/>
      <c r="L33" s="659"/>
      <c r="M33" s="659"/>
      <c r="N33" s="661"/>
    </row>
    <row r="34" spans="1:14" ht="15" x14ac:dyDescent="0.25">
      <c r="A34" s="656"/>
      <c r="B34" s="1646"/>
      <c r="C34" s="1646"/>
      <c r="D34" s="1646"/>
      <c r="E34" s="657"/>
      <c r="F34" s="658"/>
      <c r="G34" s="659"/>
      <c r="H34" s="659"/>
      <c r="I34" s="659"/>
      <c r="J34" s="660">
        <f t="shared" si="0"/>
        <v>0</v>
      </c>
      <c r="K34" s="659"/>
      <c r="L34" s="659"/>
      <c r="M34" s="659"/>
      <c r="N34" s="661"/>
    </row>
    <row r="35" spans="1:14" ht="15" x14ac:dyDescent="0.25">
      <c r="A35" s="656"/>
      <c r="B35" s="1646"/>
      <c r="C35" s="1646"/>
      <c r="D35" s="1646"/>
      <c r="E35" s="657"/>
      <c r="F35" s="658"/>
      <c r="G35" s="659"/>
      <c r="H35" s="659"/>
      <c r="I35" s="659"/>
      <c r="J35" s="660">
        <f t="shared" si="0"/>
        <v>0</v>
      </c>
      <c r="K35" s="659"/>
      <c r="L35" s="659"/>
      <c r="M35" s="659"/>
      <c r="N35" s="661"/>
    </row>
    <row r="36" spans="1:14" ht="15" x14ac:dyDescent="0.25">
      <c r="A36" s="656"/>
      <c r="B36" s="1646"/>
      <c r="C36" s="1646"/>
      <c r="D36" s="1646"/>
      <c r="E36" s="657"/>
      <c r="F36" s="658"/>
      <c r="G36" s="659"/>
      <c r="H36" s="659"/>
      <c r="I36" s="659"/>
      <c r="J36" s="660">
        <f t="shared" si="0"/>
        <v>0</v>
      </c>
      <c r="K36" s="659"/>
      <c r="L36" s="659"/>
      <c r="M36" s="659"/>
      <c r="N36" s="661"/>
    </row>
    <row r="37" spans="1:14" ht="15" x14ac:dyDescent="0.25">
      <c r="A37" s="656"/>
      <c r="B37" s="1646"/>
      <c r="C37" s="1646"/>
      <c r="D37" s="1646"/>
      <c r="E37" s="657"/>
      <c r="F37" s="658"/>
      <c r="G37" s="659"/>
      <c r="H37" s="659"/>
      <c r="I37" s="659"/>
      <c r="J37" s="660">
        <f t="shared" si="0"/>
        <v>0</v>
      </c>
      <c r="K37" s="659"/>
      <c r="L37" s="659"/>
      <c r="M37" s="659"/>
      <c r="N37" s="661"/>
    </row>
    <row r="38" spans="1:14" ht="15" x14ac:dyDescent="0.25">
      <c r="A38" s="656"/>
      <c r="B38" s="1646"/>
      <c r="C38" s="1646"/>
      <c r="D38" s="1646"/>
      <c r="E38" s="657"/>
      <c r="F38" s="658"/>
      <c r="G38" s="659"/>
      <c r="H38" s="659"/>
      <c r="I38" s="659"/>
      <c r="J38" s="660">
        <f t="shared" si="0"/>
        <v>0</v>
      </c>
      <c r="K38" s="659"/>
      <c r="L38" s="659"/>
      <c r="M38" s="659"/>
      <c r="N38" s="661"/>
    </row>
    <row r="39" spans="1:14" ht="15" x14ac:dyDescent="0.25">
      <c r="A39" s="656"/>
      <c r="B39" s="1646"/>
      <c r="C39" s="1646"/>
      <c r="D39" s="1646"/>
      <c r="E39" s="657"/>
      <c r="F39" s="658"/>
      <c r="G39" s="659"/>
      <c r="H39" s="659"/>
      <c r="I39" s="659"/>
      <c r="J39" s="660">
        <f t="shared" si="0"/>
        <v>0</v>
      </c>
      <c r="K39" s="659"/>
      <c r="L39" s="659"/>
      <c r="M39" s="659"/>
      <c r="N39" s="661"/>
    </row>
    <row r="40" spans="1:14" ht="15" x14ac:dyDescent="0.25">
      <c r="A40" s="656"/>
      <c r="B40" s="1646"/>
      <c r="C40" s="1646"/>
      <c r="D40" s="1646"/>
      <c r="E40" s="657"/>
      <c r="F40" s="658"/>
      <c r="G40" s="659"/>
      <c r="H40" s="659"/>
      <c r="I40" s="659"/>
      <c r="J40" s="660">
        <f>H40+I40</f>
        <v>0</v>
      </c>
      <c r="K40" s="659"/>
      <c r="L40" s="659"/>
      <c r="M40" s="659"/>
      <c r="N40" s="661"/>
    </row>
    <row r="41" spans="1:14" ht="15" x14ac:dyDescent="0.25">
      <c r="A41" s="656"/>
      <c r="B41" s="1646"/>
      <c r="C41" s="1646"/>
      <c r="D41" s="1646"/>
      <c r="E41" s="657"/>
      <c r="F41" s="658"/>
      <c r="G41" s="659"/>
      <c r="H41" s="659"/>
      <c r="I41" s="659"/>
      <c r="J41" s="660">
        <f t="shared" si="0"/>
        <v>0</v>
      </c>
      <c r="K41" s="659"/>
      <c r="L41" s="659"/>
      <c r="M41" s="659"/>
      <c r="N41" s="661"/>
    </row>
    <row r="42" spans="1:14" ht="15" x14ac:dyDescent="0.25">
      <c r="A42" s="656"/>
      <c r="B42" s="1646"/>
      <c r="C42" s="1646"/>
      <c r="D42" s="1646"/>
      <c r="E42" s="657"/>
      <c r="F42" s="658"/>
      <c r="G42" s="659"/>
      <c r="H42" s="659"/>
      <c r="I42" s="659"/>
      <c r="J42" s="660">
        <f t="shared" si="0"/>
        <v>0</v>
      </c>
      <c r="K42" s="659"/>
      <c r="L42" s="659"/>
      <c r="M42" s="659"/>
      <c r="N42" s="661"/>
    </row>
    <row r="43" spans="1:14" ht="15" x14ac:dyDescent="0.25">
      <c r="A43" s="656"/>
      <c r="B43" s="1646"/>
      <c r="C43" s="1646"/>
      <c r="D43" s="1646"/>
      <c r="E43" s="657"/>
      <c r="F43" s="658"/>
      <c r="G43" s="659"/>
      <c r="H43" s="659"/>
      <c r="I43" s="659"/>
      <c r="J43" s="660">
        <f t="shared" si="0"/>
        <v>0</v>
      </c>
      <c r="K43" s="659"/>
      <c r="L43" s="659"/>
      <c r="M43" s="659"/>
      <c r="N43" s="661"/>
    </row>
    <row r="44" spans="1:14" ht="15" x14ac:dyDescent="0.25">
      <c r="A44" s="656"/>
      <c r="B44" s="1646"/>
      <c r="C44" s="1646"/>
      <c r="D44" s="1646"/>
      <c r="E44" s="657"/>
      <c r="F44" s="658"/>
      <c r="G44" s="659"/>
      <c r="H44" s="659"/>
      <c r="I44" s="659"/>
      <c r="J44" s="660">
        <f t="shared" si="0"/>
        <v>0</v>
      </c>
      <c r="K44" s="659"/>
      <c r="L44" s="659"/>
      <c r="M44" s="659"/>
      <c r="N44" s="661"/>
    </row>
    <row r="45" spans="1:14" ht="15" x14ac:dyDescent="0.25">
      <c r="A45" s="656"/>
      <c r="B45" s="1646"/>
      <c r="C45" s="1646"/>
      <c r="D45" s="1646"/>
      <c r="E45" s="657"/>
      <c r="F45" s="658"/>
      <c r="G45" s="659"/>
      <c r="H45" s="659"/>
      <c r="I45" s="659"/>
      <c r="J45" s="660">
        <f t="shared" si="0"/>
        <v>0</v>
      </c>
      <c r="K45" s="659"/>
      <c r="L45" s="659"/>
      <c r="M45" s="659"/>
      <c r="N45" s="661"/>
    </row>
    <row r="46" spans="1:14" ht="15.75" thickBot="1" x14ac:dyDescent="0.3">
      <c r="A46" s="662"/>
      <c r="B46" s="1647"/>
      <c r="C46" s="1647"/>
      <c r="D46" s="1647"/>
      <c r="E46" s="663"/>
      <c r="F46" s="664"/>
      <c r="G46" s="665"/>
      <c r="H46" s="665"/>
      <c r="I46" s="665"/>
      <c r="J46" s="666">
        <f t="shared" si="0"/>
        <v>0</v>
      </c>
      <c r="K46" s="665"/>
      <c r="L46" s="665"/>
      <c r="M46" s="665"/>
      <c r="N46" s="667"/>
    </row>
    <row r="47" spans="1:14" ht="15.75" thickBot="1" x14ac:dyDescent="0.3">
      <c r="A47" s="1643" t="s">
        <v>849</v>
      </c>
      <c r="B47" s="1644"/>
      <c r="C47" s="1644"/>
      <c r="D47" s="1644"/>
      <c r="E47" s="1644"/>
      <c r="F47" s="1645"/>
      <c r="G47" s="668">
        <f>SUM(G17:G46)</f>
        <v>0</v>
      </c>
      <c r="H47" s="668">
        <f t="shared" ref="H47:N47" si="1">SUM(H17:H46)</f>
        <v>0</v>
      </c>
      <c r="I47" s="668">
        <f t="shared" si="1"/>
        <v>0</v>
      </c>
      <c r="J47" s="668">
        <f t="shared" si="1"/>
        <v>0</v>
      </c>
      <c r="K47" s="668">
        <f t="shared" si="1"/>
        <v>0</v>
      </c>
      <c r="L47" s="668">
        <f t="shared" si="1"/>
        <v>0</v>
      </c>
      <c r="M47" s="668">
        <f t="shared" si="1"/>
        <v>0</v>
      </c>
      <c r="N47" s="669">
        <f t="shared" si="1"/>
        <v>0</v>
      </c>
    </row>
    <row r="48" spans="1:14" ht="15" x14ac:dyDescent="0.25"/>
  </sheetData>
  <mergeCells count="61">
    <mergeCell ref="C6:F6"/>
    <mergeCell ref="H6:I6"/>
    <mergeCell ref="J6:K6"/>
    <mergeCell ref="L6:M6"/>
    <mergeCell ref="A1:J1"/>
    <mergeCell ref="C2:N2"/>
    <mergeCell ref="C3:N3"/>
    <mergeCell ref="C4:N4"/>
    <mergeCell ref="C5:N5"/>
    <mergeCell ref="C7:N7"/>
    <mergeCell ref="C8:N8"/>
    <mergeCell ref="C9:N9"/>
    <mergeCell ref="C10:G10"/>
    <mergeCell ref="I10:K10"/>
    <mergeCell ref="L10:N10"/>
    <mergeCell ref="N15:N16"/>
    <mergeCell ref="B17:D17"/>
    <mergeCell ref="C11:G11"/>
    <mergeCell ref="I11:K11"/>
    <mergeCell ref="L11:N11"/>
    <mergeCell ref="A13:N13"/>
    <mergeCell ref="C14:I14"/>
    <mergeCell ref="A15:A16"/>
    <mergeCell ref="B15:D16"/>
    <mergeCell ref="E15:E16"/>
    <mergeCell ref="F15:F16"/>
    <mergeCell ref="G15:G16"/>
    <mergeCell ref="B23:D23"/>
    <mergeCell ref="H15:J15"/>
    <mergeCell ref="K15:K16"/>
    <mergeCell ref="L15:L16"/>
    <mergeCell ref="M15:M16"/>
    <mergeCell ref="B18:D18"/>
    <mergeCell ref="B19:D19"/>
    <mergeCell ref="B20:D20"/>
    <mergeCell ref="B21:D21"/>
    <mergeCell ref="B22:D22"/>
    <mergeCell ref="B35:D35"/>
    <mergeCell ref="B24:D24"/>
    <mergeCell ref="B25:D25"/>
    <mergeCell ref="B26:D26"/>
    <mergeCell ref="B27:D27"/>
    <mergeCell ref="B28:D28"/>
    <mergeCell ref="B29:D29"/>
    <mergeCell ref="B30:D30"/>
    <mergeCell ref="B31:D31"/>
    <mergeCell ref="B32:D32"/>
    <mergeCell ref="B33:D33"/>
    <mergeCell ref="B34:D34"/>
    <mergeCell ref="A47:F47"/>
    <mergeCell ref="B36:D36"/>
    <mergeCell ref="B37:D37"/>
    <mergeCell ref="B38:D38"/>
    <mergeCell ref="B39:D39"/>
    <mergeCell ref="B40:D40"/>
    <mergeCell ref="B41:D41"/>
    <mergeCell ref="B42:D42"/>
    <mergeCell ref="B43:D43"/>
    <mergeCell ref="B44:D44"/>
    <mergeCell ref="B45:D45"/>
    <mergeCell ref="B46:D46"/>
  </mergeCells>
  <dataValidations count="1">
    <dataValidation type="whole" allowBlank="1" showInputMessage="1" showErrorMessage="1" errorTitle="Attention!" error="Valeur numérique attendue" sqref="G17:I46 K17:N46" xr:uid="{7A73267C-FF3B-4171-9F1B-7E0857F6CE02}">
      <formula1>-9999999999999</formula1>
      <formula2>9999999999999</formula2>
    </dataValidation>
  </dataValidations>
  <pageMargins left="0.7" right="0.7" top="0.75" bottom="0.75" header="0.3" footer="0.3"/>
  <drawing r:id="rId1"/>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493D5E-A0A1-4538-BB5E-CA5C621C1773}">
  <dimension ref="A1:J23"/>
  <sheetViews>
    <sheetView workbookViewId="0">
      <selection sqref="A1:XFD1048576"/>
    </sheetView>
  </sheetViews>
  <sheetFormatPr baseColWidth="10" defaultColWidth="11.42578125" defaultRowHeight="13.9" customHeight="1" x14ac:dyDescent="0.25"/>
  <cols>
    <col min="1" max="1" width="17.28515625" style="481" customWidth="1"/>
    <col min="2" max="2" width="13.85546875" style="481" customWidth="1"/>
    <col min="3" max="3" width="14.5703125" style="481" customWidth="1"/>
    <col min="4" max="4" width="17.140625" style="481" customWidth="1"/>
    <col min="5" max="5" width="15.28515625" style="481" customWidth="1"/>
    <col min="6" max="6" width="11.28515625" style="481" customWidth="1"/>
    <col min="7" max="7" width="13.5703125" style="481" customWidth="1"/>
    <col min="8" max="8" width="9.85546875" style="481" customWidth="1"/>
    <col min="9" max="10" width="8.42578125" style="481" customWidth="1"/>
    <col min="11" max="11" width="11.42578125" style="481"/>
    <col min="12" max="12" width="6.140625" style="481" customWidth="1"/>
    <col min="13" max="16384" width="11.42578125" style="481"/>
  </cols>
  <sheetData>
    <row r="1" spans="1:10" ht="5.25" customHeight="1" x14ac:dyDescent="0.25">
      <c r="A1" s="1514"/>
      <c r="B1" s="1514"/>
      <c r="C1" s="1515"/>
      <c r="D1" s="1515"/>
      <c r="E1" s="1515"/>
      <c r="F1" s="1515"/>
      <c r="G1" s="1515"/>
      <c r="H1" s="1515"/>
      <c r="I1" s="1515"/>
      <c r="J1" s="1515"/>
    </row>
    <row r="2" spans="1:10" ht="15" x14ac:dyDescent="0.25">
      <c r="A2" s="199" t="s">
        <v>361</v>
      </c>
      <c r="B2" s="199"/>
      <c r="C2" s="1505" t="s">
        <v>2</v>
      </c>
      <c r="D2" s="958"/>
      <c r="E2" s="958"/>
      <c r="F2" s="958"/>
      <c r="G2" s="958"/>
      <c r="H2" s="958"/>
      <c r="I2" s="958"/>
      <c r="J2" s="958"/>
    </row>
    <row r="3" spans="1:10" ht="15" customHeight="1" x14ac:dyDescent="0.25">
      <c r="A3" s="199"/>
      <c r="B3" s="199"/>
      <c r="C3" s="1506" t="s">
        <v>4</v>
      </c>
      <c r="D3" s="1506"/>
      <c r="E3" s="1506"/>
      <c r="F3" s="1506"/>
      <c r="G3" s="1506"/>
      <c r="H3" s="1506"/>
      <c r="I3" s="1506"/>
      <c r="J3" s="1506"/>
    </row>
    <row r="4" spans="1:10" ht="15" x14ac:dyDescent="0.25">
      <c r="A4" s="199" t="s">
        <v>362</v>
      </c>
      <c r="B4" s="199"/>
      <c r="C4" s="1506" t="s">
        <v>6</v>
      </c>
      <c r="D4" s="957"/>
      <c r="E4" s="957"/>
      <c r="F4" s="957"/>
      <c r="G4" s="957"/>
      <c r="H4" s="957"/>
      <c r="I4" s="957"/>
      <c r="J4" s="957"/>
    </row>
    <row r="5" spans="1:10" ht="15" customHeight="1" x14ac:dyDescent="0.25">
      <c r="A5" s="199" t="s">
        <v>363</v>
      </c>
      <c r="B5" s="199"/>
      <c r="C5" s="1492">
        <v>4431</v>
      </c>
      <c r="D5" s="1492"/>
      <c r="E5" s="1492"/>
      <c r="F5" s="1492"/>
      <c r="G5" s="1492"/>
      <c r="H5" s="1492"/>
      <c r="I5" s="1492"/>
      <c r="J5" s="1492"/>
    </row>
    <row r="6" spans="1:10" ht="15" x14ac:dyDescent="0.25">
      <c r="A6" s="199" t="s">
        <v>364</v>
      </c>
      <c r="B6" s="199"/>
      <c r="C6" s="957" t="s">
        <v>12</v>
      </c>
      <c r="D6" s="957"/>
      <c r="E6" s="1490" t="s">
        <v>365</v>
      </c>
      <c r="F6" s="1490"/>
      <c r="G6" s="202">
        <v>46022</v>
      </c>
      <c r="H6" s="770" t="s">
        <v>465</v>
      </c>
      <c r="I6" s="770"/>
      <c r="J6" s="235">
        <v>12</v>
      </c>
    </row>
    <row r="7" spans="1:10" ht="15" x14ac:dyDescent="0.25">
      <c r="A7" s="199" t="s">
        <v>367</v>
      </c>
      <c r="B7" s="199"/>
      <c r="C7" s="1487" t="s">
        <v>8</v>
      </c>
      <c r="D7" s="1487"/>
      <c r="E7" s="1487"/>
      <c r="F7" s="1487"/>
      <c r="G7" s="1487"/>
      <c r="H7" s="1487"/>
      <c r="I7" s="1487"/>
      <c r="J7" s="1487"/>
    </row>
    <row r="8" spans="1:10" ht="15" x14ac:dyDescent="0.25">
      <c r="A8" s="199" t="s">
        <v>466</v>
      </c>
      <c r="B8" s="203"/>
      <c r="C8" s="959" t="s">
        <v>34</v>
      </c>
      <c r="D8" s="959"/>
      <c r="E8" s="959"/>
      <c r="F8" s="959"/>
      <c r="G8" s="959"/>
      <c r="H8" s="959"/>
      <c r="I8" s="959"/>
      <c r="J8" s="959"/>
    </row>
    <row r="9" spans="1:10" ht="15" x14ac:dyDescent="0.25">
      <c r="A9" s="198"/>
      <c r="B9" s="203"/>
      <c r="C9" s="770">
        <v>555555</v>
      </c>
      <c r="D9" s="770"/>
      <c r="E9" s="770"/>
      <c r="F9" s="770"/>
      <c r="G9" s="770"/>
      <c r="H9" s="770"/>
      <c r="I9" s="770"/>
      <c r="J9" s="770"/>
    </row>
    <row r="10" spans="1:10" ht="15" x14ac:dyDescent="0.25">
      <c r="A10" s="199" t="s">
        <v>467</v>
      </c>
      <c r="B10" s="203"/>
      <c r="C10" s="770" t="s">
        <v>38</v>
      </c>
      <c r="D10" s="770"/>
      <c r="E10" s="770" t="s">
        <v>468</v>
      </c>
      <c r="F10" s="770"/>
      <c r="G10" s="770"/>
      <c r="H10" s="770" t="s">
        <v>36</v>
      </c>
      <c r="I10" s="770"/>
      <c r="J10" s="770"/>
    </row>
    <row r="11" spans="1:10" ht="15" x14ac:dyDescent="0.25">
      <c r="A11" s="199" t="s">
        <v>469</v>
      </c>
      <c r="B11" s="203"/>
      <c r="C11" s="975">
        <v>44713</v>
      </c>
      <c r="D11" s="975"/>
      <c r="E11" s="770" t="s">
        <v>470</v>
      </c>
      <c r="F11" s="770"/>
      <c r="G11" s="770"/>
      <c r="H11" s="975">
        <v>45991</v>
      </c>
      <c r="I11" s="975"/>
      <c r="J11" s="975"/>
    </row>
    <row r="12" spans="1:10" ht="15.75" thickBot="1" x14ac:dyDescent="0.3">
      <c r="A12" s="24"/>
      <c r="B12" s="24"/>
      <c r="C12" s="24"/>
      <c r="D12" s="24"/>
      <c r="E12" s="24"/>
      <c r="F12" s="24"/>
      <c r="G12" s="24"/>
      <c r="H12" s="24"/>
      <c r="I12" s="24"/>
      <c r="J12" s="24"/>
    </row>
    <row r="13" spans="1:10" ht="15.75" thickBot="1" x14ac:dyDescent="0.3">
      <c r="A13" s="1633" t="s">
        <v>1508</v>
      </c>
      <c r="B13" s="1634"/>
      <c r="C13" s="1634"/>
      <c r="D13" s="1634"/>
      <c r="E13" s="1634"/>
      <c r="F13" s="1634"/>
      <c r="G13" s="1634"/>
      <c r="H13" s="1634"/>
      <c r="I13" s="1634"/>
      <c r="J13" s="1635"/>
    </row>
    <row r="14" spans="1:10" ht="15.75" thickBot="1" x14ac:dyDescent="0.3">
      <c r="A14" s="28"/>
      <c r="B14" s="28"/>
      <c r="C14" s="670"/>
      <c r="D14" s="670"/>
      <c r="E14" s="670"/>
      <c r="F14" s="670"/>
      <c r="G14" s="670"/>
      <c r="H14" s="670"/>
      <c r="I14" s="670"/>
      <c r="J14" s="28"/>
    </row>
    <row r="15" spans="1:10" ht="48.75" thickBot="1" x14ac:dyDescent="0.3">
      <c r="A15" s="1665"/>
      <c r="B15" s="1665"/>
      <c r="C15" s="671" t="s">
        <v>1898</v>
      </c>
      <c r="D15" s="671" t="s">
        <v>1917</v>
      </c>
      <c r="E15" s="671" t="s">
        <v>1918</v>
      </c>
      <c r="F15" s="671" t="s">
        <v>1919</v>
      </c>
      <c r="G15" s="671" t="s">
        <v>632</v>
      </c>
      <c r="H15" s="671" t="s">
        <v>1920</v>
      </c>
      <c r="I15" s="1665" t="s">
        <v>1921</v>
      </c>
      <c r="J15" s="1665"/>
    </row>
    <row r="16" spans="1:10" ht="15" x14ac:dyDescent="0.25">
      <c r="A16" s="1661" t="s">
        <v>1922</v>
      </c>
      <c r="B16" s="1662"/>
      <c r="C16" s="672"/>
      <c r="D16" s="672"/>
      <c r="E16" s="672"/>
      <c r="F16" s="672"/>
      <c r="G16" s="672"/>
      <c r="H16" s="673"/>
      <c r="I16" s="1663"/>
      <c r="J16" s="1664"/>
    </row>
    <row r="17" spans="1:10" ht="15" x14ac:dyDescent="0.25">
      <c r="A17" s="1657" t="s">
        <v>1923</v>
      </c>
      <c r="B17" s="1658"/>
      <c r="C17" s="674"/>
      <c r="D17" s="674"/>
      <c r="E17" s="674"/>
      <c r="F17" s="674"/>
      <c r="G17" s="674"/>
      <c r="H17" s="675"/>
      <c r="I17" s="1659"/>
      <c r="J17" s="1660"/>
    </row>
    <row r="18" spans="1:10" ht="15" x14ac:dyDescent="0.25">
      <c r="A18" s="1657" t="s">
        <v>1924</v>
      </c>
      <c r="B18" s="1658"/>
      <c r="C18" s="674"/>
      <c r="D18" s="674"/>
      <c r="E18" s="674"/>
      <c r="F18" s="674"/>
      <c r="G18" s="674"/>
      <c r="H18" s="675"/>
      <c r="I18" s="1659"/>
      <c r="J18" s="1660"/>
    </row>
    <row r="19" spans="1:10" ht="15" x14ac:dyDescent="0.25">
      <c r="A19" s="1657" t="s">
        <v>1925</v>
      </c>
      <c r="B19" s="1658"/>
      <c r="C19" s="674"/>
      <c r="D19" s="674"/>
      <c r="E19" s="674"/>
      <c r="F19" s="674"/>
      <c r="G19" s="674"/>
      <c r="H19" s="675"/>
      <c r="I19" s="1659"/>
      <c r="J19" s="1660"/>
    </row>
    <row r="20" spans="1:10" ht="15" x14ac:dyDescent="0.25">
      <c r="A20" s="1657" t="s">
        <v>1926</v>
      </c>
      <c r="B20" s="1658"/>
      <c r="C20" s="674"/>
      <c r="D20" s="674"/>
      <c r="E20" s="674"/>
      <c r="F20" s="674"/>
      <c r="G20" s="674"/>
      <c r="H20" s="675"/>
      <c r="I20" s="1659"/>
      <c r="J20" s="1660"/>
    </row>
    <row r="21" spans="1:10" ht="15" x14ac:dyDescent="0.25">
      <c r="A21" s="1657" t="s">
        <v>1927</v>
      </c>
      <c r="B21" s="1658"/>
      <c r="C21" s="674"/>
      <c r="D21" s="674"/>
      <c r="E21" s="674"/>
      <c r="F21" s="674"/>
      <c r="G21" s="674"/>
      <c r="H21" s="675"/>
      <c r="I21" s="1659"/>
      <c r="J21" s="1660"/>
    </row>
    <row r="22" spans="1:10" ht="15.75" thickBot="1" x14ac:dyDescent="0.3">
      <c r="A22" s="676" t="s">
        <v>1928</v>
      </c>
      <c r="B22" s="677"/>
      <c r="C22" s="678">
        <f>SUM(C16:E21)</f>
        <v>0</v>
      </c>
      <c r="D22" s="678">
        <f>SUM(D16:G21)</f>
        <v>0</v>
      </c>
      <c r="E22" s="678">
        <f>SUM(E16:I21)</f>
        <v>0</v>
      </c>
      <c r="F22" s="678">
        <f>SUM(F16:J21)</f>
        <v>0</v>
      </c>
      <c r="G22" s="678">
        <f>SUM(G16:J21)</f>
        <v>0</v>
      </c>
      <c r="H22" s="678"/>
      <c r="I22" s="1655">
        <f>SUM(I16:J21)</f>
        <v>0</v>
      </c>
      <c r="J22" s="1656"/>
    </row>
    <row r="23" spans="1:10" ht="15" x14ac:dyDescent="0.25"/>
  </sheetData>
  <mergeCells count="33">
    <mergeCell ref="C6:D6"/>
    <mergeCell ref="E6:F6"/>
    <mergeCell ref="H6:I6"/>
    <mergeCell ref="A1:J1"/>
    <mergeCell ref="C2:J2"/>
    <mergeCell ref="C3:J3"/>
    <mergeCell ref="C4:J4"/>
    <mergeCell ref="C5:J5"/>
    <mergeCell ref="C7:J7"/>
    <mergeCell ref="C8:J8"/>
    <mergeCell ref="C9:J9"/>
    <mergeCell ref="C10:D10"/>
    <mergeCell ref="E10:G10"/>
    <mergeCell ref="H10:J10"/>
    <mergeCell ref="C11:D11"/>
    <mergeCell ref="E11:G11"/>
    <mergeCell ref="H11:J11"/>
    <mergeCell ref="A13:J13"/>
    <mergeCell ref="A15:B15"/>
    <mergeCell ref="I15:J15"/>
    <mergeCell ref="A16:B16"/>
    <mergeCell ref="I16:J16"/>
    <mergeCell ref="A17:B17"/>
    <mergeCell ref="I17:J17"/>
    <mergeCell ref="A18:B18"/>
    <mergeCell ref="I18:J18"/>
    <mergeCell ref="I22:J22"/>
    <mergeCell ref="A19:B19"/>
    <mergeCell ref="I19:J19"/>
    <mergeCell ref="A20:B20"/>
    <mergeCell ref="I20:J20"/>
    <mergeCell ref="A21:B21"/>
    <mergeCell ref="I21:J21"/>
  </mergeCells>
  <dataValidations count="1">
    <dataValidation type="whole" allowBlank="1" showInputMessage="1" showErrorMessage="1" errorTitle="Attention!" error="Valeur numérique attendue" sqref="C16:G21 I16:I21" xr:uid="{A6FA028C-518A-4F6A-A120-1485871F7445}">
      <formula1>-9999999999999</formula1>
      <formula2>9999999999999</formula2>
    </dataValidation>
  </dataValidations>
  <pageMargins left="0.7" right="0.7" top="0.75" bottom="0.75" header="0.3" footer="0.3"/>
  <drawing r:id="rId1"/>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517AAB-A9B5-413E-8923-4E1F2CBDA1FD}">
  <dimension ref="A1:J42"/>
  <sheetViews>
    <sheetView workbookViewId="0">
      <selection activeCell="G12" sqref="G12"/>
    </sheetView>
  </sheetViews>
  <sheetFormatPr baseColWidth="10" defaultColWidth="11.42578125" defaultRowHeight="13.9" customHeight="1" x14ac:dyDescent="0.25"/>
  <cols>
    <col min="1" max="1" width="11.42578125" style="481"/>
    <col min="2" max="2" width="18" style="481" customWidth="1"/>
    <col min="3" max="3" width="11.42578125" style="481"/>
    <col min="4" max="4" width="4.5703125" style="481" customWidth="1"/>
    <col min="5" max="5" width="4.42578125" style="481" customWidth="1"/>
    <col min="6" max="6" width="11.42578125" style="481"/>
    <col min="7" max="8" width="15.85546875" style="481" customWidth="1"/>
    <col min="9" max="9" width="9.7109375" style="481" customWidth="1"/>
    <col min="10" max="10" width="8.42578125" style="481" customWidth="1"/>
    <col min="11" max="11" width="8.140625" style="481" customWidth="1"/>
    <col min="12" max="12" width="9.42578125" style="481" customWidth="1"/>
    <col min="13" max="16384" width="11.42578125" style="481"/>
  </cols>
  <sheetData>
    <row r="1" spans="1:10" ht="10.5" customHeight="1" x14ac:dyDescent="0.25">
      <c r="A1" s="1514"/>
      <c r="B1" s="1514"/>
      <c r="C1" s="1515"/>
      <c r="D1" s="1515"/>
      <c r="E1" s="1515"/>
      <c r="F1" s="1515"/>
      <c r="G1" s="1515"/>
      <c r="H1" s="1515"/>
      <c r="I1" s="1515"/>
      <c r="J1" s="1515"/>
    </row>
    <row r="2" spans="1:10" ht="15" x14ac:dyDescent="0.25">
      <c r="A2" s="199" t="s">
        <v>361</v>
      </c>
      <c r="B2" s="199"/>
      <c r="C2" s="1505" t="s">
        <v>2</v>
      </c>
      <c r="D2" s="958"/>
      <c r="E2" s="958"/>
      <c r="F2" s="958"/>
      <c r="G2" s="958"/>
      <c r="H2" s="958"/>
      <c r="I2" s="958"/>
      <c r="J2" s="958"/>
    </row>
    <row r="3" spans="1:10" ht="15" customHeight="1" x14ac:dyDescent="0.25">
      <c r="A3" s="199"/>
      <c r="B3" s="199"/>
      <c r="C3" s="1506" t="s">
        <v>4</v>
      </c>
      <c r="D3" s="1506"/>
      <c r="E3" s="1506"/>
      <c r="F3" s="1506"/>
      <c r="G3" s="1506"/>
      <c r="H3" s="1506"/>
      <c r="I3" s="1506"/>
      <c r="J3" s="1506"/>
    </row>
    <row r="4" spans="1:10" ht="15" x14ac:dyDescent="0.25">
      <c r="A4" s="199" t="s">
        <v>362</v>
      </c>
      <c r="B4" s="199"/>
      <c r="C4" s="1506" t="s">
        <v>6</v>
      </c>
      <c r="D4" s="957"/>
      <c r="E4" s="957"/>
      <c r="F4" s="957"/>
      <c r="G4" s="957"/>
      <c r="H4" s="957"/>
      <c r="I4" s="957"/>
      <c r="J4" s="957"/>
    </row>
    <row r="5" spans="1:10" ht="15" customHeight="1" x14ac:dyDescent="0.25">
      <c r="A5" s="199" t="s">
        <v>363</v>
      </c>
      <c r="B5" s="199"/>
      <c r="C5" s="1492">
        <v>4431</v>
      </c>
      <c r="D5" s="1492"/>
      <c r="E5" s="1492"/>
      <c r="F5" s="1492"/>
      <c r="G5" s="1492"/>
      <c r="H5" s="1492"/>
      <c r="I5" s="1492"/>
      <c r="J5" s="1492"/>
    </row>
    <row r="6" spans="1:10" ht="15" x14ac:dyDescent="0.25">
      <c r="A6" s="199" t="s">
        <v>364</v>
      </c>
      <c r="B6" s="199"/>
      <c r="C6" s="957" t="s">
        <v>12</v>
      </c>
      <c r="D6" s="957"/>
      <c r="E6" s="1490" t="s">
        <v>365</v>
      </c>
      <c r="F6" s="1490"/>
      <c r="G6" s="202">
        <v>46022</v>
      </c>
      <c r="H6" s="770" t="s">
        <v>465</v>
      </c>
      <c r="I6" s="770"/>
      <c r="J6" s="235">
        <v>12</v>
      </c>
    </row>
    <row r="7" spans="1:10" ht="15" x14ac:dyDescent="0.25">
      <c r="A7" s="199" t="s">
        <v>367</v>
      </c>
      <c r="B7" s="199"/>
      <c r="C7" s="1487" t="s">
        <v>8</v>
      </c>
      <c r="D7" s="1487"/>
      <c r="E7" s="1487"/>
      <c r="F7" s="1487"/>
      <c r="G7" s="1487"/>
      <c r="H7" s="1487"/>
      <c r="I7" s="1487"/>
      <c r="J7" s="1487"/>
    </row>
    <row r="8" spans="1:10" ht="15" x14ac:dyDescent="0.25">
      <c r="A8" s="199" t="s">
        <v>466</v>
      </c>
      <c r="B8" s="203"/>
      <c r="C8" s="959" t="s">
        <v>34</v>
      </c>
      <c r="D8" s="959"/>
      <c r="E8" s="959"/>
      <c r="F8" s="959"/>
      <c r="G8" s="959"/>
      <c r="H8" s="959"/>
      <c r="I8" s="959"/>
      <c r="J8" s="959"/>
    </row>
    <row r="9" spans="1:10" ht="15" x14ac:dyDescent="0.25">
      <c r="A9" s="198"/>
      <c r="B9" s="203"/>
      <c r="C9" s="770">
        <v>555555</v>
      </c>
      <c r="D9" s="770"/>
      <c r="E9" s="770"/>
      <c r="F9" s="770"/>
      <c r="G9" s="770"/>
      <c r="H9" s="770"/>
      <c r="I9" s="770"/>
      <c r="J9" s="770"/>
    </row>
    <row r="10" spans="1:10" ht="15" x14ac:dyDescent="0.25">
      <c r="A10" s="199" t="s">
        <v>467</v>
      </c>
      <c r="B10" s="203"/>
      <c r="C10" s="770" t="s">
        <v>38</v>
      </c>
      <c r="D10" s="770"/>
      <c r="E10" s="770" t="s">
        <v>468</v>
      </c>
      <c r="F10" s="770"/>
      <c r="G10" s="770"/>
      <c r="H10" s="770" t="s">
        <v>36</v>
      </c>
      <c r="I10" s="770"/>
      <c r="J10" s="770"/>
    </row>
    <row r="11" spans="1:10" ht="15" x14ac:dyDescent="0.25">
      <c r="A11" s="199" t="s">
        <v>469</v>
      </c>
      <c r="B11" s="203"/>
      <c r="C11" s="975">
        <v>44713</v>
      </c>
      <c r="D11" s="975"/>
      <c r="E11" s="770" t="s">
        <v>470</v>
      </c>
      <c r="F11" s="770"/>
      <c r="G11" s="770"/>
      <c r="H11" s="975">
        <v>45991</v>
      </c>
      <c r="I11" s="975"/>
      <c r="J11" s="975"/>
    </row>
    <row r="12" spans="1:10" ht="8.4499999999999993" customHeight="1" thickBot="1" x14ac:dyDescent="0.3">
      <c r="A12" s="24"/>
      <c r="B12" s="24"/>
      <c r="C12" s="24"/>
      <c r="D12" s="24"/>
      <c r="E12" s="24"/>
      <c r="F12" s="24"/>
      <c r="G12" s="24"/>
      <c r="H12" s="24"/>
      <c r="I12" s="24"/>
      <c r="J12" s="24"/>
    </row>
    <row r="13" spans="1:10" ht="15.75" thickBot="1" x14ac:dyDescent="0.3">
      <c r="A13" s="1692" t="s">
        <v>1929</v>
      </c>
      <c r="B13" s="1634"/>
      <c r="C13" s="1634"/>
      <c r="D13" s="1634"/>
      <c r="E13" s="1634"/>
      <c r="F13" s="1634"/>
      <c r="G13" s="1634"/>
      <c r="H13" s="1634"/>
      <c r="I13" s="1634"/>
      <c r="J13" s="1635"/>
    </row>
    <row r="14" spans="1:10" ht="6" customHeight="1" thickBot="1" x14ac:dyDescent="0.3">
      <c r="A14" s="28"/>
      <c r="B14" s="28"/>
      <c r="C14" s="1636"/>
      <c r="D14" s="1636"/>
      <c r="E14" s="1636"/>
      <c r="F14" s="1636"/>
      <c r="G14" s="1636"/>
      <c r="H14" s="1636"/>
      <c r="I14" s="1636"/>
      <c r="J14" s="28"/>
    </row>
    <row r="15" spans="1:10" ht="22.5" customHeight="1" x14ac:dyDescent="0.25">
      <c r="A15" s="1688"/>
      <c r="B15" s="1689"/>
      <c r="C15" s="1689"/>
      <c r="D15" s="1689"/>
      <c r="E15" s="1689"/>
      <c r="F15" s="1689"/>
      <c r="G15" s="1689"/>
      <c r="H15" s="679" t="s">
        <v>1930</v>
      </c>
      <c r="I15" s="1690" t="s">
        <v>1931</v>
      </c>
      <c r="J15" s="1691"/>
    </row>
    <row r="16" spans="1:10" ht="15" x14ac:dyDescent="0.25">
      <c r="A16" s="1680" t="s">
        <v>1932</v>
      </c>
      <c r="B16" s="1681"/>
      <c r="C16" s="1681"/>
      <c r="D16" s="1681"/>
      <c r="E16" s="1681"/>
      <c r="F16" s="1681"/>
      <c r="G16" s="1681"/>
      <c r="H16" s="1681"/>
      <c r="I16" s="1681"/>
      <c r="J16" s="1682"/>
    </row>
    <row r="17" spans="1:10" ht="15" x14ac:dyDescent="0.25">
      <c r="A17" s="1668" t="s">
        <v>1933</v>
      </c>
      <c r="B17" s="1669"/>
      <c r="C17" s="1669"/>
      <c r="D17" s="1669"/>
      <c r="E17" s="1669"/>
      <c r="F17" s="1669"/>
      <c r="G17" s="1669"/>
      <c r="H17" s="680"/>
      <c r="I17" s="1670"/>
      <c r="J17" s="1671"/>
    </row>
    <row r="18" spans="1:10" ht="15" x14ac:dyDescent="0.25">
      <c r="A18" s="1683" t="s">
        <v>1934</v>
      </c>
      <c r="B18" s="1684"/>
      <c r="C18" s="1684"/>
      <c r="D18" s="1684"/>
      <c r="E18" s="1684"/>
      <c r="F18" s="1684"/>
      <c r="G18" s="1685"/>
      <c r="H18" s="680"/>
      <c r="I18" s="1686"/>
      <c r="J18" s="1687"/>
    </row>
    <row r="19" spans="1:10" ht="15" x14ac:dyDescent="0.25">
      <c r="A19" s="1683" t="s">
        <v>1935</v>
      </c>
      <c r="B19" s="1684"/>
      <c r="C19" s="1684"/>
      <c r="D19" s="1684"/>
      <c r="E19" s="1684"/>
      <c r="F19" s="1684"/>
      <c r="G19" s="1685"/>
      <c r="H19" s="680"/>
      <c r="I19" s="1686"/>
      <c r="J19" s="1687"/>
    </row>
    <row r="20" spans="1:10" ht="15" x14ac:dyDescent="0.25">
      <c r="A20" s="1680" t="s">
        <v>1936</v>
      </c>
      <c r="B20" s="1681"/>
      <c r="C20" s="1681"/>
      <c r="D20" s="1681"/>
      <c r="E20" s="1681"/>
      <c r="F20" s="1681"/>
      <c r="G20" s="1681"/>
      <c r="H20" s="1681"/>
      <c r="I20" s="1681"/>
      <c r="J20" s="1682"/>
    </row>
    <row r="21" spans="1:10" ht="15" x14ac:dyDescent="0.25">
      <c r="A21" s="1668" t="s">
        <v>1937</v>
      </c>
      <c r="B21" s="1669"/>
      <c r="C21" s="1669"/>
      <c r="D21" s="1669"/>
      <c r="E21" s="1669"/>
      <c r="F21" s="1669"/>
      <c r="G21" s="1669"/>
      <c r="H21" s="680"/>
      <c r="I21" s="1670"/>
      <c r="J21" s="1671"/>
    </row>
    <row r="22" spans="1:10" ht="15" x14ac:dyDescent="0.25">
      <c r="A22" s="1668" t="s">
        <v>1938</v>
      </c>
      <c r="B22" s="1669"/>
      <c r="C22" s="1669"/>
      <c r="D22" s="1669"/>
      <c r="E22" s="1669"/>
      <c r="F22" s="1669"/>
      <c r="G22" s="1669"/>
      <c r="H22" s="680"/>
      <c r="I22" s="1670"/>
      <c r="J22" s="1671"/>
    </row>
    <row r="23" spans="1:10" ht="15" x14ac:dyDescent="0.25">
      <c r="A23" s="1668" t="s">
        <v>1939</v>
      </c>
      <c r="B23" s="1669"/>
      <c r="C23" s="1669"/>
      <c r="D23" s="1669"/>
      <c r="E23" s="1669"/>
      <c r="F23" s="1669"/>
      <c r="G23" s="1669"/>
      <c r="H23" s="680"/>
      <c r="I23" s="1670"/>
      <c r="J23" s="1671"/>
    </row>
    <row r="24" spans="1:10" ht="15" x14ac:dyDescent="0.25">
      <c r="A24" s="1668" t="s">
        <v>1940</v>
      </c>
      <c r="B24" s="1669"/>
      <c r="C24" s="1669"/>
      <c r="D24" s="1669"/>
      <c r="E24" s="1669"/>
      <c r="F24" s="1669"/>
      <c r="G24" s="1669"/>
      <c r="H24" s="680"/>
      <c r="I24" s="1670"/>
      <c r="J24" s="1671"/>
    </row>
    <row r="25" spans="1:10" ht="15" x14ac:dyDescent="0.25">
      <c r="A25" s="1668" t="s">
        <v>1941</v>
      </c>
      <c r="B25" s="1669"/>
      <c r="C25" s="1669"/>
      <c r="D25" s="1669"/>
      <c r="E25" s="1669"/>
      <c r="F25" s="1669"/>
      <c r="G25" s="1669"/>
      <c r="H25" s="680"/>
      <c r="I25" s="1670"/>
      <c r="J25" s="1671"/>
    </row>
    <row r="26" spans="1:10" ht="15" x14ac:dyDescent="0.25">
      <c r="A26" s="1668" t="s">
        <v>1942</v>
      </c>
      <c r="B26" s="1669"/>
      <c r="C26" s="1669"/>
      <c r="D26" s="1669"/>
      <c r="E26" s="1669"/>
      <c r="F26" s="1669"/>
      <c r="G26" s="1669"/>
      <c r="H26" s="680"/>
      <c r="I26" s="1670"/>
      <c r="J26" s="1671"/>
    </row>
    <row r="27" spans="1:10" ht="15" x14ac:dyDescent="0.25">
      <c r="A27" s="1668" t="s">
        <v>1943</v>
      </c>
      <c r="B27" s="1669"/>
      <c r="C27" s="1669"/>
      <c r="D27" s="1669"/>
      <c r="E27" s="1669"/>
      <c r="F27" s="1669"/>
      <c r="G27" s="1669"/>
      <c r="H27" s="680"/>
      <c r="I27" s="1670"/>
      <c r="J27" s="1671"/>
    </row>
    <row r="28" spans="1:10" ht="15" x14ac:dyDescent="0.25">
      <c r="A28" s="1672" t="s">
        <v>1944</v>
      </c>
      <c r="B28" s="1673"/>
      <c r="C28" s="1673"/>
      <c r="D28" s="1673"/>
      <c r="E28" s="1673"/>
      <c r="F28" s="1673"/>
      <c r="G28" s="1673"/>
      <c r="H28" s="681"/>
      <c r="I28" s="1674"/>
      <c r="J28" s="1675"/>
    </row>
    <row r="29" spans="1:10" ht="15.75" customHeight="1" thickBot="1" x14ac:dyDescent="0.3">
      <c r="A29" s="1676" t="s">
        <v>824</v>
      </c>
      <c r="B29" s="1677"/>
      <c r="C29" s="1677"/>
      <c r="D29" s="1677"/>
      <c r="E29" s="1677"/>
      <c r="F29" s="1677"/>
      <c r="G29" s="1677"/>
      <c r="H29" s="682">
        <f>SUM(H17:H19)+SUM(H21:H28)</f>
        <v>0</v>
      </c>
      <c r="I29" s="1678">
        <f>SUM(I17:J19)+SUM(I21:J28)</f>
        <v>0</v>
      </c>
      <c r="J29" s="1679"/>
    </row>
    <row r="30" spans="1:10" ht="11.45" customHeight="1" x14ac:dyDescent="0.25">
      <c r="A30" s="28"/>
      <c r="B30" s="28"/>
      <c r="C30" s="28"/>
      <c r="D30" s="28"/>
      <c r="E30" s="28"/>
      <c r="F30" s="28"/>
      <c r="G30" s="28"/>
      <c r="H30" s="28"/>
      <c r="I30" s="28"/>
      <c r="J30" s="28"/>
    </row>
    <row r="31" spans="1:10" ht="15" x14ac:dyDescent="0.25">
      <c r="A31" s="1374" t="s">
        <v>1945</v>
      </c>
      <c r="B31" s="1374"/>
      <c r="C31" s="1374"/>
      <c r="D31" s="1374"/>
      <c r="E31" s="1374"/>
      <c r="F31" s="1374"/>
      <c r="G31" s="1374"/>
      <c r="H31" s="1374"/>
      <c r="I31" s="1374"/>
      <c r="J31" s="1374"/>
    </row>
    <row r="32" spans="1:10" ht="15" x14ac:dyDescent="0.25">
      <c r="A32" s="1374" t="s">
        <v>1946</v>
      </c>
      <c r="B32" s="1374"/>
      <c r="C32" s="1374"/>
      <c r="D32" s="1374"/>
      <c r="E32" s="1374"/>
      <c r="F32" s="1374"/>
      <c r="G32" s="1374" t="s">
        <v>1947</v>
      </c>
      <c r="H32" s="1374"/>
      <c r="I32" s="1374" t="s">
        <v>1948</v>
      </c>
      <c r="J32" s="1374"/>
    </row>
    <row r="33" spans="1:10" ht="15" x14ac:dyDescent="0.25">
      <c r="A33" s="1666"/>
      <c r="B33" s="1666"/>
      <c r="C33" s="1666"/>
      <c r="D33" s="1666"/>
      <c r="E33" s="1666"/>
      <c r="F33" s="1666"/>
      <c r="G33" s="1667"/>
      <c r="H33" s="1667"/>
      <c r="I33" s="1666"/>
      <c r="J33" s="1666"/>
    </row>
    <row r="34" spans="1:10" ht="15" x14ac:dyDescent="0.25">
      <c r="A34" s="1666"/>
      <c r="B34" s="1666"/>
      <c r="C34" s="1666"/>
      <c r="D34" s="1666"/>
      <c r="E34" s="1666"/>
      <c r="F34" s="1666"/>
      <c r="G34" s="1667"/>
      <c r="H34" s="1667"/>
      <c r="I34" s="1666"/>
      <c r="J34" s="1666"/>
    </row>
    <row r="35" spans="1:10" ht="15" x14ac:dyDescent="0.25">
      <c r="A35" s="1666"/>
      <c r="B35" s="1666"/>
      <c r="C35" s="1666"/>
      <c r="D35" s="1666"/>
      <c r="E35" s="1666"/>
      <c r="F35" s="1666"/>
      <c r="G35" s="1667"/>
      <c r="H35" s="1667"/>
      <c r="I35" s="1666"/>
      <c r="J35" s="1666"/>
    </row>
    <row r="36" spans="1:10" ht="15" x14ac:dyDescent="0.25">
      <c r="A36" s="1666"/>
      <c r="B36" s="1666"/>
      <c r="C36" s="1666"/>
      <c r="D36" s="1666"/>
      <c r="E36" s="1666"/>
      <c r="F36" s="1666"/>
      <c r="G36" s="1667"/>
      <c r="H36" s="1667"/>
      <c r="I36" s="1666"/>
      <c r="J36" s="1666"/>
    </row>
    <row r="37" spans="1:10" ht="15" hidden="1" x14ac:dyDescent="0.25">
      <c r="A37" s="1666"/>
      <c r="B37" s="1666"/>
      <c r="C37" s="1666"/>
      <c r="D37" s="1666"/>
      <c r="E37" s="1666"/>
      <c r="F37" s="1666"/>
      <c r="G37" s="1667"/>
      <c r="H37" s="1667"/>
      <c r="I37" s="1666"/>
      <c r="J37" s="1666"/>
    </row>
    <row r="38" spans="1:10" ht="15" x14ac:dyDescent="0.25">
      <c r="A38" s="1666"/>
      <c r="B38" s="1666"/>
      <c r="C38" s="1666"/>
      <c r="D38" s="1666"/>
      <c r="E38" s="1666"/>
      <c r="F38" s="1666"/>
      <c r="G38" s="1667"/>
      <c r="H38" s="1667"/>
      <c r="I38" s="1666"/>
      <c r="J38" s="1666"/>
    </row>
    <row r="39" spans="1:10" ht="15" x14ac:dyDescent="0.25">
      <c r="A39" s="1666"/>
      <c r="B39" s="1666"/>
      <c r="C39" s="1666"/>
      <c r="D39" s="1666"/>
      <c r="E39" s="1666"/>
      <c r="F39" s="1666"/>
      <c r="G39" s="1667"/>
      <c r="H39" s="1667"/>
      <c r="I39" s="1666"/>
      <c r="J39" s="1666"/>
    </row>
    <row r="40" spans="1:10" ht="15" x14ac:dyDescent="0.25">
      <c r="A40" s="1666"/>
      <c r="B40" s="1666"/>
      <c r="C40" s="1666"/>
      <c r="D40" s="1666"/>
      <c r="E40" s="1666"/>
      <c r="F40" s="1666"/>
      <c r="G40" s="1667"/>
      <c r="H40" s="1667"/>
      <c r="I40" s="1666"/>
      <c r="J40" s="1666"/>
    </row>
    <row r="41" spans="1:10" ht="15" x14ac:dyDescent="0.25">
      <c r="A41" s="1666"/>
      <c r="B41" s="1666"/>
      <c r="C41" s="1666"/>
      <c r="D41" s="1666"/>
      <c r="E41" s="1666"/>
      <c r="F41" s="1666"/>
      <c r="G41" s="1667"/>
      <c r="H41" s="1667"/>
      <c r="I41" s="1666"/>
      <c r="J41" s="1666"/>
    </row>
    <row r="42" spans="1:10" ht="9" customHeight="1" x14ac:dyDescent="0.25"/>
  </sheetData>
  <mergeCells count="78">
    <mergeCell ref="C6:D6"/>
    <mergeCell ref="E6:F6"/>
    <mergeCell ref="H6:I6"/>
    <mergeCell ref="A1:J1"/>
    <mergeCell ref="C2:J2"/>
    <mergeCell ref="C3:J3"/>
    <mergeCell ref="C4:J4"/>
    <mergeCell ref="C5:J5"/>
    <mergeCell ref="A15:G15"/>
    <mergeCell ref="I15:J15"/>
    <mergeCell ref="C7:J7"/>
    <mergeCell ref="C8:J8"/>
    <mergeCell ref="C9:J9"/>
    <mergeCell ref="C10:D10"/>
    <mergeCell ref="E10:G10"/>
    <mergeCell ref="H10:J10"/>
    <mergeCell ref="C11:D11"/>
    <mergeCell ref="E11:G11"/>
    <mergeCell ref="H11:J11"/>
    <mergeCell ref="A13:J13"/>
    <mergeCell ref="C14:I14"/>
    <mergeCell ref="A23:G23"/>
    <mergeCell ref="I23:J23"/>
    <mergeCell ref="A16:J16"/>
    <mergeCell ref="A17:G17"/>
    <mergeCell ref="I17:J17"/>
    <mergeCell ref="A18:G18"/>
    <mergeCell ref="I18:J18"/>
    <mergeCell ref="A19:G19"/>
    <mergeCell ref="I19:J19"/>
    <mergeCell ref="A20:J20"/>
    <mergeCell ref="A21:G21"/>
    <mergeCell ref="I21:J21"/>
    <mergeCell ref="A22:G22"/>
    <mergeCell ref="I22:J22"/>
    <mergeCell ref="A24:G24"/>
    <mergeCell ref="I24:J24"/>
    <mergeCell ref="A25:G25"/>
    <mergeCell ref="I25:J25"/>
    <mergeCell ref="A26:G26"/>
    <mergeCell ref="I26:J26"/>
    <mergeCell ref="A27:G27"/>
    <mergeCell ref="I27:J27"/>
    <mergeCell ref="A28:G28"/>
    <mergeCell ref="I28:J28"/>
    <mergeCell ref="A29:G29"/>
    <mergeCell ref="I29:J29"/>
    <mergeCell ref="A31:J31"/>
    <mergeCell ref="A32:F32"/>
    <mergeCell ref="G32:H32"/>
    <mergeCell ref="I32:J32"/>
    <mergeCell ref="A33:F33"/>
    <mergeCell ref="G33:H33"/>
    <mergeCell ref="I33:J33"/>
    <mergeCell ref="A34:F34"/>
    <mergeCell ref="G34:H34"/>
    <mergeCell ref="I34:J34"/>
    <mergeCell ref="A35:F35"/>
    <mergeCell ref="G35:H35"/>
    <mergeCell ref="I35:J35"/>
    <mergeCell ref="A36:F36"/>
    <mergeCell ref="G36:H36"/>
    <mergeCell ref="I36:J36"/>
    <mergeCell ref="A37:F37"/>
    <mergeCell ref="G37:H37"/>
    <mergeCell ref="I37:J37"/>
    <mergeCell ref="A38:F38"/>
    <mergeCell ref="G38:H38"/>
    <mergeCell ref="I38:J38"/>
    <mergeCell ref="A39:F39"/>
    <mergeCell ref="G39:H39"/>
    <mergeCell ref="I39:J39"/>
    <mergeCell ref="A40:F40"/>
    <mergeCell ref="G40:H40"/>
    <mergeCell ref="I40:J40"/>
    <mergeCell ref="A41:F41"/>
    <mergeCell ref="G41:H41"/>
    <mergeCell ref="I41:J41"/>
  </mergeCells>
  <dataValidations count="1">
    <dataValidation type="whole" allowBlank="1" showInputMessage="1" showErrorMessage="1" errorTitle="Attention!" error="Valeur numérique attendue" sqref="H17:I19 H21:I28" xr:uid="{81DD1BE9-B1D0-4279-BE9A-7C95E6A44239}">
      <formula1>-9999999999999</formula1>
      <formula2>9999999999999</formula2>
    </dataValidation>
  </dataValidations>
  <pageMargins left="0.7" right="0.7" top="0.75" bottom="0.75" header="0.3" footer="0.3"/>
  <drawing r:id="rId1"/>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5EAA2-D08A-4172-9892-4EBD7393046F}">
  <dimension ref="A1:J52"/>
  <sheetViews>
    <sheetView workbookViewId="0">
      <selection sqref="A1:XFD1048576"/>
    </sheetView>
  </sheetViews>
  <sheetFormatPr baseColWidth="10" defaultColWidth="11.42578125" defaultRowHeight="13.9" customHeight="1" x14ac:dyDescent="0.25"/>
  <cols>
    <col min="1" max="1" width="11.42578125" style="481"/>
    <col min="2" max="2" width="19" style="481" customWidth="1"/>
    <col min="3" max="3" width="11.42578125" style="481"/>
    <col min="4" max="4" width="14" style="481" customWidth="1"/>
    <col min="5" max="5" width="9.140625" style="481" customWidth="1"/>
    <col min="6" max="6" width="11.42578125" style="481"/>
    <col min="7" max="7" width="13.42578125" style="481" customWidth="1"/>
    <col min="8" max="8" width="8.42578125" style="481" customWidth="1"/>
    <col min="9" max="9" width="15.42578125" style="481" customWidth="1"/>
    <col min="10" max="10" width="8.42578125" style="481" customWidth="1"/>
    <col min="11" max="11" width="8.140625" style="481" customWidth="1"/>
    <col min="12" max="12" width="10.42578125" style="481" customWidth="1"/>
    <col min="13" max="16384" width="11.42578125" style="481"/>
  </cols>
  <sheetData>
    <row r="1" spans="1:10" ht="10.5" customHeight="1" x14ac:dyDescent="0.25">
      <c r="A1" s="1514"/>
      <c r="B1" s="1514"/>
      <c r="C1" s="1515"/>
      <c r="D1" s="1515"/>
      <c r="E1" s="1515"/>
      <c r="F1" s="1515"/>
      <c r="G1" s="1515"/>
      <c r="H1" s="1515"/>
      <c r="I1" s="1515"/>
      <c r="J1" s="1515"/>
    </row>
    <row r="2" spans="1:10" ht="15" x14ac:dyDescent="0.25">
      <c r="A2" s="199" t="s">
        <v>361</v>
      </c>
      <c r="B2" s="199"/>
      <c r="C2" s="1505" t="s">
        <v>2</v>
      </c>
      <c r="D2" s="958"/>
      <c r="E2" s="958"/>
      <c r="F2" s="958"/>
      <c r="G2" s="958"/>
      <c r="H2" s="958"/>
      <c r="I2" s="958"/>
      <c r="J2" s="958"/>
    </row>
    <row r="3" spans="1:10" ht="15" customHeight="1" x14ac:dyDescent="0.25">
      <c r="A3" s="199"/>
      <c r="B3" s="199"/>
      <c r="C3" s="1506" t="s">
        <v>4</v>
      </c>
      <c r="D3" s="1506"/>
      <c r="E3" s="1506"/>
      <c r="F3" s="1506"/>
      <c r="G3" s="1506"/>
      <c r="H3" s="1506"/>
      <c r="I3" s="1506"/>
      <c r="J3" s="1506"/>
    </row>
    <row r="4" spans="1:10" ht="15" x14ac:dyDescent="0.25">
      <c r="A4" s="199" t="s">
        <v>362</v>
      </c>
      <c r="B4" s="199"/>
      <c r="C4" s="1506" t="s">
        <v>6</v>
      </c>
      <c r="D4" s="957"/>
      <c r="E4" s="957"/>
      <c r="F4" s="957"/>
      <c r="G4" s="957"/>
      <c r="H4" s="957"/>
      <c r="I4" s="957"/>
      <c r="J4" s="957"/>
    </row>
    <row r="5" spans="1:10" ht="15" customHeight="1" x14ac:dyDescent="0.25">
      <c r="A5" s="199" t="s">
        <v>363</v>
      </c>
      <c r="B5" s="199"/>
      <c r="C5" s="1492">
        <v>4431</v>
      </c>
      <c r="D5" s="1492"/>
      <c r="E5" s="1492"/>
      <c r="F5" s="1492"/>
      <c r="G5" s="1492"/>
      <c r="H5" s="1492"/>
      <c r="I5" s="1492"/>
      <c r="J5" s="1492"/>
    </row>
    <row r="6" spans="1:10" ht="15" x14ac:dyDescent="0.25">
      <c r="A6" s="199" t="s">
        <v>364</v>
      </c>
      <c r="B6" s="199"/>
      <c r="C6" s="957" t="s">
        <v>12</v>
      </c>
      <c r="D6" s="957"/>
      <c r="E6" s="1490" t="s">
        <v>365</v>
      </c>
      <c r="F6" s="1490"/>
      <c r="G6" s="202">
        <v>46022</v>
      </c>
      <c r="H6" s="770" t="s">
        <v>465</v>
      </c>
      <c r="I6" s="770"/>
      <c r="J6" s="235">
        <v>12</v>
      </c>
    </row>
    <row r="7" spans="1:10" ht="15" x14ac:dyDescent="0.25">
      <c r="A7" s="199" t="s">
        <v>367</v>
      </c>
      <c r="B7" s="199"/>
      <c r="C7" s="1487" t="s">
        <v>8</v>
      </c>
      <c r="D7" s="1487"/>
      <c r="E7" s="1487"/>
      <c r="F7" s="1487"/>
      <c r="G7" s="1487"/>
      <c r="H7" s="1487"/>
      <c r="I7" s="1487"/>
      <c r="J7" s="1487"/>
    </row>
    <row r="8" spans="1:10" ht="15" x14ac:dyDescent="0.25">
      <c r="A8" s="199" t="s">
        <v>466</v>
      </c>
      <c r="B8" s="203"/>
      <c r="C8" s="959" t="s">
        <v>34</v>
      </c>
      <c r="D8" s="959"/>
      <c r="E8" s="959"/>
      <c r="F8" s="959"/>
      <c r="G8" s="959"/>
      <c r="H8" s="959"/>
      <c r="I8" s="959"/>
      <c r="J8" s="959"/>
    </row>
    <row r="9" spans="1:10" ht="15" x14ac:dyDescent="0.25">
      <c r="A9" s="198"/>
      <c r="B9" s="203"/>
      <c r="C9" s="770">
        <v>555555</v>
      </c>
      <c r="D9" s="770"/>
      <c r="E9" s="770"/>
      <c r="F9" s="770"/>
      <c r="G9" s="770"/>
      <c r="H9" s="770"/>
      <c r="I9" s="770"/>
      <c r="J9" s="770"/>
    </row>
    <row r="10" spans="1:10" ht="15" x14ac:dyDescent="0.25">
      <c r="A10" s="199" t="s">
        <v>467</v>
      </c>
      <c r="B10" s="203"/>
      <c r="C10" s="770" t="s">
        <v>38</v>
      </c>
      <c r="D10" s="770"/>
      <c r="E10" s="770" t="s">
        <v>468</v>
      </c>
      <c r="F10" s="770"/>
      <c r="G10" s="770"/>
      <c r="H10" s="770" t="s">
        <v>36</v>
      </c>
      <c r="I10" s="770"/>
      <c r="J10" s="770"/>
    </row>
    <row r="11" spans="1:10" ht="15" x14ac:dyDescent="0.25">
      <c r="A11" s="199" t="s">
        <v>469</v>
      </c>
      <c r="B11" s="203"/>
      <c r="C11" s="975">
        <v>44713</v>
      </c>
      <c r="D11" s="975"/>
      <c r="E11" s="770" t="s">
        <v>470</v>
      </c>
      <c r="F11" s="770"/>
      <c r="G11" s="770"/>
      <c r="H11" s="975">
        <v>45991</v>
      </c>
      <c r="I11" s="975"/>
      <c r="J11" s="975"/>
    </row>
    <row r="12" spans="1:10" ht="8.4499999999999993" customHeight="1" thickBot="1" x14ac:dyDescent="0.3">
      <c r="A12" s="24"/>
      <c r="B12" s="24"/>
      <c r="C12" s="24"/>
      <c r="D12" s="24"/>
      <c r="E12" s="24"/>
      <c r="F12" s="24"/>
      <c r="G12" s="24"/>
      <c r="H12" s="24"/>
      <c r="I12" s="24"/>
      <c r="J12" s="24"/>
    </row>
    <row r="13" spans="1:10" ht="15.75" thickBot="1" x14ac:dyDescent="0.3">
      <c r="A13" s="1692" t="s">
        <v>1512</v>
      </c>
      <c r="B13" s="1634"/>
      <c r="C13" s="1634"/>
      <c r="D13" s="1634"/>
      <c r="E13" s="1634"/>
      <c r="F13" s="1634"/>
      <c r="G13" s="1634"/>
      <c r="H13" s="1634"/>
      <c r="I13" s="1634"/>
      <c r="J13" s="1635"/>
    </row>
    <row r="14" spans="1:10" ht="9" customHeight="1" x14ac:dyDescent="0.25">
      <c r="A14" s="28"/>
      <c r="B14" s="28"/>
      <c r="C14" s="670"/>
      <c r="D14" s="670"/>
      <c r="E14" s="670"/>
      <c r="F14" s="670"/>
      <c r="G14" s="670"/>
      <c r="H14" s="670"/>
      <c r="I14" s="670"/>
      <c r="J14" s="28"/>
    </row>
    <row r="15" spans="1:10" ht="15" x14ac:dyDescent="0.25">
      <c r="A15" s="1695" t="s">
        <v>1949</v>
      </c>
      <c r="B15" s="1695"/>
      <c r="C15" s="1695"/>
      <c r="D15" s="1695"/>
      <c r="E15" s="1695"/>
      <c r="F15" s="1695"/>
      <c r="G15" s="1695"/>
      <c r="H15" s="1695"/>
      <c r="I15" s="1695"/>
      <c r="J15" s="1695"/>
    </row>
    <row r="16" spans="1:10" ht="30" customHeight="1" x14ac:dyDescent="0.25">
      <c r="A16" s="1696" t="s">
        <v>1950</v>
      </c>
      <c r="B16" s="1696"/>
      <c r="C16" s="1696"/>
      <c r="D16" s="684" t="s">
        <v>1951</v>
      </c>
      <c r="E16" s="684" t="s">
        <v>1952</v>
      </c>
      <c r="F16" s="1697" t="s">
        <v>1953</v>
      </c>
      <c r="G16" s="1697"/>
      <c r="H16" s="684" t="s">
        <v>1954</v>
      </c>
      <c r="I16" s="1697" t="s">
        <v>1955</v>
      </c>
      <c r="J16" s="1697"/>
    </row>
    <row r="17" spans="1:10" ht="15" x14ac:dyDescent="0.25">
      <c r="A17" s="1666"/>
      <c r="B17" s="1666"/>
      <c r="C17" s="1666"/>
      <c r="D17" s="686"/>
      <c r="E17" s="617"/>
      <c r="F17" s="1694"/>
      <c r="G17" s="1694"/>
      <c r="H17" s="617"/>
      <c r="I17" s="1667"/>
      <c r="J17" s="1667"/>
    </row>
    <row r="18" spans="1:10" ht="15" x14ac:dyDescent="0.25">
      <c r="A18" s="1666"/>
      <c r="B18" s="1666"/>
      <c r="C18" s="1666"/>
      <c r="D18" s="686"/>
      <c r="E18" s="617"/>
      <c r="F18" s="1694"/>
      <c r="G18" s="1694"/>
      <c r="H18" s="617"/>
      <c r="I18" s="1667"/>
      <c r="J18" s="1667"/>
    </row>
    <row r="19" spans="1:10" ht="15" x14ac:dyDescent="0.25">
      <c r="A19" s="1666"/>
      <c r="B19" s="1666"/>
      <c r="C19" s="1666"/>
      <c r="D19" s="686"/>
      <c r="E19" s="617"/>
      <c r="F19" s="1694"/>
      <c r="G19" s="1694"/>
      <c r="H19" s="617"/>
      <c r="I19" s="1667"/>
      <c r="J19" s="1667"/>
    </row>
    <row r="20" spans="1:10" ht="15" x14ac:dyDescent="0.25">
      <c r="A20" s="1666"/>
      <c r="B20" s="1666"/>
      <c r="C20" s="1666"/>
      <c r="D20" s="686"/>
      <c r="E20" s="617"/>
      <c r="F20" s="1694"/>
      <c r="G20" s="1694"/>
      <c r="H20" s="617"/>
      <c r="I20" s="1667"/>
      <c r="J20" s="1667"/>
    </row>
    <row r="21" spans="1:10" ht="15" x14ac:dyDescent="0.25">
      <c r="A21" s="1666"/>
      <c r="B21" s="1666"/>
      <c r="C21" s="1666"/>
      <c r="D21" s="686"/>
      <c r="E21" s="617"/>
      <c r="F21" s="1694"/>
      <c r="G21" s="1694"/>
      <c r="H21" s="617"/>
      <c r="I21" s="1667"/>
      <c r="J21" s="1667"/>
    </row>
    <row r="22" spans="1:10" ht="15" x14ac:dyDescent="0.25">
      <c r="A22" s="1666"/>
      <c r="B22" s="1666"/>
      <c r="C22" s="1666"/>
      <c r="D22" s="686"/>
      <c r="E22" s="617"/>
      <c r="F22" s="1694"/>
      <c r="G22" s="1694"/>
      <c r="H22" s="617"/>
      <c r="I22" s="1667"/>
      <c r="J22" s="1667"/>
    </row>
    <row r="23" spans="1:10" ht="15" x14ac:dyDescent="0.25">
      <c r="A23" s="1666"/>
      <c r="B23" s="1666"/>
      <c r="C23" s="1666"/>
      <c r="D23" s="686"/>
      <c r="E23" s="617"/>
      <c r="F23" s="1694"/>
      <c r="G23" s="1694"/>
      <c r="H23" s="617"/>
      <c r="I23" s="1667"/>
      <c r="J23" s="1667"/>
    </row>
    <row r="24" spans="1:10" ht="15" x14ac:dyDescent="0.25">
      <c r="A24" s="1666"/>
      <c r="B24" s="1666"/>
      <c r="C24" s="1666"/>
      <c r="D24" s="686"/>
      <c r="E24" s="617"/>
      <c r="F24" s="1694"/>
      <c r="G24" s="1694"/>
      <c r="H24" s="617"/>
      <c r="I24" s="1667"/>
      <c r="J24" s="1667"/>
    </row>
    <row r="25" spans="1:10" ht="15" x14ac:dyDescent="0.25">
      <c r="A25" s="1666"/>
      <c r="B25" s="1666"/>
      <c r="C25" s="1666"/>
      <c r="D25" s="686"/>
      <c r="E25" s="617"/>
      <c r="F25" s="1694"/>
      <c r="G25" s="1694"/>
      <c r="H25" s="617"/>
      <c r="I25" s="1667"/>
      <c r="J25" s="1667"/>
    </row>
    <row r="26" spans="1:10" ht="15" x14ac:dyDescent="0.25">
      <c r="A26" s="1666"/>
      <c r="B26" s="1666"/>
      <c r="C26" s="1666"/>
      <c r="D26" s="686"/>
      <c r="E26" s="617"/>
      <c r="F26" s="1694"/>
      <c r="G26" s="1694"/>
      <c r="H26" s="617"/>
      <c r="I26" s="1667"/>
      <c r="J26" s="1667"/>
    </row>
    <row r="27" spans="1:10" ht="15" x14ac:dyDescent="0.25">
      <c r="A27" s="1666"/>
      <c r="B27" s="1666"/>
      <c r="C27" s="1666"/>
      <c r="D27" s="686"/>
      <c r="E27" s="617"/>
      <c r="F27" s="1694"/>
      <c r="G27" s="1694"/>
      <c r="H27" s="617"/>
      <c r="I27" s="1667"/>
      <c r="J27" s="1667"/>
    </row>
    <row r="28" spans="1:10" ht="15" x14ac:dyDescent="0.25">
      <c r="A28" s="1666"/>
      <c r="B28" s="1666"/>
      <c r="C28" s="1666"/>
      <c r="D28" s="686"/>
      <c r="E28" s="617"/>
      <c r="F28" s="1694"/>
      <c r="G28" s="1694"/>
      <c r="H28" s="617"/>
      <c r="I28" s="1667"/>
      <c r="J28" s="1667"/>
    </row>
    <row r="29" spans="1:10" ht="15" x14ac:dyDescent="0.25">
      <c r="A29" s="1666"/>
      <c r="B29" s="1666"/>
      <c r="C29" s="1666"/>
      <c r="D29" s="686"/>
      <c r="E29" s="617"/>
      <c r="F29" s="1694"/>
      <c r="G29" s="1694"/>
      <c r="H29" s="617"/>
      <c r="I29" s="1667"/>
      <c r="J29" s="1667"/>
    </row>
    <row r="30" spans="1:10" ht="15" x14ac:dyDescent="0.25">
      <c r="A30" s="28"/>
      <c r="B30" s="28"/>
      <c r="C30" s="28"/>
      <c r="D30" s="28"/>
      <c r="E30" s="28"/>
      <c r="F30" s="28"/>
      <c r="G30" s="28"/>
      <c r="H30" s="28"/>
      <c r="I30" s="28"/>
      <c r="J30" s="28"/>
    </row>
    <row r="31" spans="1:10" ht="15" x14ac:dyDescent="0.25">
      <c r="A31" s="1695" t="s">
        <v>1956</v>
      </c>
      <c r="B31" s="1695"/>
      <c r="C31" s="1695"/>
      <c r="D31" s="1695"/>
      <c r="E31" s="1695"/>
      <c r="F31" s="1695"/>
      <c r="G31" s="1695"/>
      <c r="H31" s="1695"/>
      <c r="I31" s="1695"/>
      <c r="J31" s="1695"/>
    </row>
    <row r="32" spans="1:10" ht="18" customHeight="1" x14ac:dyDescent="0.25">
      <c r="A32" s="1696" t="s">
        <v>1957</v>
      </c>
      <c r="B32" s="1696"/>
      <c r="C32" s="1696"/>
      <c r="D32" s="1696"/>
      <c r="E32" s="1696"/>
      <c r="F32" s="1696" t="s">
        <v>1958</v>
      </c>
      <c r="G32" s="1696"/>
      <c r="H32" s="1696"/>
      <c r="I32" s="1696" t="s">
        <v>1101</v>
      </c>
      <c r="J32" s="1696"/>
    </row>
    <row r="33" spans="1:10" ht="15" x14ac:dyDescent="0.25">
      <c r="A33" s="1666"/>
      <c r="B33" s="1666"/>
      <c r="C33" s="1666"/>
      <c r="D33" s="1666"/>
      <c r="E33" s="1666"/>
      <c r="F33" s="1666"/>
      <c r="G33" s="1666"/>
      <c r="H33" s="1666"/>
      <c r="I33" s="1667"/>
      <c r="J33" s="1667"/>
    </row>
    <row r="34" spans="1:10" ht="15" x14ac:dyDescent="0.25">
      <c r="A34" s="1666"/>
      <c r="B34" s="1666"/>
      <c r="C34" s="1666"/>
      <c r="D34" s="1666"/>
      <c r="E34" s="1666"/>
      <c r="F34" s="1666"/>
      <c r="G34" s="1666"/>
      <c r="H34" s="1666"/>
      <c r="I34" s="1667"/>
      <c r="J34" s="1667"/>
    </row>
    <row r="35" spans="1:10" ht="15" x14ac:dyDescent="0.25">
      <c r="A35" s="1666"/>
      <c r="B35" s="1666"/>
      <c r="C35" s="1666"/>
      <c r="D35" s="1666"/>
      <c r="E35" s="1666"/>
      <c r="F35" s="1666"/>
      <c r="G35" s="1666"/>
      <c r="H35" s="1666"/>
      <c r="I35" s="1667"/>
      <c r="J35" s="1667"/>
    </row>
    <row r="36" spans="1:10" ht="15" x14ac:dyDescent="0.25">
      <c r="A36" s="1666"/>
      <c r="B36" s="1666"/>
      <c r="C36" s="1666"/>
      <c r="D36" s="1666"/>
      <c r="E36" s="1666"/>
      <c r="F36" s="1666"/>
      <c r="G36" s="1666"/>
      <c r="H36" s="1666"/>
      <c r="I36" s="1667"/>
      <c r="J36" s="1667"/>
    </row>
    <row r="37" spans="1:10" ht="15" x14ac:dyDescent="0.25">
      <c r="A37" s="1666"/>
      <c r="B37" s="1666"/>
      <c r="C37" s="1666"/>
      <c r="D37" s="1666"/>
      <c r="E37" s="1666"/>
      <c r="F37" s="1666"/>
      <c r="G37" s="1666"/>
      <c r="H37" s="1666"/>
      <c r="I37" s="1667"/>
      <c r="J37" s="1667"/>
    </row>
    <row r="38" spans="1:10" ht="15" x14ac:dyDescent="0.25">
      <c r="A38" s="1666"/>
      <c r="B38" s="1666"/>
      <c r="C38" s="1666"/>
      <c r="D38" s="1666"/>
      <c r="E38" s="1666"/>
      <c r="F38" s="1666"/>
      <c r="G38" s="1666"/>
      <c r="H38" s="1666"/>
      <c r="I38" s="1667"/>
      <c r="J38" s="1667"/>
    </row>
    <row r="39" spans="1:10" ht="15" x14ac:dyDescent="0.25">
      <c r="A39" s="1666"/>
      <c r="B39" s="1666"/>
      <c r="C39" s="1666"/>
      <c r="D39" s="1666"/>
      <c r="E39" s="1666"/>
      <c r="F39" s="1666"/>
      <c r="G39" s="1666"/>
      <c r="H39" s="1666"/>
      <c r="I39" s="1667"/>
      <c r="J39" s="1667"/>
    </row>
    <row r="40" spans="1:10" ht="15" x14ac:dyDescent="0.25">
      <c r="A40" s="1666"/>
      <c r="B40" s="1666"/>
      <c r="C40" s="1666"/>
      <c r="D40" s="1666"/>
      <c r="E40" s="1666"/>
      <c r="F40" s="1666"/>
      <c r="G40" s="1666"/>
      <c r="H40" s="1666"/>
      <c r="I40" s="1667"/>
      <c r="J40" s="1667"/>
    </row>
    <row r="41" spans="1:10" ht="15" x14ac:dyDescent="0.25">
      <c r="A41" s="1666"/>
      <c r="B41" s="1666"/>
      <c r="C41" s="1666"/>
      <c r="D41" s="1666"/>
      <c r="E41" s="1666"/>
      <c r="F41" s="1666"/>
      <c r="G41" s="1666"/>
      <c r="H41" s="1666"/>
      <c r="I41" s="1667"/>
      <c r="J41" s="1667"/>
    </row>
    <row r="42" spans="1:10" ht="15" x14ac:dyDescent="0.25">
      <c r="A42" s="1666"/>
      <c r="B42" s="1666"/>
      <c r="C42" s="1666"/>
      <c r="D42" s="1666"/>
      <c r="E42" s="1666"/>
      <c r="F42" s="1666"/>
      <c r="G42" s="1666"/>
      <c r="H42" s="1666"/>
      <c r="I42" s="1667"/>
      <c r="J42" s="1667"/>
    </row>
    <row r="43" spans="1:10" ht="15" x14ac:dyDescent="0.25">
      <c r="A43" s="1666"/>
      <c r="B43" s="1666"/>
      <c r="C43" s="1666"/>
      <c r="D43" s="1666"/>
      <c r="E43" s="1666"/>
      <c r="F43" s="1666"/>
      <c r="G43" s="1666"/>
      <c r="H43" s="1666"/>
      <c r="I43" s="1667"/>
      <c r="J43" s="1667"/>
    </row>
    <row r="44" spans="1:10" ht="15" x14ac:dyDescent="0.25">
      <c r="A44" s="1666"/>
      <c r="B44" s="1666"/>
      <c r="C44" s="1666"/>
      <c r="D44" s="1666"/>
      <c r="E44" s="1666"/>
      <c r="F44" s="1666"/>
      <c r="G44" s="1666"/>
      <c r="H44" s="1666"/>
      <c r="I44" s="1667"/>
      <c r="J44" s="1667"/>
    </row>
    <row r="45" spans="1:10" ht="15" x14ac:dyDescent="0.25">
      <c r="A45" s="1666"/>
      <c r="B45" s="1666"/>
      <c r="C45" s="1666"/>
      <c r="D45" s="1666"/>
      <c r="E45" s="1666"/>
      <c r="F45" s="1666"/>
      <c r="G45" s="1666"/>
      <c r="H45" s="1666"/>
      <c r="I45" s="1667"/>
      <c r="J45" s="1667"/>
    </row>
    <row r="46" spans="1:10" ht="15" x14ac:dyDescent="0.25">
      <c r="A46" s="1666"/>
      <c r="B46" s="1666"/>
      <c r="C46" s="1666"/>
      <c r="D46" s="1666"/>
      <c r="E46" s="1666"/>
      <c r="F46" s="1666"/>
      <c r="G46" s="1666"/>
      <c r="H46" s="1666"/>
      <c r="I46" s="1667"/>
      <c r="J46" s="1667"/>
    </row>
    <row r="47" spans="1:10" ht="15" x14ac:dyDescent="0.25">
      <c r="A47" s="1666"/>
      <c r="B47" s="1666"/>
      <c r="C47" s="1666"/>
      <c r="D47" s="1666"/>
      <c r="E47" s="1666"/>
      <c r="F47" s="1666"/>
      <c r="G47" s="1666"/>
      <c r="H47" s="1666"/>
      <c r="I47" s="1667"/>
      <c r="J47" s="1667"/>
    </row>
    <row r="48" spans="1:10" ht="9.6" customHeight="1" x14ac:dyDescent="0.25">
      <c r="A48" s="28"/>
      <c r="B48" s="28"/>
      <c r="C48" s="28"/>
      <c r="D48" s="28"/>
      <c r="E48" s="28"/>
      <c r="F48" s="28"/>
      <c r="G48" s="28"/>
      <c r="H48" s="28"/>
      <c r="I48" s="28"/>
      <c r="J48" s="28"/>
    </row>
    <row r="49" spans="1:10" ht="15" x14ac:dyDescent="0.25">
      <c r="A49" s="1693" t="s">
        <v>1959</v>
      </c>
      <c r="B49" s="1693"/>
      <c r="C49" s="1693"/>
      <c r="D49" s="1693"/>
      <c r="E49" s="1693"/>
      <c r="F49" s="1693"/>
      <c r="G49" s="1693"/>
      <c r="H49" s="1693"/>
      <c r="I49" s="1693"/>
      <c r="J49" s="1693"/>
    </row>
    <row r="50" spans="1:10" ht="15" x14ac:dyDescent="0.25">
      <c r="A50" s="572"/>
      <c r="B50" s="572"/>
      <c r="C50" s="572"/>
      <c r="D50" s="572"/>
      <c r="E50" s="572"/>
      <c r="F50" s="572"/>
      <c r="G50" s="572"/>
      <c r="H50" s="572"/>
      <c r="I50" s="572"/>
      <c r="J50" s="572"/>
    </row>
    <row r="51" spans="1:10" ht="15" x14ac:dyDescent="0.25"/>
    <row r="52" spans="1:10" ht="15" x14ac:dyDescent="0.25"/>
  </sheetData>
  <mergeCells count="111">
    <mergeCell ref="C7:J7"/>
    <mergeCell ref="C8:J8"/>
    <mergeCell ref="C9:J9"/>
    <mergeCell ref="C10:D10"/>
    <mergeCell ref="E10:G10"/>
    <mergeCell ref="H10:J10"/>
    <mergeCell ref="A1:J1"/>
    <mergeCell ref="C2:J2"/>
    <mergeCell ref="C3:J3"/>
    <mergeCell ref="C4:J4"/>
    <mergeCell ref="C5:J5"/>
    <mergeCell ref="C6:D6"/>
    <mergeCell ref="E6:F6"/>
    <mergeCell ref="H6:I6"/>
    <mergeCell ref="A17:C17"/>
    <mergeCell ref="F17:G17"/>
    <mergeCell ref="I17:J17"/>
    <mergeCell ref="A18:C18"/>
    <mergeCell ref="F18:G18"/>
    <mergeCell ref="I18:J18"/>
    <mergeCell ref="C11:D11"/>
    <mergeCell ref="E11:G11"/>
    <mergeCell ref="H11:J11"/>
    <mergeCell ref="A13:J13"/>
    <mergeCell ref="A15:J15"/>
    <mergeCell ref="A16:C16"/>
    <mergeCell ref="F16:G16"/>
    <mergeCell ref="I16:J16"/>
    <mergeCell ref="A21:C21"/>
    <mergeCell ref="F21:G21"/>
    <mergeCell ref="I21:J21"/>
    <mergeCell ref="A22:C22"/>
    <mergeCell ref="F22:G22"/>
    <mergeCell ref="I22:J22"/>
    <mergeCell ref="A19:C19"/>
    <mergeCell ref="F19:G19"/>
    <mergeCell ref="I19:J19"/>
    <mergeCell ref="A20:C20"/>
    <mergeCell ref="F20:G20"/>
    <mergeCell ref="I20:J20"/>
    <mergeCell ref="A25:C25"/>
    <mergeCell ref="F25:G25"/>
    <mergeCell ref="I25:J25"/>
    <mergeCell ref="A26:C26"/>
    <mergeCell ref="F26:G26"/>
    <mergeCell ref="I26:J26"/>
    <mergeCell ref="A23:C23"/>
    <mergeCell ref="F23:G23"/>
    <mergeCell ref="I23:J23"/>
    <mergeCell ref="A24:C24"/>
    <mergeCell ref="F24:G24"/>
    <mergeCell ref="I24:J24"/>
    <mergeCell ref="A29:C29"/>
    <mergeCell ref="F29:G29"/>
    <mergeCell ref="I29:J29"/>
    <mergeCell ref="A31:J31"/>
    <mergeCell ref="A32:E32"/>
    <mergeCell ref="F32:H32"/>
    <mergeCell ref="I32:J32"/>
    <mergeCell ref="A27:C27"/>
    <mergeCell ref="F27:G27"/>
    <mergeCell ref="I27:J27"/>
    <mergeCell ref="A28:C28"/>
    <mergeCell ref="F28:G28"/>
    <mergeCell ref="I28:J28"/>
    <mergeCell ref="A35:E35"/>
    <mergeCell ref="F35:H35"/>
    <mergeCell ref="I35:J35"/>
    <mergeCell ref="A36:E36"/>
    <mergeCell ref="F36:H36"/>
    <mergeCell ref="I36:J36"/>
    <mergeCell ref="A33:E33"/>
    <mergeCell ref="F33:H33"/>
    <mergeCell ref="I33:J33"/>
    <mergeCell ref="A34:E34"/>
    <mergeCell ref="F34:H34"/>
    <mergeCell ref="I34:J34"/>
    <mergeCell ref="A39:E39"/>
    <mergeCell ref="F39:H39"/>
    <mergeCell ref="I39:J39"/>
    <mergeCell ref="A40:E40"/>
    <mergeCell ref="F40:H40"/>
    <mergeCell ref="I40:J40"/>
    <mergeCell ref="A37:E37"/>
    <mergeCell ref="F37:H37"/>
    <mergeCell ref="I37:J37"/>
    <mergeCell ref="A38:E38"/>
    <mergeCell ref="F38:H38"/>
    <mergeCell ref="I38:J38"/>
    <mergeCell ref="A43:E43"/>
    <mergeCell ref="F43:H43"/>
    <mergeCell ref="I43:J43"/>
    <mergeCell ref="A44:E44"/>
    <mergeCell ref="F44:H44"/>
    <mergeCell ref="I44:J44"/>
    <mergeCell ref="A41:E41"/>
    <mergeCell ref="F41:H41"/>
    <mergeCell ref="I41:J41"/>
    <mergeCell ref="A42:E42"/>
    <mergeCell ref="F42:H42"/>
    <mergeCell ref="I42:J42"/>
    <mergeCell ref="A47:E47"/>
    <mergeCell ref="F47:H47"/>
    <mergeCell ref="I47:J47"/>
    <mergeCell ref="A49:J49"/>
    <mergeCell ref="A45:E45"/>
    <mergeCell ref="F45:H45"/>
    <mergeCell ref="I45:J45"/>
    <mergeCell ref="A46:E46"/>
    <mergeCell ref="F46:H46"/>
    <mergeCell ref="I46:J46"/>
  </mergeCells>
  <pageMargins left="0.7" right="0.7" top="0.75" bottom="0.75" header="0.3" footer="0.3"/>
  <drawing r:id="rId1"/>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AC4B7F-776C-4B94-912F-2445BDB7B2BB}">
  <dimension ref="A1:J47"/>
  <sheetViews>
    <sheetView workbookViewId="0">
      <selection sqref="A1:XFD1048576"/>
    </sheetView>
  </sheetViews>
  <sheetFormatPr baseColWidth="10" defaultColWidth="11.42578125" defaultRowHeight="14.45" customHeight="1" x14ac:dyDescent="0.25"/>
  <cols>
    <col min="2" max="2" width="19.85546875" customWidth="1"/>
    <col min="7" max="7" width="13.5703125" customWidth="1"/>
    <col min="12" max="12" width="7.42578125" customWidth="1"/>
  </cols>
  <sheetData>
    <row r="1" spans="1:10" ht="15" x14ac:dyDescent="0.25">
      <c r="A1" s="1514"/>
      <c r="B1" s="1514"/>
      <c r="C1" s="1515"/>
      <c r="D1" s="1515"/>
      <c r="E1" s="1515"/>
      <c r="F1" s="1515"/>
      <c r="G1" s="1515"/>
      <c r="H1" s="1515"/>
      <c r="I1" s="1515"/>
      <c r="J1" s="1515"/>
    </row>
    <row r="2" spans="1:10" ht="15" x14ac:dyDescent="0.25">
      <c r="A2" s="199" t="s">
        <v>361</v>
      </c>
      <c r="B2" s="199"/>
      <c r="C2" s="1505" t="s">
        <v>2</v>
      </c>
      <c r="D2" s="958"/>
      <c r="E2" s="958"/>
      <c r="F2" s="958"/>
      <c r="G2" s="958"/>
      <c r="H2" s="958"/>
      <c r="I2" s="958"/>
      <c r="J2" s="958"/>
    </row>
    <row r="3" spans="1:10" ht="15" x14ac:dyDescent="0.25">
      <c r="A3" s="199"/>
      <c r="B3" s="199"/>
      <c r="C3" s="1506" t="s">
        <v>4</v>
      </c>
      <c r="D3" s="1506"/>
      <c r="E3" s="1506"/>
      <c r="F3" s="1506"/>
      <c r="G3" s="1506"/>
      <c r="H3" s="1506"/>
      <c r="I3" s="1506"/>
      <c r="J3" s="1506"/>
    </row>
    <row r="4" spans="1:10" ht="15" x14ac:dyDescent="0.25">
      <c r="A4" s="199" t="s">
        <v>362</v>
      </c>
      <c r="B4" s="199"/>
      <c r="C4" s="1506" t="s">
        <v>6</v>
      </c>
      <c r="D4" s="957"/>
      <c r="E4" s="957"/>
      <c r="F4" s="957"/>
      <c r="G4" s="957"/>
      <c r="H4" s="957"/>
      <c r="I4" s="957"/>
      <c r="J4" s="957"/>
    </row>
    <row r="5" spans="1:10" ht="15" x14ac:dyDescent="0.25">
      <c r="A5" s="199" t="s">
        <v>363</v>
      </c>
      <c r="B5" s="199"/>
      <c r="C5" s="1492">
        <v>4431</v>
      </c>
      <c r="D5" s="1492"/>
      <c r="E5" s="1492"/>
      <c r="F5" s="1492"/>
      <c r="G5" s="1492"/>
      <c r="H5" s="1492"/>
      <c r="I5" s="1492"/>
      <c r="J5" s="1492"/>
    </row>
    <row r="6" spans="1:10" ht="15" x14ac:dyDescent="0.25">
      <c r="A6" s="199" t="s">
        <v>364</v>
      </c>
      <c r="B6" s="199"/>
      <c r="C6" s="957" t="s">
        <v>12</v>
      </c>
      <c r="D6" s="957"/>
      <c r="E6" s="1490" t="s">
        <v>365</v>
      </c>
      <c r="F6" s="1490"/>
      <c r="G6" s="202">
        <v>46022</v>
      </c>
      <c r="H6" s="770" t="s">
        <v>465</v>
      </c>
      <c r="I6" s="770"/>
      <c r="J6" s="235">
        <v>12</v>
      </c>
    </row>
    <row r="7" spans="1:10" ht="15" x14ac:dyDescent="0.25">
      <c r="A7" s="199" t="s">
        <v>367</v>
      </c>
      <c r="B7" s="199"/>
      <c r="C7" s="1487" t="s">
        <v>8</v>
      </c>
      <c r="D7" s="1487"/>
      <c r="E7" s="1487"/>
      <c r="F7" s="1487"/>
      <c r="G7" s="1487"/>
      <c r="H7" s="1487"/>
      <c r="I7" s="1487"/>
      <c r="J7" s="1487"/>
    </row>
    <row r="8" spans="1:10" ht="15" x14ac:dyDescent="0.25">
      <c r="A8" s="199" t="s">
        <v>466</v>
      </c>
      <c r="B8" s="203"/>
      <c r="C8" s="959" t="s">
        <v>34</v>
      </c>
      <c r="D8" s="959"/>
      <c r="E8" s="959"/>
      <c r="F8" s="959"/>
      <c r="G8" s="959"/>
      <c r="H8" s="959"/>
      <c r="I8" s="959"/>
      <c r="J8" s="959"/>
    </row>
    <row r="9" spans="1:10" ht="15" x14ac:dyDescent="0.25">
      <c r="A9" s="198"/>
      <c r="B9" s="203"/>
      <c r="C9" s="770">
        <v>555555</v>
      </c>
      <c r="D9" s="770"/>
      <c r="E9" s="770"/>
      <c r="F9" s="770"/>
      <c r="G9" s="770"/>
      <c r="H9" s="770"/>
      <c r="I9" s="770"/>
      <c r="J9" s="770"/>
    </row>
    <row r="10" spans="1:10" ht="15" x14ac:dyDescent="0.25">
      <c r="A10" s="199" t="s">
        <v>467</v>
      </c>
      <c r="B10" s="203"/>
      <c r="C10" s="770" t="s">
        <v>38</v>
      </c>
      <c r="D10" s="770"/>
      <c r="E10" s="770" t="s">
        <v>468</v>
      </c>
      <c r="F10" s="770"/>
      <c r="G10" s="770"/>
      <c r="H10" s="770" t="s">
        <v>36</v>
      </c>
      <c r="I10" s="770"/>
      <c r="J10" s="770"/>
    </row>
    <row r="11" spans="1:10" ht="15" x14ac:dyDescent="0.25">
      <c r="A11" s="199" t="s">
        <v>469</v>
      </c>
      <c r="B11" s="203"/>
      <c r="C11" s="975">
        <v>44713</v>
      </c>
      <c r="D11" s="975"/>
      <c r="E11" s="770" t="s">
        <v>470</v>
      </c>
      <c r="F11" s="770"/>
      <c r="G11" s="770"/>
      <c r="H11" s="975">
        <v>45991</v>
      </c>
      <c r="I11" s="975"/>
      <c r="J11" s="975"/>
    </row>
    <row r="12" spans="1:10" ht="8.4499999999999993" customHeight="1" thickBot="1" x14ac:dyDescent="0.3">
      <c r="A12" s="308"/>
      <c r="B12" s="308"/>
      <c r="C12" s="308"/>
      <c r="D12" s="308"/>
      <c r="E12" s="308"/>
      <c r="F12" s="308"/>
      <c r="G12" s="308"/>
      <c r="H12" s="308"/>
      <c r="I12" s="308"/>
      <c r="J12" s="308"/>
    </row>
    <row r="13" spans="1:10" ht="15.75" thickBot="1" x14ac:dyDescent="0.3">
      <c r="A13" s="1692" t="s">
        <v>1514</v>
      </c>
      <c r="B13" s="1634"/>
      <c r="C13" s="1634"/>
      <c r="D13" s="1634"/>
      <c r="E13" s="1634"/>
      <c r="F13" s="1634"/>
      <c r="G13" s="1634"/>
      <c r="H13" s="1634"/>
      <c r="I13" s="1634"/>
      <c r="J13" s="1635"/>
    </row>
    <row r="14" spans="1:10" ht="7.9" customHeight="1" x14ac:dyDescent="0.25">
      <c r="A14" s="28"/>
      <c r="B14" s="28"/>
      <c r="C14" s="28"/>
      <c r="D14" s="28"/>
      <c r="E14" s="28"/>
      <c r="F14" s="28"/>
      <c r="G14" s="28"/>
      <c r="H14" s="28"/>
      <c r="I14" s="28"/>
      <c r="J14" s="28"/>
    </row>
    <row r="15" spans="1:10" ht="6" customHeight="1" x14ac:dyDescent="0.25">
      <c r="A15" s="28"/>
      <c r="B15" s="28"/>
      <c r="C15" s="28"/>
      <c r="D15" s="28"/>
      <c r="E15" s="28"/>
      <c r="F15" s="28"/>
      <c r="G15" s="28"/>
      <c r="H15" s="28"/>
      <c r="I15" s="28"/>
      <c r="J15" s="28"/>
    </row>
    <row r="16" spans="1:10" ht="15" x14ac:dyDescent="0.25">
      <c r="A16" s="1695" t="s">
        <v>1960</v>
      </c>
      <c r="B16" s="1695"/>
      <c r="C16" s="1695"/>
      <c r="D16" s="1695"/>
      <c r="E16" s="1695"/>
      <c r="F16" s="1695"/>
      <c r="G16" s="1695"/>
      <c r="H16" s="1695"/>
      <c r="I16" s="1695"/>
      <c r="J16" s="1695"/>
    </row>
    <row r="17" spans="1:10" ht="15" x14ac:dyDescent="0.25">
      <c r="A17" s="1696" t="s">
        <v>1957</v>
      </c>
      <c r="B17" s="1696"/>
      <c r="C17" s="1696"/>
      <c r="D17" s="1696"/>
      <c r="E17" s="1696"/>
      <c r="F17" s="1696" t="s">
        <v>1961</v>
      </c>
      <c r="G17" s="1696"/>
      <c r="H17" s="1696"/>
      <c r="I17" s="1696" t="s">
        <v>1101</v>
      </c>
      <c r="J17" s="1696"/>
    </row>
    <row r="18" spans="1:10" ht="15" x14ac:dyDescent="0.25">
      <c r="A18" s="1666"/>
      <c r="B18" s="1666"/>
      <c r="C18" s="1666"/>
      <c r="D18" s="1666"/>
      <c r="E18" s="1666"/>
      <c r="F18" s="1666"/>
      <c r="G18" s="1666"/>
      <c r="H18" s="1666"/>
      <c r="I18" s="1667"/>
      <c r="J18" s="1667"/>
    </row>
    <row r="19" spans="1:10" ht="15" x14ac:dyDescent="0.25">
      <c r="A19" s="1666"/>
      <c r="B19" s="1666"/>
      <c r="C19" s="1666"/>
      <c r="D19" s="1666"/>
      <c r="E19" s="1666"/>
      <c r="F19" s="1666"/>
      <c r="G19" s="1666"/>
      <c r="H19" s="1666"/>
      <c r="I19" s="1667"/>
      <c r="J19" s="1667"/>
    </row>
    <row r="20" spans="1:10" ht="15" x14ac:dyDescent="0.25">
      <c r="A20" s="1666"/>
      <c r="B20" s="1666"/>
      <c r="C20" s="1666"/>
      <c r="D20" s="1666"/>
      <c r="E20" s="1666"/>
      <c r="F20" s="1666"/>
      <c r="G20" s="1666"/>
      <c r="H20" s="1666"/>
      <c r="I20" s="1667"/>
      <c r="J20" s="1667"/>
    </row>
    <row r="21" spans="1:10" ht="15" x14ac:dyDescent="0.25">
      <c r="A21" s="1666"/>
      <c r="B21" s="1666"/>
      <c r="C21" s="1666"/>
      <c r="D21" s="1666"/>
      <c r="E21" s="1666"/>
      <c r="F21" s="1666"/>
      <c r="G21" s="1666"/>
      <c r="H21" s="1666"/>
      <c r="I21" s="1667"/>
      <c r="J21" s="1667"/>
    </row>
    <row r="22" spans="1:10" ht="15" x14ac:dyDescent="0.25">
      <c r="A22" s="1666"/>
      <c r="B22" s="1666"/>
      <c r="C22" s="1666"/>
      <c r="D22" s="1666"/>
      <c r="E22" s="1666"/>
      <c r="F22" s="1666"/>
      <c r="G22" s="1666"/>
      <c r="H22" s="1666"/>
      <c r="I22" s="1667"/>
      <c r="J22" s="1667"/>
    </row>
    <row r="23" spans="1:10" ht="15" x14ac:dyDescent="0.25">
      <c r="A23" s="1666"/>
      <c r="B23" s="1666"/>
      <c r="C23" s="1666"/>
      <c r="D23" s="1666"/>
      <c r="E23" s="1666"/>
      <c r="F23" s="1666"/>
      <c r="G23" s="1666"/>
      <c r="H23" s="1666"/>
      <c r="I23" s="1667"/>
      <c r="J23" s="1667"/>
    </row>
    <row r="24" spans="1:10" ht="15" x14ac:dyDescent="0.25">
      <c r="A24" s="28"/>
      <c r="B24" s="28"/>
      <c r="C24" s="28"/>
      <c r="D24" s="28"/>
      <c r="E24" s="28"/>
      <c r="F24" s="28"/>
      <c r="G24" s="28"/>
      <c r="H24" s="28"/>
      <c r="I24" s="28"/>
      <c r="J24" s="28"/>
    </row>
    <row r="25" spans="1:10" ht="15" x14ac:dyDescent="0.25">
      <c r="A25" s="1695" t="s">
        <v>1962</v>
      </c>
      <c r="B25" s="1695"/>
      <c r="C25" s="1695"/>
      <c r="D25" s="1695"/>
      <c r="E25" s="1695"/>
      <c r="F25" s="1695"/>
      <c r="G25" s="1695"/>
      <c r="H25" s="1695"/>
      <c r="I25" s="1695"/>
      <c r="J25" s="1695"/>
    </row>
    <row r="26" spans="1:10" ht="25.5" x14ac:dyDescent="0.25">
      <c r="A26" s="1696" t="s">
        <v>1963</v>
      </c>
      <c r="B26" s="1696"/>
      <c r="C26" s="1696" t="s">
        <v>1964</v>
      </c>
      <c r="D26" s="1696"/>
      <c r="E26" s="1696" t="s">
        <v>1965</v>
      </c>
      <c r="F26" s="1696"/>
      <c r="G26" s="685" t="s">
        <v>1966</v>
      </c>
      <c r="H26" s="1696" t="s">
        <v>1967</v>
      </c>
      <c r="I26" s="1696"/>
      <c r="J26" s="1696"/>
    </row>
    <row r="27" spans="1:10" ht="15" x14ac:dyDescent="0.25">
      <c r="A27" s="1666"/>
      <c r="B27" s="1666"/>
      <c r="C27" s="1666"/>
      <c r="D27" s="1666"/>
      <c r="E27" s="1667"/>
      <c r="F27" s="1667"/>
      <c r="G27" s="683"/>
      <c r="H27" s="1666"/>
      <c r="I27" s="1666"/>
      <c r="J27" s="1666"/>
    </row>
    <row r="28" spans="1:10" ht="15" x14ac:dyDescent="0.25">
      <c r="A28" s="1666"/>
      <c r="B28" s="1666"/>
      <c r="C28" s="1666"/>
      <c r="D28" s="1666"/>
      <c r="E28" s="1667"/>
      <c r="F28" s="1667"/>
      <c r="G28" s="683"/>
      <c r="H28" s="1666"/>
      <c r="I28" s="1666"/>
      <c r="J28" s="1666"/>
    </row>
    <row r="29" spans="1:10" ht="15" x14ac:dyDescent="0.25">
      <c r="A29" s="1666"/>
      <c r="B29" s="1666"/>
      <c r="C29" s="1666"/>
      <c r="D29" s="1666"/>
      <c r="E29" s="1667"/>
      <c r="F29" s="1667"/>
      <c r="G29" s="683"/>
      <c r="H29" s="1666"/>
      <c r="I29" s="1666"/>
      <c r="J29" s="1666"/>
    </row>
    <row r="30" spans="1:10" ht="15" x14ac:dyDescent="0.25">
      <c r="A30" s="1666"/>
      <c r="B30" s="1666"/>
      <c r="C30" s="1666"/>
      <c r="D30" s="1666"/>
      <c r="E30" s="1667"/>
      <c r="F30" s="1667"/>
      <c r="G30" s="683"/>
      <c r="H30" s="1666"/>
      <c r="I30" s="1666"/>
      <c r="J30" s="1666"/>
    </row>
    <row r="31" spans="1:10" ht="15" x14ac:dyDescent="0.25">
      <c r="A31" s="1666"/>
      <c r="B31" s="1666"/>
      <c r="C31" s="1666"/>
      <c r="D31" s="1666"/>
      <c r="E31" s="1667"/>
      <c r="F31" s="1667"/>
      <c r="G31" s="683"/>
      <c r="H31" s="1666"/>
      <c r="I31" s="1666"/>
      <c r="J31" s="1666"/>
    </row>
    <row r="32" spans="1:10" ht="15" x14ac:dyDescent="0.25">
      <c r="A32" s="1666"/>
      <c r="B32" s="1666"/>
      <c r="C32" s="1666"/>
      <c r="D32" s="1666"/>
      <c r="E32" s="1667"/>
      <c r="F32" s="1667"/>
      <c r="G32" s="683"/>
      <c r="H32" s="1666"/>
      <c r="I32" s="1666"/>
      <c r="J32" s="1666"/>
    </row>
    <row r="33" spans="1:10" ht="15" x14ac:dyDescent="0.25">
      <c r="A33" s="1666"/>
      <c r="B33" s="1666"/>
      <c r="C33" s="1666"/>
      <c r="D33" s="1666"/>
      <c r="E33" s="1667"/>
      <c r="F33" s="1667"/>
      <c r="G33" s="683"/>
      <c r="H33" s="1666"/>
      <c r="I33" s="1666"/>
      <c r="J33" s="1666"/>
    </row>
    <row r="34" spans="1:10" ht="15" x14ac:dyDescent="0.25">
      <c r="A34" s="1666"/>
      <c r="B34" s="1666"/>
      <c r="C34" s="1666"/>
      <c r="D34" s="1666"/>
      <c r="E34" s="1667"/>
      <c r="F34" s="1667"/>
      <c r="G34" s="683"/>
      <c r="H34" s="1666"/>
      <c r="I34" s="1666"/>
      <c r="J34" s="1666"/>
    </row>
    <row r="35" spans="1:10" ht="15" x14ac:dyDescent="0.25">
      <c r="A35" s="1666"/>
      <c r="B35" s="1666"/>
      <c r="C35" s="1666"/>
      <c r="D35" s="1666"/>
      <c r="E35" s="1667"/>
      <c r="F35" s="1667"/>
      <c r="G35" s="683"/>
      <c r="H35" s="1666"/>
      <c r="I35" s="1666"/>
      <c r="J35" s="1666"/>
    </row>
    <row r="36" spans="1:10" ht="10.9" customHeight="1" x14ac:dyDescent="0.25">
      <c r="A36" s="28"/>
      <c r="B36" s="28"/>
      <c r="C36" s="28"/>
      <c r="D36" s="28"/>
      <c r="E36" s="28"/>
      <c r="F36" s="28"/>
      <c r="G36" s="28"/>
      <c r="H36" s="28"/>
      <c r="I36" s="28"/>
      <c r="J36" s="28"/>
    </row>
    <row r="37" spans="1:10" ht="15" x14ac:dyDescent="0.25">
      <c r="A37" s="1695" t="s">
        <v>1968</v>
      </c>
      <c r="B37" s="1695"/>
      <c r="C37" s="1695"/>
      <c r="D37" s="1695"/>
      <c r="E37" s="1695"/>
      <c r="F37" s="1695"/>
      <c r="G37" s="1695"/>
      <c r="H37" s="1695"/>
      <c r="I37" s="1695"/>
      <c r="J37" s="1695"/>
    </row>
    <row r="38" spans="1:10" ht="25.5" x14ac:dyDescent="0.25">
      <c r="A38" s="1701" t="s">
        <v>1969</v>
      </c>
      <c r="B38" s="1702"/>
      <c r="C38" s="1702"/>
      <c r="D38" s="1703"/>
      <c r="E38" s="1696" t="s">
        <v>1965</v>
      </c>
      <c r="F38" s="1696"/>
      <c r="G38" s="685" t="s">
        <v>1966</v>
      </c>
      <c r="H38" s="1696" t="s">
        <v>1967</v>
      </c>
      <c r="I38" s="1696"/>
      <c r="J38" s="1696"/>
    </row>
    <row r="39" spans="1:10" ht="15" x14ac:dyDescent="0.25">
      <c r="A39" s="1698"/>
      <c r="B39" s="1699"/>
      <c r="C39" s="1699"/>
      <c r="D39" s="1700"/>
      <c r="E39" s="1667"/>
      <c r="F39" s="1667"/>
      <c r="G39" s="683"/>
      <c r="H39" s="1666"/>
      <c r="I39" s="1666"/>
      <c r="J39" s="1666"/>
    </row>
    <row r="40" spans="1:10" ht="15" x14ac:dyDescent="0.25">
      <c r="A40" s="1698"/>
      <c r="B40" s="1699"/>
      <c r="C40" s="1699"/>
      <c r="D40" s="1700"/>
      <c r="E40" s="1667"/>
      <c r="F40" s="1667"/>
      <c r="G40" s="683"/>
      <c r="H40" s="1666"/>
      <c r="I40" s="1666"/>
      <c r="J40" s="1666"/>
    </row>
    <row r="41" spans="1:10" ht="15" x14ac:dyDescent="0.25">
      <c r="A41" s="1698"/>
      <c r="B41" s="1699"/>
      <c r="C41" s="1699"/>
      <c r="D41" s="1700"/>
      <c r="E41" s="1667"/>
      <c r="F41" s="1667"/>
      <c r="G41" s="683"/>
      <c r="H41" s="1666"/>
      <c r="I41" s="1666"/>
      <c r="J41" s="1666"/>
    </row>
    <row r="42" spans="1:10" ht="15" x14ac:dyDescent="0.25">
      <c r="A42" s="1698"/>
      <c r="B42" s="1699"/>
      <c r="C42" s="1699"/>
      <c r="D42" s="1700"/>
      <c r="E42" s="1667"/>
      <c r="F42" s="1667"/>
      <c r="G42" s="683"/>
      <c r="H42" s="1666"/>
      <c r="I42" s="1666"/>
      <c r="J42" s="1666"/>
    </row>
    <row r="43" spans="1:10" ht="15" x14ac:dyDescent="0.25">
      <c r="A43" s="1698"/>
      <c r="B43" s="1699"/>
      <c r="C43" s="1699"/>
      <c r="D43" s="1700"/>
      <c r="E43" s="1667"/>
      <c r="F43" s="1667"/>
      <c r="G43" s="683"/>
      <c r="H43" s="1666"/>
      <c r="I43" s="1666"/>
      <c r="J43" s="1666"/>
    </row>
    <row r="44" spans="1:10" ht="15" x14ac:dyDescent="0.25">
      <c r="A44" s="1698"/>
      <c r="B44" s="1699"/>
      <c r="C44" s="1699"/>
      <c r="D44" s="1700"/>
      <c r="E44" s="1667"/>
      <c r="F44" s="1667"/>
      <c r="G44" s="683"/>
      <c r="H44" s="1666"/>
      <c r="I44" s="1666"/>
      <c r="J44" s="1666"/>
    </row>
    <row r="45" spans="1:10" ht="15" x14ac:dyDescent="0.25">
      <c r="A45" s="1698"/>
      <c r="B45" s="1699"/>
      <c r="C45" s="1699"/>
      <c r="D45" s="1700"/>
      <c r="E45" s="1667"/>
      <c r="F45" s="1667"/>
      <c r="G45" s="683"/>
      <c r="H45" s="1666"/>
      <c r="I45" s="1666"/>
      <c r="J45" s="1666"/>
    </row>
    <row r="46" spans="1:10" ht="15" x14ac:dyDescent="0.25">
      <c r="A46" s="1698"/>
      <c r="B46" s="1699"/>
      <c r="C46" s="1699"/>
      <c r="D46" s="1700"/>
      <c r="E46" s="1667"/>
      <c r="F46" s="1667"/>
      <c r="G46" s="683"/>
      <c r="H46" s="1666"/>
      <c r="I46" s="1666"/>
      <c r="J46" s="1666"/>
    </row>
    <row r="47" spans="1:10" ht="15" x14ac:dyDescent="0.25">
      <c r="A47" s="1698"/>
      <c r="B47" s="1699"/>
      <c r="C47" s="1699"/>
      <c r="D47" s="1700"/>
      <c r="E47" s="1667"/>
      <c r="F47" s="1667"/>
      <c r="G47" s="683"/>
      <c r="H47" s="1666"/>
      <c r="I47" s="1666"/>
      <c r="J47" s="1666"/>
    </row>
  </sheetData>
  <mergeCells count="112">
    <mergeCell ref="C7:J7"/>
    <mergeCell ref="C8:J8"/>
    <mergeCell ref="C9:J9"/>
    <mergeCell ref="C10:D10"/>
    <mergeCell ref="E10:G10"/>
    <mergeCell ref="H10:J10"/>
    <mergeCell ref="A1:J1"/>
    <mergeCell ref="C2:J2"/>
    <mergeCell ref="C3:J3"/>
    <mergeCell ref="C4:J4"/>
    <mergeCell ref="C5:J5"/>
    <mergeCell ref="C6:D6"/>
    <mergeCell ref="E6:F6"/>
    <mergeCell ref="H6:I6"/>
    <mergeCell ref="A18:E18"/>
    <mergeCell ref="F18:H18"/>
    <mergeCell ref="I18:J18"/>
    <mergeCell ref="A19:E19"/>
    <mergeCell ref="F19:H19"/>
    <mergeCell ref="I19:J19"/>
    <mergeCell ref="C11:D11"/>
    <mergeCell ref="E11:G11"/>
    <mergeCell ref="H11:J11"/>
    <mergeCell ref="A13:J13"/>
    <mergeCell ref="A16:J16"/>
    <mergeCell ref="A17:E17"/>
    <mergeCell ref="F17:H17"/>
    <mergeCell ref="I17:J17"/>
    <mergeCell ref="A22:E22"/>
    <mergeCell ref="F22:H22"/>
    <mergeCell ref="I22:J22"/>
    <mergeCell ref="A23:E23"/>
    <mergeCell ref="F23:H23"/>
    <mergeCell ref="I23:J23"/>
    <mergeCell ref="A20:E20"/>
    <mergeCell ref="F20:H20"/>
    <mergeCell ref="I20:J20"/>
    <mergeCell ref="A21:E21"/>
    <mergeCell ref="F21:H21"/>
    <mergeCell ref="I21:J21"/>
    <mergeCell ref="A28:B28"/>
    <mergeCell ref="C28:D28"/>
    <mergeCell ref="E28:F28"/>
    <mergeCell ref="H28:J28"/>
    <mergeCell ref="A29:B29"/>
    <mergeCell ref="C29:D29"/>
    <mergeCell ref="E29:F29"/>
    <mergeCell ref="H29:J29"/>
    <mergeCell ref="A25:J25"/>
    <mergeCell ref="A26:B26"/>
    <mergeCell ref="C26:D26"/>
    <mergeCell ref="E26:F26"/>
    <mergeCell ref="H26:J26"/>
    <mergeCell ref="A27:B27"/>
    <mergeCell ref="C27:D27"/>
    <mergeCell ref="E27:F27"/>
    <mergeCell ref="H27:J27"/>
    <mergeCell ref="A32:B32"/>
    <mergeCell ref="C32:D32"/>
    <mergeCell ref="E32:F32"/>
    <mergeCell ref="H32:J32"/>
    <mergeCell ref="A33:B33"/>
    <mergeCell ref="C33:D33"/>
    <mergeCell ref="E33:F33"/>
    <mergeCell ref="H33:J33"/>
    <mergeCell ref="A30:B30"/>
    <mergeCell ref="C30:D30"/>
    <mergeCell ref="E30:F30"/>
    <mergeCell ref="H30:J30"/>
    <mergeCell ref="A31:B31"/>
    <mergeCell ref="C31:D31"/>
    <mergeCell ref="E31:F31"/>
    <mergeCell ref="H31:J31"/>
    <mergeCell ref="A37:J37"/>
    <mergeCell ref="A38:D38"/>
    <mergeCell ref="E38:F38"/>
    <mergeCell ref="H38:J38"/>
    <mergeCell ref="A39:D39"/>
    <mergeCell ref="E39:F39"/>
    <mergeCell ref="H39:J39"/>
    <mergeCell ref="A34:B34"/>
    <mergeCell ref="C34:D34"/>
    <mergeCell ref="E34:F34"/>
    <mergeCell ref="H34:J34"/>
    <mergeCell ref="A35:B35"/>
    <mergeCell ref="C35:D35"/>
    <mergeCell ref="E35:F35"/>
    <mergeCell ref="H35:J35"/>
    <mergeCell ref="A42:D42"/>
    <mergeCell ref="E42:F42"/>
    <mergeCell ref="H42:J42"/>
    <mergeCell ref="A43:D43"/>
    <mergeCell ref="E43:F43"/>
    <mergeCell ref="H43:J43"/>
    <mergeCell ref="A40:D40"/>
    <mergeCell ref="E40:F40"/>
    <mergeCell ref="H40:J40"/>
    <mergeCell ref="A41:D41"/>
    <mergeCell ref="E41:F41"/>
    <mergeCell ref="H41:J41"/>
    <mergeCell ref="A46:D46"/>
    <mergeCell ref="E46:F46"/>
    <mergeCell ref="H46:J46"/>
    <mergeCell ref="A47:D47"/>
    <mergeCell ref="E47:F47"/>
    <mergeCell ref="H47:J47"/>
    <mergeCell ref="A44:D44"/>
    <mergeCell ref="E44:F44"/>
    <mergeCell ref="H44:J44"/>
    <mergeCell ref="A45:D45"/>
    <mergeCell ref="E45:F45"/>
    <mergeCell ref="H45:J45"/>
  </mergeCells>
  <pageMargins left="0.7" right="0.7" top="0.75" bottom="0.75" header="0.3" footer="0.3"/>
  <drawing r:id="rId1"/>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8C3A81-802F-478C-A217-AE9CC68A8CB5}">
  <dimension ref="A1:J49"/>
  <sheetViews>
    <sheetView workbookViewId="0">
      <selection activeCell="E18" sqref="E18"/>
    </sheetView>
  </sheetViews>
  <sheetFormatPr baseColWidth="10" defaultColWidth="11.42578125" defaultRowHeight="14.45" customHeight="1" x14ac:dyDescent="0.25"/>
  <cols>
    <col min="2" max="2" width="18.5703125" customWidth="1"/>
    <col min="4" max="4" width="14" customWidth="1"/>
    <col min="5" max="5" width="9.140625" customWidth="1"/>
    <col min="7" max="7" width="12.7109375" customWidth="1"/>
    <col min="8" max="8" width="8.42578125" customWidth="1"/>
    <col min="9" max="9" width="15.42578125" customWidth="1"/>
    <col min="10" max="10" width="8.42578125" customWidth="1"/>
    <col min="12" max="12" width="7.28515625" customWidth="1"/>
  </cols>
  <sheetData>
    <row r="1" spans="1:10" ht="6.75" customHeight="1" x14ac:dyDescent="0.25">
      <c r="A1" s="1514"/>
      <c r="B1" s="1514"/>
      <c r="C1" s="1515"/>
      <c r="D1" s="1515"/>
      <c r="E1" s="1515"/>
      <c r="F1" s="1515"/>
      <c r="G1" s="1515"/>
      <c r="H1" s="1515"/>
      <c r="I1" s="1515"/>
      <c r="J1" s="1515"/>
    </row>
    <row r="2" spans="1:10" ht="15" x14ac:dyDescent="0.25">
      <c r="A2" s="199" t="s">
        <v>361</v>
      </c>
      <c r="B2" s="199"/>
      <c r="C2" s="1505" t="s">
        <v>2</v>
      </c>
      <c r="D2" s="958"/>
      <c r="E2" s="958"/>
      <c r="F2" s="958"/>
      <c r="G2" s="958"/>
      <c r="H2" s="958"/>
      <c r="I2" s="958"/>
      <c r="J2" s="958"/>
    </row>
    <row r="3" spans="1:10" ht="15" x14ac:dyDescent="0.25">
      <c r="A3" s="199"/>
      <c r="B3" s="199"/>
      <c r="C3" s="1506" t="s">
        <v>4</v>
      </c>
      <c r="D3" s="1506"/>
      <c r="E3" s="1506"/>
      <c r="F3" s="1506"/>
      <c r="G3" s="1506"/>
      <c r="H3" s="1506"/>
      <c r="I3" s="1506"/>
      <c r="J3" s="1506"/>
    </row>
    <row r="4" spans="1:10" ht="15" x14ac:dyDescent="0.25">
      <c r="A4" s="199" t="s">
        <v>362</v>
      </c>
      <c r="B4" s="199"/>
      <c r="C4" s="1506" t="s">
        <v>6</v>
      </c>
      <c r="D4" s="957"/>
      <c r="E4" s="957"/>
      <c r="F4" s="957"/>
      <c r="G4" s="957"/>
      <c r="H4" s="957"/>
      <c r="I4" s="957"/>
      <c r="J4" s="957"/>
    </row>
    <row r="5" spans="1:10" ht="15" x14ac:dyDescent="0.25">
      <c r="A5" s="199" t="s">
        <v>363</v>
      </c>
      <c r="B5" s="199"/>
      <c r="C5" s="1492">
        <v>4431</v>
      </c>
      <c r="D5" s="1492"/>
      <c r="E5" s="1492"/>
      <c r="F5" s="1492"/>
      <c r="G5" s="1492"/>
      <c r="H5" s="1492"/>
      <c r="I5" s="1492"/>
      <c r="J5" s="1492"/>
    </row>
    <row r="6" spans="1:10" ht="15" x14ac:dyDescent="0.25">
      <c r="A6" s="199" t="s">
        <v>364</v>
      </c>
      <c r="B6" s="199"/>
      <c r="C6" s="957" t="s">
        <v>12</v>
      </c>
      <c r="D6" s="957"/>
      <c r="E6" s="1490" t="s">
        <v>365</v>
      </c>
      <c r="F6" s="1490"/>
      <c r="G6" s="202">
        <v>46022</v>
      </c>
      <c r="H6" s="770" t="s">
        <v>465</v>
      </c>
      <c r="I6" s="770"/>
      <c r="J6" s="235">
        <v>12</v>
      </c>
    </row>
    <row r="7" spans="1:10" ht="15" x14ac:dyDescent="0.25">
      <c r="A7" s="199" t="s">
        <v>367</v>
      </c>
      <c r="B7" s="199"/>
      <c r="C7" s="1487" t="s">
        <v>8</v>
      </c>
      <c r="D7" s="1487"/>
      <c r="E7" s="1487"/>
      <c r="F7" s="1487"/>
      <c r="G7" s="1487"/>
      <c r="H7" s="1487"/>
      <c r="I7" s="1487"/>
      <c r="J7" s="1487"/>
    </row>
    <row r="8" spans="1:10" ht="15" x14ac:dyDescent="0.25">
      <c r="A8" s="199" t="s">
        <v>466</v>
      </c>
      <c r="B8" s="203"/>
      <c r="C8" s="959" t="s">
        <v>34</v>
      </c>
      <c r="D8" s="959"/>
      <c r="E8" s="959"/>
      <c r="F8" s="959"/>
      <c r="G8" s="959"/>
      <c r="H8" s="959"/>
      <c r="I8" s="959"/>
      <c r="J8" s="959"/>
    </row>
    <row r="9" spans="1:10" ht="15" x14ac:dyDescent="0.25">
      <c r="A9" s="198"/>
      <c r="B9" s="203"/>
      <c r="C9" s="770">
        <v>555555</v>
      </c>
      <c r="D9" s="770"/>
      <c r="E9" s="770"/>
      <c r="F9" s="770"/>
      <c r="G9" s="770"/>
      <c r="H9" s="770"/>
      <c r="I9" s="770"/>
      <c r="J9" s="770"/>
    </row>
    <row r="10" spans="1:10" ht="15" x14ac:dyDescent="0.25">
      <c r="A10" s="199" t="s">
        <v>467</v>
      </c>
      <c r="B10" s="203"/>
      <c r="C10" s="770" t="s">
        <v>38</v>
      </c>
      <c r="D10" s="770"/>
      <c r="E10" s="770" t="s">
        <v>468</v>
      </c>
      <c r="F10" s="770"/>
      <c r="G10" s="770"/>
      <c r="H10" s="770" t="s">
        <v>36</v>
      </c>
      <c r="I10" s="770"/>
      <c r="J10" s="770"/>
    </row>
    <row r="11" spans="1:10" ht="15" x14ac:dyDescent="0.25">
      <c r="A11" s="199" t="s">
        <v>469</v>
      </c>
      <c r="B11" s="203"/>
      <c r="C11" s="975">
        <v>44713</v>
      </c>
      <c r="D11" s="975"/>
      <c r="E11" s="770" t="s">
        <v>470</v>
      </c>
      <c r="F11" s="770"/>
      <c r="G11" s="770"/>
      <c r="H11" s="975">
        <v>45991</v>
      </c>
      <c r="I11" s="975"/>
      <c r="J11" s="975"/>
    </row>
    <row r="12" spans="1:10" ht="8.4499999999999993" customHeight="1" thickBot="1" x14ac:dyDescent="0.3">
      <c r="A12" s="24"/>
      <c r="B12" s="24"/>
      <c r="C12" s="24"/>
      <c r="D12" s="24"/>
      <c r="E12" s="24"/>
      <c r="F12" s="24"/>
      <c r="G12" s="24"/>
      <c r="H12" s="24"/>
      <c r="I12" s="24"/>
      <c r="J12" s="24"/>
    </row>
    <row r="13" spans="1:10" ht="15.75" thickBot="1" x14ac:dyDescent="0.3">
      <c r="A13" s="1692" t="s">
        <v>1970</v>
      </c>
      <c r="B13" s="1634"/>
      <c r="C13" s="1634"/>
      <c r="D13" s="1634"/>
      <c r="E13" s="1634"/>
      <c r="F13" s="1634"/>
      <c r="G13" s="1634"/>
      <c r="H13" s="1634"/>
      <c r="I13" s="1634"/>
      <c r="J13" s="1635"/>
    </row>
    <row r="14" spans="1:10" ht="6.75" customHeight="1" x14ac:dyDescent="0.25">
      <c r="A14" s="28"/>
      <c r="B14" s="28"/>
      <c r="C14" s="670"/>
      <c r="D14" s="670"/>
      <c r="E14" s="670"/>
      <c r="F14" s="670"/>
      <c r="G14" s="670"/>
      <c r="H14" s="670"/>
      <c r="I14" s="670"/>
      <c r="J14" s="28"/>
    </row>
    <row r="15" spans="1:10" ht="15" x14ac:dyDescent="0.25">
      <c r="A15" s="1695" t="s">
        <v>1971</v>
      </c>
      <c r="B15" s="1695"/>
      <c r="C15" s="1695"/>
      <c r="D15" s="1695"/>
      <c r="E15" s="1695"/>
      <c r="F15" s="1695"/>
      <c r="G15" s="1695"/>
      <c r="H15" s="1695"/>
      <c r="I15" s="1695"/>
      <c r="J15" s="1695"/>
    </row>
    <row r="16" spans="1:10" ht="32.25" customHeight="1" x14ac:dyDescent="0.25">
      <c r="A16" s="1696" t="s">
        <v>1972</v>
      </c>
      <c r="B16" s="1696"/>
      <c r="C16" s="1696"/>
      <c r="D16" s="684" t="s">
        <v>1101</v>
      </c>
      <c r="E16" s="684" t="s">
        <v>1952</v>
      </c>
      <c r="F16" s="1697" t="s">
        <v>1953</v>
      </c>
      <c r="G16" s="1697"/>
      <c r="H16" s="684" t="s">
        <v>1954</v>
      </c>
      <c r="I16" s="1697" t="s">
        <v>1955</v>
      </c>
      <c r="J16" s="1697"/>
    </row>
    <row r="17" spans="1:10" ht="15" x14ac:dyDescent="0.25">
      <c r="A17" s="1666"/>
      <c r="B17" s="1666"/>
      <c r="C17" s="1666"/>
      <c r="D17" s="683"/>
      <c r="E17" s="617"/>
      <c r="F17" s="1667"/>
      <c r="G17" s="1667"/>
      <c r="H17" s="617"/>
      <c r="I17" s="1667"/>
      <c r="J17" s="1667"/>
    </row>
    <row r="18" spans="1:10" ht="15" x14ac:dyDescent="0.25">
      <c r="A18" s="1666"/>
      <c r="B18" s="1666"/>
      <c r="C18" s="1666"/>
      <c r="D18" s="683"/>
      <c r="E18" s="617"/>
      <c r="F18" s="1667"/>
      <c r="G18" s="1667"/>
      <c r="H18" s="617"/>
      <c r="I18" s="1667"/>
      <c r="J18" s="1667"/>
    </row>
    <row r="19" spans="1:10" ht="15" x14ac:dyDescent="0.25">
      <c r="A19" s="1666"/>
      <c r="B19" s="1666"/>
      <c r="C19" s="1666"/>
      <c r="D19" s="683"/>
      <c r="E19" s="617"/>
      <c r="F19" s="1667"/>
      <c r="G19" s="1667"/>
      <c r="H19" s="617"/>
      <c r="I19" s="1667"/>
      <c r="J19" s="1667"/>
    </row>
    <row r="20" spans="1:10" ht="15" x14ac:dyDescent="0.25">
      <c r="A20" s="1666"/>
      <c r="B20" s="1666"/>
      <c r="C20" s="1666"/>
      <c r="D20" s="683"/>
      <c r="E20" s="617"/>
      <c r="F20" s="1667"/>
      <c r="G20" s="1667"/>
      <c r="H20" s="617"/>
      <c r="I20" s="1667"/>
      <c r="J20" s="1667"/>
    </row>
    <row r="21" spans="1:10" ht="15" x14ac:dyDescent="0.25">
      <c r="A21" s="1666"/>
      <c r="B21" s="1666"/>
      <c r="C21" s="1666"/>
      <c r="D21" s="683"/>
      <c r="E21" s="617"/>
      <c r="F21" s="1667"/>
      <c r="G21" s="1667"/>
      <c r="H21" s="617"/>
      <c r="I21" s="1667"/>
      <c r="J21" s="1667"/>
    </row>
    <row r="22" spans="1:10" ht="15" x14ac:dyDescent="0.25">
      <c r="A22" s="1666"/>
      <c r="B22" s="1666"/>
      <c r="C22" s="1666"/>
      <c r="D22" s="683"/>
      <c r="E22" s="617"/>
      <c r="F22" s="1667"/>
      <c r="G22" s="1667"/>
      <c r="H22" s="617"/>
      <c r="I22" s="1667"/>
      <c r="J22" s="1667"/>
    </row>
    <row r="23" spans="1:10" ht="15" x14ac:dyDescent="0.25">
      <c r="A23" s="1666"/>
      <c r="B23" s="1666"/>
      <c r="C23" s="1666"/>
      <c r="D23" s="683"/>
      <c r="E23" s="617"/>
      <c r="F23" s="1667"/>
      <c r="G23" s="1667"/>
      <c r="H23" s="617"/>
      <c r="I23" s="1667"/>
      <c r="J23" s="1667"/>
    </row>
    <row r="24" spans="1:10" ht="15" x14ac:dyDescent="0.25">
      <c r="A24" s="1666"/>
      <c r="B24" s="1666"/>
      <c r="C24" s="1666"/>
      <c r="D24" s="683"/>
      <c r="E24" s="617"/>
      <c r="F24" s="1667"/>
      <c r="G24" s="1667"/>
      <c r="H24" s="617"/>
      <c r="I24" s="1667"/>
      <c r="J24" s="1667"/>
    </row>
    <row r="25" spans="1:10" ht="15" x14ac:dyDescent="0.25">
      <c r="A25" s="1666"/>
      <c r="B25" s="1666"/>
      <c r="C25" s="1666"/>
      <c r="D25" s="683"/>
      <c r="E25" s="617"/>
      <c r="F25" s="1667"/>
      <c r="G25" s="1667"/>
      <c r="H25" s="617"/>
      <c r="I25" s="1667"/>
      <c r="J25" s="1667"/>
    </row>
    <row r="26" spans="1:10" ht="15" x14ac:dyDescent="0.25">
      <c r="A26" s="1666"/>
      <c r="B26" s="1666"/>
      <c r="C26" s="1666"/>
      <c r="D26" s="683"/>
      <c r="E26" s="617"/>
      <c r="F26" s="1667"/>
      <c r="G26" s="1667"/>
      <c r="H26" s="617"/>
      <c r="I26" s="1667"/>
      <c r="J26" s="1667"/>
    </row>
    <row r="27" spans="1:10" ht="15" x14ac:dyDescent="0.25">
      <c r="A27" s="1666"/>
      <c r="B27" s="1666"/>
      <c r="C27" s="1666"/>
      <c r="D27" s="683"/>
      <c r="E27" s="617"/>
      <c r="F27" s="1667"/>
      <c r="G27" s="1667"/>
      <c r="H27" s="617"/>
      <c r="I27" s="1667"/>
      <c r="J27" s="1667"/>
    </row>
    <row r="28" spans="1:10" ht="15" x14ac:dyDescent="0.25">
      <c r="A28" s="1666"/>
      <c r="B28" s="1666"/>
      <c r="C28" s="1666"/>
      <c r="D28" s="683"/>
      <c r="E28" s="617"/>
      <c r="F28" s="1667"/>
      <c r="G28" s="1667"/>
      <c r="H28" s="617"/>
      <c r="I28" s="1667"/>
      <c r="J28" s="1667"/>
    </row>
    <row r="29" spans="1:10" ht="15" x14ac:dyDescent="0.25">
      <c r="A29" s="1666"/>
      <c r="B29" s="1666"/>
      <c r="C29" s="1666"/>
      <c r="D29" s="683"/>
      <c r="E29" s="617"/>
      <c r="F29" s="1667"/>
      <c r="G29" s="1667"/>
      <c r="H29" s="617"/>
      <c r="I29" s="1667"/>
      <c r="J29" s="1667"/>
    </row>
    <row r="30" spans="1:10" ht="15" x14ac:dyDescent="0.25">
      <c r="A30" s="1666"/>
      <c r="B30" s="1666"/>
      <c r="C30" s="1666"/>
      <c r="D30" s="683"/>
      <c r="E30" s="617"/>
      <c r="F30" s="1667"/>
      <c r="G30" s="1667"/>
      <c r="H30" s="617"/>
      <c r="I30" s="1667"/>
      <c r="J30" s="1667"/>
    </row>
    <row r="31" spans="1:10" ht="15" x14ac:dyDescent="0.25">
      <c r="A31" s="1666"/>
      <c r="B31" s="1666"/>
      <c r="C31" s="1666"/>
      <c r="D31" s="683"/>
      <c r="E31" s="617"/>
      <c r="F31" s="1667"/>
      <c r="G31" s="1667"/>
      <c r="H31" s="617"/>
      <c r="I31" s="1667"/>
      <c r="J31" s="1667"/>
    </row>
    <row r="32" spans="1:10" ht="11.25" customHeight="1" x14ac:dyDescent="0.25">
      <c r="A32" s="28"/>
      <c r="B32" s="28"/>
      <c r="C32" s="28"/>
      <c r="D32" s="28"/>
      <c r="E32" s="28"/>
      <c r="F32" s="28"/>
      <c r="G32" s="28"/>
      <c r="H32" s="28"/>
      <c r="I32" s="28"/>
      <c r="J32" s="28"/>
    </row>
    <row r="33" spans="1:10" ht="15" x14ac:dyDescent="0.25">
      <c r="A33" s="1695" t="s">
        <v>1973</v>
      </c>
      <c r="B33" s="1695"/>
      <c r="C33" s="1695"/>
      <c r="D33" s="1695"/>
      <c r="E33" s="1695"/>
      <c r="F33" s="1695"/>
      <c r="G33" s="1695"/>
      <c r="H33" s="1695"/>
      <c r="I33" s="1695"/>
      <c r="J33" s="1695"/>
    </row>
    <row r="34" spans="1:10" ht="29.25" customHeight="1" x14ac:dyDescent="0.25">
      <c r="A34" s="1696" t="s">
        <v>1974</v>
      </c>
      <c r="B34" s="1696"/>
      <c r="C34" s="1696"/>
      <c r="D34" s="1696"/>
      <c r="E34" s="1696"/>
      <c r="F34" s="1697" t="s">
        <v>1975</v>
      </c>
      <c r="G34" s="1697"/>
      <c r="H34" s="1697"/>
      <c r="I34" s="1696" t="s">
        <v>1976</v>
      </c>
      <c r="J34" s="1696"/>
    </row>
    <row r="35" spans="1:10" ht="15" x14ac:dyDescent="0.25">
      <c r="A35" s="1666"/>
      <c r="B35" s="1666"/>
      <c r="C35" s="1666"/>
      <c r="D35" s="1666"/>
      <c r="E35" s="1666"/>
      <c r="F35" s="1666"/>
      <c r="G35" s="1666"/>
      <c r="H35" s="1666"/>
      <c r="I35" s="1667"/>
      <c r="J35" s="1667"/>
    </row>
    <row r="36" spans="1:10" ht="15" x14ac:dyDescent="0.25">
      <c r="A36" s="1666"/>
      <c r="B36" s="1666"/>
      <c r="C36" s="1666"/>
      <c r="D36" s="1666"/>
      <c r="E36" s="1666"/>
      <c r="F36" s="1666"/>
      <c r="G36" s="1666"/>
      <c r="H36" s="1666"/>
      <c r="I36" s="1667"/>
      <c r="J36" s="1667"/>
    </row>
    <row r="37" spans="1:10" ht="15" x14ac:dyDescent="0.25">
      <c r="A37" s="1666"/>
      <c r="B37" s="1666"/>
      <c r="C37" s="1666"/>
      <c r="D37" s="1666"/>
      <c r="E37" s="1666"/>
      <c r="F37" s="1666"/>
      <c r="G37" s="1666"/>
      <c r="H37" s="1666"/>
      <c r="I37" s="1667"/>
      <c r="J37" s="1667"/>
    </row>
    <row r="38" spans="1:10" ht="15" x14ac:dyDescent="0.25">
      <c r="A38" s="1666"/>
      <c r="B38" s="1666"/>
      <c r="C38" s="1666"/>
      <c r="D38" s="1666"/>
      <c r="E38" s="1666"/>
      <c r="F38" s="1666"/>
      <c r="G38" s="1666"/>
      <c r="H38" s="1666"/>
      <c r="I38" s="1667"/>
      <c r="J38" s="1667"/>
    </row>
    <row r="39" spans="1:10" ht="15" x14ac:dyDescent="0.25">
      <c r="A39" s="1666"/>
      <c r="B39" s="1666"/>
      <c r="C39" s="1666"/>
      <c r="D39" s="1666"/>
      <c r="E39" s="1666"/>
      <c r="F39" s="1666"/>
      <c r="G39" s="1666"/>
      <c r="H39" s="1666"/>
      <c r="I39" s="1667"/>
      <c r="J39" s="1667"/>
    </row>
    <row r="40" spans="1:10" ht="15" x14ac:dyDescent="0.25">
      <c r="A40" s="1666"/>
      <c r="B40" s="1666"/>
      <c r="C40" s="1666"/>
      <c r="D40" s="1666"/>
      <c r="E40" s="1666"/>
      <c r="F40" s="1666"/>
      <c r="G40" s="1666"/>
      <c r="H40" s="1666"/>
      <c r="I40" s="1667"/>
      <c r="J40" s="1667"/>
    </row>
    <row r="41" spans="1:10" ht="15" x14ac:dyDescent="0.25">
      <c r="A41" s="1666"/>
      <c r="B41" s="1666"/>
      <c r="C41" s="1666"/>
      <c r="D41" s="1666"/>
      <c r="E41" s="1666"/>
      <c r="F41" s="1666"/>
      <c r="G41" s="1666"/>
      <c r="H41" s="1666"/>
      <c r="I41" s="1667"/>
      <c r="J41" s="1667"/>
    </row>
    <row r="42" spans="1:10" ht="15" x14ac:dyDescent="0.25">
      <c r="A42" s="1666"/>
      <c r="B42" s="1666"/>
      <c r="C42" s="1666"/>
      <c r="D42" s="1666"/>
      <c r="E42" s="1666"/>
      <c r="F42" s="1666"/>
      <c r="G42" s="1666"/>
      <c r="H42" s="1666"/>
      <c r="I42" s="1667"/>
      <c r="J42" s="1667"/>
    </row>
    <row r="43" spans="1:10" ht="15" x14ac:dyDescent="0.25">
      <c r="A43" s="1666"/>
      <c r="B43" s="1666"/>
      <c r="C43" s="1666"/>
      <c r="D43" s="1666"/>
      <c r="E43" s="1666"/>
      <c r="F43" s="1666"/>
      <c r="G43" s="1666"/>
      <c r="H43" s="1666"/>
      <c r="I43" s="1667"/>
      <c r="J43" s="1667"/>
    </row>
    <row r="44" spans="1:10" ht="15" x14ac:dyDescent="0.25">
      <c r="A44" s="1666"/>
      <c r="B44" s="1666"/>
      <c r="C44" s="1666"/>
      <c r="D44" s="1666"/>
      <c r="E44" s="1666"/>
      <c r="F44" s="1666"/>
      <c r="G44" s="1666"/>
      <c r="H44" s="1666"/>
      <c r="I44" s="1667"/>
      <c r="J44" s="1667"/>
    </row>
    <row r="45" spans="1:10" ht="15" x14ac:dyDescent="0.25">
      <c r="A45" s="1666"/>
      <c r="B45" s="1666"/>
      <c r="C45" s="1666"/>
      <c r="D45" s="1666"/>
      <c r="E45" s="1666"/>
      <c r="F45" s="1666"/>
      <c r="G45" s="1666"/>
      <c r="H45" s="1666"/>
      <c r="I45" s="1667"/>
      <c r="J45" s="1667"/>
    </row>
    <row r="46" spans="1:10" ht="15" x14ac:dyDescent="0.25">
      <c r="A46" s="1666"/>
      <c r="B46" s="1666"/>
      <c r="C46" s="1666"/>
      <c r="D46" s="1666"/>
      <c r="E46" s="1666"/>
      <c r="F46" s="1666"/>
      <c r="G46" s="1666"/>
      <c r="H46" s="1666"/>
      <c r="I46" s="1667"/>
      <c r="J46" s="1667"/>
    </row>
    <row r="47" spans="1:10" ht="15" x14ac:dyDescent="0.25">
      <c r="A47" s="1666"/>
      <c r="B47" s="1666"/>
      <c r="C47" s="1666"/>
      <c r="D47" s="1666"/>
      <c r="E47" s="1666"/>
      <c r="F47" s="1666"/>
      <c r="G47" s="1666"/>
      <c r="H47" s="1666"/>
      <c r="I47" s="1667"/>
      <c r="J47" s="1667"/>
    </row>
    <row r="48" spans="1:10" ht="19.149999999999999" customHeight="1" x14ac:dyDescent="0.25">
      <c r="A48" s="572"/>
      <c r="B48" s="572"/>
      <c r="C48" s="572"/>
      <c r="D48" s="572"/>
      <c r="E48" s="572"/>
      <c r="F48" s="572"/>
      <c r="G48" s="572"/>
      <c r="H48" s="572"/>
      <c r="I48" s="572"/>
      <c r="J48" s="572"/>
    </row>
    <row r="49" spans="1:10" ht="15" customHeight="1" x14ac:dyDescent="0.25">
      <c r="A49" s="572"/>
      <c r="B49" s="572"/>
      <c r="C49" s="572"/>
      <c r="D49" s="572"/>
      <c r="E49" s="572"/>
      <c r="F49" s="572"/>
      <c r="G49" s="572"/>
      <c r="H49" s="572"/>
      <c r="I49" s="572"/>
      <c r="J49" s="572"/>
    </row>
  </sheetData>
  <mergeCells count="110">
    <mergeCell ref="C7:J7"/>
    <mergeCell ref="C8:J8"/>
    <mergeCell ref="C9:J9"/>
    <mergeCell ref="C10:D10"/>
    <mergeCell ref="E10:G10"/>
    <mergeCell ref="H10:J10"/>
    <mergeCell ref="A1:J1"/>
    <mergeCell ref="C2:J2"/>
    <mergeCell ref="C3:J3"/>
    <mergeCell ref="C4:J4"/>
    <mergeCell ref="C5:J5"/>
    <mergeCell ref="C6:D6"/>
    <mergeCell ref="E6:F6"/>
    <mergeCell ref="H6:I6"/>
    <mergeCell ref="A17:C17"/>
    <mergeCell ref="F17:G17"/>
    <mergeCell ref="I17:J17"/>
    <mergeCell ref="A18:C18"/>
    <mergeCell ref="F18:G18"/>
    <mergeCell ref="I18:J18"/>
    <mergeCell ref="C11:D11"/>
    <mergeCell ref="E11:G11"/>
    <mergeCell ref="H11:J11"/>
    <mergeCell ref="A13:J13"/>
    <mergeCell ref="A15:J15"/>
    <mergeCell ref="A16:C16"/>
    <mergeCell ref="F16:G16"/>
    <mergeCell ref="I16:J16"/>
    <mergeCell ref="A21:C21"/>
    <mergeCell ref="F21:G21"/>
    <mergeCell ref="I21:J21"/>
    <mergeCell ref="A22:C22"/>
    <mergeCell ref="F22:G22"/>
    <mergeCell ref="I22:J22"/>
    <mergeCell ref="A19:C19"/>
    <mergeCell ref="F19:G19"/>
    <mergeCell ref="I19:J19"/>
    <mergeCell ref="A20:C20"/>
    <mergeCell ref="F20:G20"/>
    <mergeCell ref="I20:J20"/>
    <mergeCell ref="A25:C25"/>
    <mergeCell ref="F25:G25"/>
    <mergeCell ref="I25:J25"/>
    <mergeCell ref="A26:C26"/>
    <mergeCell ref="F26:G26"/>
    <mergeCell ref="I26:J26"/>
    <mergeCell ref="A23:C23"/>
    <mergeCell ref="F23:G23"/>
    <mergeCell ref="I23:J23"/>
    <mergeCell ref="A24:C24"/>
    <mergeCell ref="F24:G24"/>
    <mergeCell ref="I24:J24"/>
    <mergeCell ref="A29:C29"/>
    <mergeCell ref="F29:G29"/>
    <mergeCell ref="I29:J29"/>
    <mergeCell ref="A30:C30"/>
    <mergeCell ref="F30:G30"/>
    <mergeCell ref="I30:J30"/>
    <mergeCell ref="A27:C27"/>
    <mergeCell ref="F27:G27"/>
    <mergeCell ref="I27:J27"/>
    <mergeCell ref="A28:C28"/>
    <mergeCell ref="F28:G28"/>
    <mergeCell ref="I28:J28"/>
    <mergeCell ref="A35:E35"/>
    <mergeCell ref="F35:H35"/>
    <mergeCell ref="I35:J35"/>
    <mergeCell ref="A36:E36"/>
    <mergeCell ref="F36:H36"/>
    <mergeCell ref="I36:J36"/>
    <mergeCell ref="A31:C31"/>
    <mergeCell ref="F31:G31"/>
    <mergeCell ref="I31:J31"/>
    <mergeCell ref="A33:J33"/>
    <mergeCell ref="A34:E34"/>
    <mergeCell ref="F34:H34"/>
    <mergeCell ref="I34:J34"/>
    <mergeCell ref="A39:E39"/>
    <mergeCell ref="F39:H39"/>
    <mergeCell ref="I39:J39"/>
    <mergeCell ref="A40:E40"/>
    <mergeCell ref="F40:H40"/>
    <mergeCell ref="I40:J40"/>
    <mergeCell ref="A37:E37"/>
    <mergeCell ref="F37:H37"/>
    <mergeCell ref="I37:J37"/>
    <mergeCell ref="A38:E38"/>
    <mergeCell ref="F38:H38"/>
    <mergeCell ref="I38:J38"/>
    <mergeCell ref="A43:E43"/>
    <mergeCell ref="F43:H43"/>
    <mergeCell ref="I43:J43"/>
    <mergeCell ref="A44:E44"/>
    <mergeCell ref="F44:H44"/>
    <mergeCell ref="I44:J44"/>
    <mergeCell ref="A41:E41"/>
    <mergeCell ref="F41:H41"/>
    <mergeCell ref="I41:J41"/>
    <mergeCell ref="A42:E42"/>
    <mergeCell ref="F42:H42"/>
    <mergeCell ref="I42:J42"/>
    <mergeCell ref="A47:E47"/>
    <mergeCell ref="F47:H47"/>
    <mergeCell ref="I47:J47"/>
    <mergeCell ref="A45:E45"/>
    <mergeCell ref="F45:H45"/>
    <mergeCell ref="I45:J45"/>
    <mergeCell ref="A46:E46"/>
    <mergeCell ref="F46:H46"/>
    <mergeCell ref="I46:J46"/>
  </mergeCells>
  <pageMargins left="0.7" right="0.7" top="0.75" bottom="0.75" header="0.3" footer="0.3"/>
  <drawing r:id="rId1"/>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979B92-2DBC-4306-8AD7-4E603A08324A}">
  <dimension ref="A1:J42"/>
  <sheetViews>
    <sheetView workbookViewId="0">
      <selection sqref="A1:XFD1048576"/>
    </sheetView>
  </sheetViews>
  <sheetFormatPr baseColWidth="10" defaultColWidth="11.42578125" defaultRowHeight="14.45" customHeight="1" x14ac:dyDescent="0.25"/>
  <cols>
    <col min="2" max="2" width="19.85546875" customWidth="1"/>
    <col min="7" max="7" width="13.5703125" customWidth="1"/>
    <col min="12" max="12" width="8.42578125" customWidth="1"/>
  </cols>
  <sheetData>
    <row r="1" spans="1:10" ht="7.5" customHeight="1" x14ac:dyDescent="0.25">
      <c r="A1" s="1514"/>
      <c r="B1" s="1514"/>
      <c r="C1" s="1515"/>
      <c r="D1" s="1515"/>
      <c r="E1" s="1515"/>
      <c r="F1" s="1515"/>
      <c r="G1" s="1515"/>
      <c r="H1" s="1515"/>
      <c r="I1" s="1515"/>
      <c r="J1" s="1515"/>
    </row>
    <row r="2" spans="1:10" ht="15" x14ac:dyDescent="0.25">
      <c r="A2" s="199" t="s">
        <v>361</v>
      </c>
      <c r="B2" s="199"/>
      <c r="C2" s="1505" t="s">
        <v>2</v>
      </c>
      <c r="D2" s="958"/>
      <c r="E2" s="958"/>
      <c r="F2" s="958"/>
      <c r="G2" s="958"/>
      <c r="H2" s="958"/>
      <c r="I2" s="958"/>
      <c r="J2" s="958"/>
    </row>
    <row r="3" spans="1:10" ht="15" x14ac:dyDescent="0.25">
      <c r="A3" s="199"/>
      <c r="B3" s="199"/>
      <c r="C3" s="1506" t="s">
        <v>4</v>
      </c>
      <c r="D3" s="1506"/>
      <c r="E3" s="1506"/>
      <c r="F3" s="1506"/>
      <c r="G3" s="1506"/>
      <c r="H3" s="1506"/>
      <c r="I3" s="1506"/>
      <c r="J3" s="1506"/>
    </row>
    <row r="4" spans="1:10" ht="15" x14ac:dyDescent="0.25">
      <c r="A4" s="199" t="s">
        <v>362</v>
      </c>
      <c r="B4" s="199"/>
      <c r="C4" s="1506" t="s">
        <v>6</v>
      </c>
      <c r="D4" s="957"/>
      <c r="E4" s="957"/>
      <c r="F4" s="957"/>
      <c r="G4" s="957"/>
      <c r="H4" s="957"/>
      <c r="I4" s="957"/>
      <c r="J4" s="957"/>
    </row>
    <row r="5" spans="1:10" ht="15" x14ac:dyDescent="0.25">
      <c r="A5" s="199" t="s">
        <v>363</v>
      </c>
      <c r="B5" s="199"/>
      <c r="C5" s="1492">
        <v>4431</v>
      </c>
      <c r="D5" s="1492"/>
      <c r="E5" s="1492"/>
      <c r="F5" s="1492"/>
      <c r="G5" s="1492"/>
      <c r="H5" s="1492"/>
      <c r="I5" s="1492"/>
      <c r="J5" s="1492"/>
    </row>
    <row r="6" spans="1:10" ht="15" x14ac:dyDescent="0.25">
      <c r="A6" s="199" t="s">
        <v>364</v>
      </c>
      <c r="B6" s="199"/>
      <c r="C6" s="957" t="s">
        <v>12</v>
      </c>
      <c r="D6" s="957"/>
      <c r="E6" s="1490" t="s">
        <v>365</v>
      </c>
      <c r="F6" s="1490"/>
      <c r="G6" s="202">
        <v>46022</v>
      </c>
      <c r="H6" s="770" t="s">
        <v>465</v>
      </c>
      <c r="I6" s="770"/>
      <c r="J6" s="235">
        <v>12</v>
      </c>
    </row>
    <row r="7" spans="1:10" ht="15" x14ac:dyDescent="0.25">
      <c r="A7" s="199" t="s">
        <v>367</v>
      </c>
      <c r="B7" s="199"/>
      <c r="C7" s="1487" t="s">
        <v>8</v>
      </c>
      <c r="D7" s="1487"/>
      <c r="E7" s="1487"/>
      <c r="F7" s="1487"/>
      <c r="G7" s="1487"/>
      <c r="H7" s="1487"/>
      <c r="I7" s="1487"/>
      <c r="J7" s="1487"/>
    </row>
    <row r="8" spans="1:10" ht="16.899999999999999" customHeight="1" x14ac:dyDescent="0.25">
      <c r="A8" s="199" t="s">
        <v>466</v>
      </c>
      <c r="B8" s="203"/>
      <c r="C8" s="959" t="s">
        <v>34</v>
      </c>
      <c r="D8" s="959"/>
      <c r="E8" s="959"/>
      <c r="F8" s="959"/>
      <c r="G8" s="959"/>
      <c r="H8" s="959"/>
      <c r="I8" s="959"/>
      <c r="J8" s="959"/>
    </row>
    <row r="9" spans="1:10" ht="16.899999999999999" customHeight="1" x14ac:dyDescent="0.25">
      <c r="A9" s="198"/>
      <c r="B9" s="203"/>
      <c r="C9" s="770">
        <v>555555</v>
      </c>
      <c r="D9" s="770"/>
      <c r="E9" s="770"/>
      <c r="F9" s="770"/>
      <c r="G9" s="770"/>
      <c r="H9" s="770"/>
      <c r="I9" s="770"/>
      <c r="J9" s="770"/>
    </row>
    <row r="10" spans="1:10" ht="16.899999999999999" customHeight="1" x14ac:dyDescent="0.25">
      <c r="A10" s="199" t="s">
        <v>467</v>
      </c>
      <c r="B10" s="203"/>
      <c r="C10" s="770" t="s">
        <v>38</v>
      </c>
      <c r="D10" s="770"/>
      <c r="E10" s="770" t="s">
        <v>468</v>
      </c>
      <c r="F10" s="770"/>
      <c r="G10" s="770"/>
      <c r="H10" s="770" t="s">
        <v>36</v>
      </c>
      <c r="I10" s="770"/>
      <c r="J10" s="770"/>
    </row>
    <row r="11" spans="1:10" ht="16.899999999999999" customHeight="1" x14ac:dyDescent="0.25">
      <c r="A11" s="199" t="s">
        <v>469</v>
      </c>
      <c r="B11" s="203"/>
      <c r="C11" s="975">
        <v>44713</v>
      </c>
      <c r="D11" s="975"/>
      <c r="E11" s="770" t="s">
        <v>470</v>
      </c>
      <c r="F11" s="770"/>
      <c r="G11" s="770"/>
      <c r="H11" s="975">
        <v>45991</v>
      </c>
      <c r="I11" s="975"/>
      <c r="J11" s="975"/>
    </row>
    <row r="12" spans="1:10" ht="9" customHeight="1" thickBot="1" x14ac:dyDescent="0.3">
      <c r="A12" s="308"/>
      <c r="B12" s="308"/>
      <c r="C12" s="308"/>
      <c r="D12" s="308"/>
      <c r="E12" s="308"/>
      <c r="F12" s="308"/>
      <c r="G12" s="308"/>
      <c r="H12" s="308"/>
      <c r="I12" s="308"/>
      <c r="J12" s="308"/>
    </row>
    <row r="13" spans="1:10" ht="15.75" thickBot="1" x14ac:dyDescent="0.3">
      <c r="A13" s="1692" t="s">
        <v>1977</v>
      </c>
      <c r="B13" s="1634"/>
      <c r="C13" s="1634"/>
      <c r="D13" s="1634"/>
      <c r="E13" s="1634"/>
      <c r="F13" s="1634"/>
      <c r="G13" s="1634"/>
      <c r="H13" s="1634"/>
      <c r="I13" s="1634"/>
      <c r="J13" s="1635"/>
    </row>
    <row r="14" spans="1:10" ht="8.25" customHeight="1" x14ac:dyDescent="0.25">
      <c r="A14" s="28"/>
      <c r="B14" s="28"/>
      <c r="C14" s="28"/>
      <c r="D14" s="28"/>
      <c r="E14" s="28"/>
      <c r="F14" s="28"/>
      <c r="G14" s="28"/>
      <c r="H14" s="28"/>
      <c r="I14" s="28"/>
      <c r="J14" s="28"/>
    </row>
    <row r="15" spans="1:10" ht="18.75" customHeight="1" x14ac:dyDescent="0.25">
      <c r="A15" s="1704" t="s">
        <v>1978</v>
      </c>
      <c r="B15" s="1704"/>
      <c r="C15" s="1704"/>
      <c r="D15" s="1704"/>
      <c r="E15" s="1704"/>
      <c r="F15" s="1704"/>
      <c r="G15" s="1704"/>
      <c r="H15" s="1704"/>
      <c r="I15" s="1704"/>
      <c r="J15" s="1704"/>
    </row>
    <row r="16" spans="1:10" ht="15" x14ac:dyDescent="0.25">
      <c r="A16" s="1335" t="s">
        <v>1979</v>
      </c>
      <c r="B16" s="1335"/>
      <c r="C16" s="1335"/>
      <c r="D16" s="1335"/>
      <c r="E16" s="1335"/>
      <c r="F16" s="1335" t="s">
        <v>1980</v>
      </c>
      <c r="G16" s="1335"/>
      <c r="H16" s="1335"/>
      <c r="I16" s="1335" t="s">
        <v>1101</v>
      </c>
      <c r="J16" s="1335"/>
    </row>
    <row r="17" spans="1:10" ht="15" x14ac:dyDescent="0.25">
      <c r="A17" s="1666"/>
      <c r="B17" s="1666"/>
      <c r="C17" s="1666"/>
      <c r="D17" s="1666"/>
      <c r="E17" s="1666"/>
      <c r="F17" s="1666"/>
      <c r="G17" s="1666"/>
      <c r="H17" s="1666"/>
      <c r="I17" s="1667"/>
      <c r="J17" s="1667"/>
    </row>
    <row r="18" spans="1:10" ht="15" x14ac:dyDescent="0.25">
      <c r="A18" s="1666"/>
      <c r="B18" s="1666"/>
      <c r="C18" s="1666"/>
      <c r="D18" s="1666"/>
      <c r="E18" s="1666"/>
      <c r="F18" s="1666"/>
      <c r="G18" s="1666"/>
      <c r="H18" s="1666"/>
      <c r="I18" s="1667"/>
      <c r="J18" s="1667"/>
    </row>
    <row r="19" spans="1:10" ht="15" x14ac:dyDescent="0.25">
      <c r="A19" s="1666"/>
      <c r="B19" s="1666"/>
      <c r="C19" s="1666"/>
      <c r="D19" s="1666"/>
      <c r="E19" s="1666"/>
      <c r="F19" s="1666"/>
      <c r="G19" s="1666"/>
      <c r="H19" s="1666"/>
      <c r="I19" s="1667"/>
      <c r="J19" s="1667"/>
    </row>
    <row r="20" spans="1:10" ht="15" x14ac:dyDescent="0.25">
      <c r="A20" s="1666"/>
      <c r="B20" s="1666"/>
      <c r="C20" s="1666"/>
      <c r="D20" s="1666"/>
      <c r="E20" s="1666"/>
      <c r="F20" s="1666"/>
      <c r="G20" s="1666"/>
      <c r="H20" s="1666"/>
      <c r="I20" s="1667"/>
      <c r="J20" s="1667"/>
    </row>
    <row r="21" spans="1:10" ht="15" x14ac:dyDescent="0.25">
      <c r="A21" s="1666"/>
      <c r="B21" s="1666"/>
      <c r="C21" s="1666"/>
      <c r="D21" s="1666"/>
      <c r="E21" s="1666"/>
      <c r="F21" s="1666"/>
      <c r="G21" s="1666"/>
      <c r="H21" s="1666"/>
      <c r="I21" s="1667"/>
      <c r="J21" s="1667"/>
    </row>
    <row r="22" spans="1:10" ht="15" x14ac:dyDescent="0.25">
      <c r="A22" s="1666"/>
      <c r="B22" s="1666"/>
      <c r="C22" s="1666"/>
      <c r="D22" s="1666"/>
      <c r="E22" s="1666"/>
      <c r="F22" s="1666"/>
      <c r="G22" s="1666"/>
      <c r="H22" s="1666"/>
      <c r="I22" s="1667"/>
      <c r="J22" s="1667"/>
    </row>
    <row r="23" spans="1:10" ht="12" customHeight="1" x14ac:dyDescent="0.25">
      <c r="A23" s="28"/>
      <c r="B23" s="28"/>
      <c r="C23" s="28"/>
      <c r="D23" s="28"/>
      <c r="E23" s="28"/>
      <c r="F23" s="28"/>
      <c r="G23" s="28"/>
      <c r="H23" s="28"/>
      <c r="I23" s="28"/>
      <c r="J23" s="28"/>
    </row>
    <row r="24" spans="1:10" ht="15" x14ac:dyDescent="0.25">
      <c r="A24" s="1704" t="s">
        <v>1981</v>
      </c>
      <c r="B24" s="1704"/>
      <c r="C24" s="1704"/>
      <c r="D24" s="1704"/>
      <c r="E24" s="1704"/>
      <c r="F24" s="1704"/>
      <c r="G24" s="1704"/>
      <c r="H24" s="1704"/>
      <c r="I24" s="1704"/>
      <c r="J24" s="1704"/>
    </row>
    <row r="25" spans="1:10" ht="15" x14ac:dyDescent="0.25">
      <c r="A25" s="1374" t="s">
        <v>1963</v>
      </c>
      <c r="B25" s="1374"/>
      <c r="C25" s="1374"/>
      <c r="D25" s="1374"/>
      <c r="E25" s="1374"/>
      <c r="F25" s="1374"/>
      <c r="G25" s="1374"/>
      <c r="H25" s="1374" t="s">
        <v>1101</v>
      </c>
      <c r="I25" s="1374"/>
      <c r="J25" s="1374"/>
    </row>
    <row r="26" spans="1:10" ht="15" x14ac:dyDescent="0.25">
      <c r="A26" s="1666"/>
      <c r="B26" s="1666"/>
      <c r="C26" s="1666"/>
      <c r="D26" s="1666"/>
      <c r="E26" s="1666"/>
      <c r="F26" s="1666"/>
      <c r="G26" s="1666"/>
      <c r="H26" s="1667"/>
      <c r="I26" s="1667"/>
      <c r="J26" s="1667"/>
    </row>
    <row r="27" spans="1:10" ht="15" x14ac:dyDescent="0.25">
      <c r="A27" s="1666"/>
      <c r="B27" s="1666"/>
      <c r="C27" s="1666"/>
      <c r="D27" s="1666"/>
      <c r="E27" s="1666"/>
      <c r="F27" s="1666"/>
      <c r="G27" s="1666"/>
      <c r="H27" s="1667"/>
      <c r="I27" s="1667"/>
      <c r="J27" s="1667"/>
    </row>
    <row r="28" spans="1:10" ht="15" x14ac:dyDescent="0.25">
      <c r="A28" s="1666"/>
      <c r="B28" s="1666"/>
      <c r="C28" s="1666"/>
      <c r="D28" s="1666"/>
      <c r="E28" s="1666"/>
      <c r="F28" s="1666"/>
      <c r="G28" s="1666"/>
      <c r="H28" s="1667"/>
      <c r="I28" s="1667"/>
      <c r="J28" s="1667"/>
    </row>
    <row r="29" spans="1:10" ht="15" x14ac:dyDescent="0.25">
      <c r="A29" s="1666"/>
      <c r="B29" s="1666"/>
      <c r="C29" s="1666"/>
      <c r="D29" s="1666"/>
      <c r="E29" s="1666"/>
      <c r="F29" s="1666"/>
      <c r="G29" s="1666"/>
      <c r="H29" s="1667"/>
      <c r="I29" s="1667"/>
      <c r="J29" s="1667"/>
    </row>
    <row r="30" spans="1:10" ht="15" x14ac:dyDescent="0.25">
      <c r="A30" s="1666"/>
      <c r="B30" s="1666"/>
      <c r="C30" s="1666"/>
      <c r="D30" s="1666"/>
      <c r="E30" s="1666"/>
      <c r="F30" s="1666"/>
      <c r="G30" s="1666"/>
      <c r="H30" s="1667"/>
      <c r="I30" s="1667"/>
      <c r="J30" s="1667"/>
    </row>
    <row r="31" spans="1:10" ht="15" x14ac:dyDescent="0.25">
      <c r="A31" s="1666"/>
      <c r="B31" s="1666"/>
      <c r="C31" s="1666"/>
      <c r="D31" s="1666"/>
      <c r="E31" s="1666"/>
      <c r="F31" s="1666"/>
      <c r="G31" s="1666"/>
      <c r="H31" s="1667"/>
      <c r="I31" s="1667"/>
      <c r="J31" s="1667"/>
    </row>
    <row r="32" spans="1:10" ht="15" x14ac:dyDescent="0.25">
      <c r="A32" s="1666"/>
      <c r="B32" s="1666"/>
      <c r="C32" s="1666"/>
      <c r="D32" s="1666"/>
      <c r="E32" s="1666"/>
      <c r="F32" s="1666"/>
      <c r="G32" s="1666"/>
      <c r="H32" s="1667"/>
      <c r="I32" s="1667"/>
      <c r="J32" s="1667"/>
    </row>
    <row r="33" spans="1:10" ht="15" x14ac:dyDescent="0.25">
      <c r="A33" s="1666"/>
      <c r="B33" s="1666"/>
      <c r="C33" s="1666"/>
      <c r="D33" s="1666"/>
      <c r="E33" s="1666"/>
      <c r="F33" s="1666"/>
      <c r="G33" s="1666"/>
      <c r="H33" s="1667"/>
      <c r="I33" s="1667"/>
      <c r="J33" s="1667"/>
    </row>
    <row r="34" spans="1:10" ht="15" x14ac:dyDescent="0.25">
      <c r="A34" s="1666"/>
      <c r="B34" s="1666"/>
      <c r="C34" s="1666"/>
      <c r="D34" s="1666"/>
      <c r="E34" s="1666"/>
      <c r="F34" s="1666"/>
      <c r="G34" s="1666"/>
      <c r="H34" s="1667"/>
      <c r="I34" s="1667"/>
      <c r="J34" s="1667"/>
    </row>
    <row r="35" spans="1:10" ht="15" x14ac:dyDescent="0.25">
      <c r="A35" s="1666"/>
      <c r="B35" s="1666"/>
      <c r="C35" s="1666"/>
      <c r="D35" s="1666"/>
      <c r="E35" s="1666"/>
      <c r="F35" s="1666"/>
      <c r="G35" s="1666"/>
      <c r="H35" s="1667"/>
      <c r="I35" s="1667"/>
      <c r="J35" s="1667"/>
    </row>
    <row r="36" spans="1:10" ht="15" x14ac:dyDescent="0.25">
      <c r="A36" s="1666"/>
      <c r="B36" s="1666"/>
      <c r="C36" s="1666"/>
      <c r="D36" s="1666"/>
      <c r="E36" s="1666"/>
      <c r="F36" s="1666"/>
      <c r="G36" s="1666"/>
      <c r="H36" s="1667"/>
      <c r="I36" s="1667"/>
      <c r="J36" s="1667"/>
    </row>
    <row r="37" spans="1:10" ht="15" x14ac:dyDescent="0.25">
      <c r="A37" s="1666"/>
      <c r="B37" s="1666"/>
      <c r="C37" s="1666"/>
      <c r="D37" s="1666"/>
      <c r="E37" s="1666"/>
      <c r="F37" s="1666"/>
      <c r="G37" s="1666"/>
      <c r="H37" s="1667"/>
      <c r="I37" s="1667"/>
      <c r="J37" s="1667"/>
    </row>
    <row r="38" spans="1:10" ht="15" x14ac:dyDescent="0.25">
      <c r="A38" s="1666"/>
      <c r="B38" s="1666"/>
      <c r="C38" s="1666"/>
      <c r="D38" s="1666"/>
      <c r="E38" s="1666"/>
      <c r="F38" s="1666"/>
      <c r="G38" s="1666"/>
      <c r="H38" s="1667"/>
      <c r="I38" s="1667"/>
      <c r="J38" s="1667"/>
    </row>
    <row r="39" spans="1:10" ht="15" x14ac:dyDescent="0.25">
      <c r="A39" s="1666"/>
      <c r="B39" s="1666"/>
      <c r="C39" s="1666"/>
      <c r="D39" s="1666"/>
      <c r="E39" s="1666"/>
      <c r="F39" s="1666"/>
      <c r="G39" s="1666"/>
      <c r="H39" s="1667"/>
      <c r="I39" s="1667"/>
      <c r="J39" s="1667"/>
    </row>
    <row r="40" spans="1:10" ht="15" x14ac:dyDescent="0.25">
      <c r="A40" s="1666"/>
      <c r="B40" s="1666"/>
      <c r="C40" s="1666"/>
      <c r="D40" s="1666"/>
      <c r="E40" s="1666"/>
      <c r="F40" s="1666"/>
      <c r="G40" s="1666"/>
      <c r="H40" s="1667"/>
      <c r="I40" s="1667"/>
      <c r="J40" s="1667"/>
    </row>
    <row r="41" spans="1:10" ht="15" x14ac:dyDescent="0.25">
      <c r="A41" s="1666"/>
      <c r="B41" s="1666"/>
      <c r="C41" s="1666"/>
      <c r="D41" s="1666"/>
      <c r="E41" s="1666"/>
      <c r="F41" s="1666"/>
      <c r="G41" s="1666"/>
      <c r="H41" s="1667"/>
      <c r="I41" s="1667"/>
      <c r="J41" s="1667"/>
    </row>
    <row r="42" spans="1:10" ht="15" x14ac:dyDescent="0.25">
      <c r="A42" s="1666"/>
      <c r="B42" s="1666"/>
      <c r="C42" s="1666"/>
      <c r="D42" s="1666"/>
      <c r="E42" s="1666"/>
      <c r="F42" s="1666"/>
      <c r="G42" s="1666"/>
      <c r="H42" s="1667"/>
      <c r="I42" s="1667"/>
      <c r="J42" s="1667"/>
    </row>
  </sheetData>
  <mergeCells count="77">
    <mergeCell ref="C6:D6"/>
    <mergeCell ref="E6:F6"/>
    <mergeCell ref="H6:I6"/>
    <mergeCell ref="A1:J1"/>
    <mergeCell ref="C2:J2"/>
    <mergeCell ref="C3:J3"/>
    <mergeCell ref="C4:J4"/>
    <mergeCell ref="C5:J5"/>
    <mergeCell ref="A16:E16"/>
    <mergeCell ref="F16:H16"/>
    <mergeCell ref="I16:J16"/>
    <mergeCell ref="C7:J7"/>
    <mergeCell ref="C8:J8"/>
    <mergeCell ref="C9:J9"/>
    <mergeCell ref="C10:D10"/>
    <mergeCell ref="E10:G10"/>
    <mergeCell ref="H10:J10"/>
    <mergeCell ref="C11:D11"/>
    <mergeCell ref="E11:G11"/>
    <mergeCell ref="H11:J11"/>
    <mergeCell ref="A13:J13"/>
    <mergeCell ref="A15:J15"/>
    <mergeCell ref="A17:E17"/>
    <mergeCell ref="F17:H17"/>
    <mergeCell ref="I17:J17"/>
    <mergeCell ref="A18:E18"/>
    <mergeCell ref="F18:H18"/>
    <mergeCell ref="I18:J18"/>
    <mergeCell ref="A19:E19"/>
    <mergeCell ref="F19:H19"/>
    <mergeCell ref="I19:J19"/>
    <mergeCell ref="A20:E20"/>
    <mergeCell ref="F20:H20"/>
    <mergeCell ref="I20:J20"/>
    <mergeCell ref="A27:G27"/>
    <mergeCell ref="H27:J27"/>
    <mergeCell ref="A21:E21"/>
    <mergeCell ref="F21:H21"/>
    <mergeCell ref="I21:J21"/>
    <mergeCell ref="A22:E22"/>
    <mergeCell ref="F22:H22"/>
    <mergeCell ref="I22:J22"/>
    <mergeCell ref="A24:J24"/>
    <mergeCell ref="A25:G25"/>
    <mergeCell ref="H25:J25"/>
    <mergeCell ref="A26:G26"/>
    <mergeCell ref="H26:J26"/>
    <mergeCell ref="A28:G28"/>
    <mergeCell ref="H28:J28"/>
    <mergeCell ref="A29:G29"/>
    <mergeCell ref="H29:J29"/>
    <mergeCell ref="A30:G30"/>
    <mergeCell ref="H30:J30"/>
    <mergeCell ref="A31:G31"/>
    <mergeCell ref="H31:J31"/>
    <mergeCell ref="A32:G32"/>
    <mergeCell ref="H32:J32"/>
    <mergeCell ref="A33:G33"/>
    <mergeCell ref="H33:J33"/>
    <mergeCell ref="A34:G34"/>
    <mergeCell ref="H34:J34"/>
    <mergeCell ref="A35:G35"/>
    <mergeCell ref="H35:J35"/>
    <mergeCell ref="A36:G36"/>
    <mergeCell ref="H36:J36"/>
    <mergeCell ref="A37:G37"/>
    <mergeCell ref="H37:J37"/>
    <mergeCell ref="A38:G38"/>
    <mergeCell ref="H38:J38"/>
    <mergeCell ref="A39:G39"/>
    <mergeCell ref="H39:J39"/>
    <mergeCell ref="A40:G40"/>
    <mergeCell ref="H40:J40"/>
    <mergeCell ref="A41:G41"/>
    <mergeCell ref="H41:J41"/>
    <mergeCell ref="A42:G42"/>
    <mergeCell ref="H42:J42"/>
  </mergeCells>
  <pageMargins left="0.7" right="0.7" top="0.75" bottom="0.75" header="0.3" footer="0.3"/>
  <drawing r:id="rId1"/>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3DB70B-7053-4868-8EFD-CC692D8F3482}">
  <dimension ref="A1:K42"/>
  <sheetViews>
    <sheetView workbookViewId="0">
      <selection activeCell="E15" sqref="E15:E16"/>
    </sheetView>
  </sheetViews>
  <sheetFormatPr baseColWidth="10" defaultColWidth="11.42578125" defaultRowHeight="13.15" customHeight="1" x14ac:dyDescent="0.25"/>
  <cols>
    <col min="1" max="1" width="22.42578125" style="481" customWidth="1"/>
    <col min="2" max="2" width="9.42578125" style="481" customWidth="1"/>
    <col min="3" max="3" width="10.5703125" style="481" customWidth="1"/>
    <col min="4" max="4" width="22.140625" style="481" customWidth="1"/>
    <col min="5" max="5" width="11.28515625" style="481" customWidth="1"/>
    <col min="6" max="6" width="9.42578125" style="481" customWidth="1"/>
    <col min="7" max="7" width="14.42578125" style="481" customWidth="1"/>
    <col min="8" max="8" width="11.5703125" style="481" customWidth="1"/>
    <col min="9" max="9" width="10.42578125" style="481" customWidth="1"/>
    <col min="10" max="10" width="10.140625" style="481" customWidth="1"/>
    <col min="11" max="11" width="9" style="481" customWidth="1"/>
    <col min="12" max="12" width="11.42578125" style="481"/>
    <col min="13" max="13" width="6.5703125" style="481" customWidth="1"/>
    <col min="14" max="16384" width="11.42578125" style="481"/>
  </cols>
  <sheetData>
    <row r="1" spans="1:11" ht="10.5" customHeight="1" x14ac:dyDescent="0.25">
      <c r="A1" s="1514"/>
      <c r="B1" s="1514"/>
      <c r="C1" s="1515"/>
      <c r="D1" s="1515"/>
      <c r="E1" s="1515"/>
      <c r="F1" s="1515"/>
      <c r="G1" s="1515"/>
      <c r="H1" s="1515"/>
      <c r="I1" s="1515"/>
      <c r="J1" s="1515"/>
    </row>
    <row r="2" spans="1:11" ht="15" customHeight="1" x14ac:dyDescent="0.25">
      <c r="A2" s="199" t="s">
        <v>361</v>
      </c>
      <c r="B2" s="199"/>
      <c r="C2" s="958" t="s">
        <v>2</v>
      </c>
      <c r="D2" s="958"/>
      <c r="E2" s="958"/>
      <c r="F2" s="958"/>
      <c r="G2" s="958"/>
      <c r="H2" s="958"/>
      <c r="I2" s="958"/>
      <c r="J2" s="958"/>
      <c r="K2" s="958"/>
    </row>
    <row r="3" spans="1:11" ht="15" customHeight="1" x14ac:dyDescent="0.25">
      <c r="A3" s="199"/>
      <c r="B3" s="199"/>
      <c r="C3" s="957" t="s">
        <v>4</v>
      </c>
      <c r="D3" s="957"/>
      <c r="E3" s="957"/>
      <c r="F3" s="957"/>
      <c r="G3" s="957"/>
      <c r="H3" s="957"/>
      <c r="I3" s="957"/>
      <c r="J3" s="957"/>
      <c r="K3" s="957"/>
    </row>
    <row r="4" spans="1:11" ht="15" customHeight="1" x14ac:dyDescent="0.25">
      <c r="A4" s="199" t="s">
        <v>362</v>
      </c>
      <c r="B4" s="199"/>
      <c r="C4" s="957" t="s">
        <v>6</v>
      </c>
      <c r="D4" s="957"/>
      <c r="E4" s="957"/>
      <c r="F4" s="957"/>
      <c r="G4" s="957"/>
      <c r="H4" s="957"/>
      <c r="I4" s="957"/>
      <c r="J4" s="957"/>
      <c r="K4" s="957"/>
    </row>
    <row r="5" spans="1:11" ht="15" customHeight="1" x14ac:dyDescent="0.25">
      <c r="A5" s="199" t="s">
        <v>363</v>
      </c>
      <c r="B5" s="199"/>
      <c r="C5" s="1492">
        <v>4431</v>
      </c>
      <c r="D5" s="1492"/>
      <c r="E5" s="1492"/>
      <c r="F5" s="1492"/>
      <c r="G5" s="1492"/>
      <c r="H5" s="1492"/>
      <c r="I5" s="1492"/>
      <c r="J5" s="1492"/>
      <c r="K5" s="1492"/>
    </row>
    <row r="6" spans="1:11" ht="15" x14ac:dyDescent="0.25">
      <c r="A6" s="199" t="s">
        <v>364</v>
      </c>
      <c r="B6" s="199"/>
      <c r="C6" s="958" t="s">
        <v>12</v>
      </c>
      <c r="D6" s="958"/>
      <c r="E6" s="1724" t="s">
        <v>365</v>
      </c>
      <c r="F6" s="1724"/>
      <c r="G6" s="309">
        <v>46022</v>
      </c>
      <c r="H6" s="770" t="s">
        <v>465</v>
      </c>
      <c r="I6" s="770"/>
      <c r="J6" s="958">
        <v>12</v>
      </c>
      <c r="K6" s="958"/>
    </row>
    <row r="7" spans="1:11" ht="15" customHeight="1" x14ac:dyDescent="0.25">
      <c r="A7" s="199" t="s">
        <v>367</v>
      </c>
      <c r="B7" s="199"/>
      <c r="C7" s="1487" t="s">
        <v>8</v>
      </c>
      <c r="D7" s="1487"/>
      <c r="E7" s="1487"/>
      <c r="F7" s="1487"/>
      <c r="G7" s="1487"/>
      <c r="H7" s="1487"/>
      <c r="I7" s="1487"/>
      <c r="J7" s="1487"/>
      <c r="K7" s="1487"/>
    </row>
    <row r="8" spans="1:11" ht="15" customHeight="1" x14ac:dyDescent="0.25">
      <c r="A8" s="199" t="s">
        <v>466</v>
      </c>
      <c r="B8" s="199"/>
      <c r="C8" s="959" t="s">
        <v>34</v>
      </c>
      <c r="D8" s="959"/>
      <c r="E8" s="959"/>
      <c r="F8" s="959"/>
      <c r="G8" s="959"/>
      <c r="H8" s="959"/>
      <c r="I8" s="959"/>
      <c r="J8" s="959"/>
      <c r="K8" s="959"/>
    </row>
    <row r="9" spans="1:11" ht="15" customHeight="1" x14ac:dyDescent="0.25">
      <c r="A9" s="198"/>
      <c r="B9" s="199"/>
      <c r="C9" s="770">
        <v>555555</v>
      </c>
      <c r="D9" s="770"/>
      <c r="E9" s="770"/>
      <c r="F9" s="770"/>
      <c r="G9" s="770"/>
      <c r="H9" s="770"/>
      <c r="I9" s="770"/>
      <c r="J9" s="770"/>
      <c r="K9" s="770"/>
    </row>
    <row r="10" spans="1:11" ht="15" customHeight="1" x14ac:dyDescent="0.25">
      <c r="A10" s="199" t="s">
        <v>467</v>
      </c>
      <c r="B10" s="199"/>
      <c r="C10" s="770" t="s">
        <v>38</v>
      </c>
      <c r="D10" s="770"/>
      <c r="E10" s="770" t="s">
        <v>468</v>
      </c>
      <c r="F10" s="770"/>
      <c r="G10" s="770"/>
      <c r="H10" s="770"/>
      <c r="I10" s="770" t="s">
        <v>36</v>
      </c>
      <c r="J10" s="770"/>
      <c r="K10" s="770"/>
    </row>
    <row r="11" spans="1:11" ht="15" customHeight="1" x14ac:dyDescent="0.25">
      <c r="A11" s="199" t="s">
        <v>469</v>
      </c>
      <c r="B11" s="199"/>
      <c r="C11" s="975">
        <v>44713</v>
      </c>
      <c r="D11" s="975"/>
      <c r="E11" s="770" t="s">
        <v>470</v>
      </c>
      <c r="F11" s="770"/>
      <c r="G11" s="770"/>
      <c r="H11" s="770"/>
      <c r="I11" s="975">
        <v>45991</v>
      </c>
      <c r="J11" s="975"/>
      <c r="K11" s="975"/>
    </row>
    <row r="12" spans="1:11" ht="9" customHeight="1" thickBot="1" x14ac:dyDescent="0.3">
      <c r="A12" s="24"/>
      <c r="B12" s="24"/>
      <c r="C12" s="24"/>
      <c r="D12" s="24"/>
      <c r="E12" s="24"/>
      <c r="F12" s="24"/>
      <c r="G12" s="24"/>
      <c r="H12" s="24"/>
      <c r="I12" s="24"/>
      <c r="J12" s="24"/>
      <c r="K12" s="308"/>
    </row>
    <row r="13" spans="1:11" ht="15.75" thickBot="1" x14ac:dyDescent="0.3">
      <c r="A13" s="1692" t="s">
        <v>1520</v>
      </c>
      <c r="B13" s="1712"/>
      <c r="C13" s="1712"/>
      <c r="D13" s="1712"/>
      <c r="E13" s="1712"/>
      <c r="F13" s="1712"/>
      <c r="G13" s="1712"/>
      <c r="H13" s="1712"/>
      <c r="I13" s="1712"/>
      <c r="J13" s="1712"/>
      <c r="K13" s="1713"/>
    </row>
    <row r="14" spans="1:11" ht="9.6" customHeight="1" thickBot="1" x14ac:dyDescent="0.3">
      <c r="A14" s="28"/>
      <c r="B14" s="28"/>
      <c r="C14" s="670"/>
      <c r="D14" s="670"/>
      <c r="E14" s="670"/>
      <c r="F14" s="670"/>
      <c r="G14" s="670"/>
      <c r="H14" s="670"/>
      <c r="I14" s="670"/>
      <c r="J14" s="28"/>
      <c r="K14" s="28"/>
    </row>
    <row r="15" spans="1:11" ht="15" x14ac:dyDescent="0.25">
      <c r="A15" s="1714" t="s">
        <v>1982</v>
      </c>
      <c r="B15" s="1715"/>
      <c r="C15" s="1715"/>
      <c r="D15" s="1716" t="s">
        <v>1983</v>
      </c>
      <c r="E15" s="1716" t="s">
        <v>1984</v>
      </c>
      <c r="F15" s="1716" t="s">
        <v>1985</v>
      </c>
      <c r="G15" s="1716" t="s">
        <v>1986</v>
      </c>
      <c r="H15" s="1716" t="s">
        <v>1987</v>
      </c>
      <c r="I15" s="1716" t="s">
        <v>1988</v>
      </c>
      <c r="J15" s="1716" t="s">
        <v>1989</v>
      </c>
      <c r="K15" s="1718" t="s">
        <v>1990</v>
      </c>
    </row>
    <row r="16" spans="1:11" ht="26.45" customHeight="1" thickBot="1" x14ac:dyDescent="0.3">
      <c r="A16" s="687" t="s">
        <v>1991</v>
      </c>
      <c r="B16" s="1720" t="s">
        <v>1992</v>
      </c>
      <c r="C16" s="1721"/>
      <c r="D16" s="1717"/>
      <c r="E16" s="1717"/>
      <c r="F16" s="1717"/>
      <c r="G16" s="1717"/>
      <c r="H16" s="1717"/>
      <c r="I16" s="1717"/>
      <c r="J16" s="1717"/>
      <c r="K16" s="1719"/>
    </row>
    <row r="17" spans="1:11" ht="15" x14ac:dyDescent="0.25">
      <c r="A17" s="688"/>
      <c r="B17" s="1722"/>
      <c r="C17" s="1723"/>
      <c r="D17" s="689"/>
      <c r="E17" s="690"/>
      <c r="F17" s="691"/>
      <c r="G17" s="689"/>
      <c r="H17" s="689"/>
      <c r="I17" s="689"/>
      <c r="J17" s="689"/>
      <c r="K17" s="692"/>
    </row>
    <row r="18" spans="1:11" ht="15" x14ac:dyDescent="0.25">
      <c r="A18" s="693"/>
      <c r="B18" s="1708"/>
      <c r="C18" s="1709"/>
      <c r="D18" s="691"/>
      <c r="E18" s="694"/>
      <c r="F18" s="691"/>
      <c r="G18" s="691"/>
      <c r="H18" s="691"/>
      <c r="I18" s="691"/>
      <c r="J18" s="689"/>
      <c r="K18" s="695"/>
    </row>
    <row r="19" spans="1:11" ht="15" x14ac:dyDescent="0.25">
      <c r="A19" s="693"/>
      <c r="B19" s="1708"/>
      <c r="C19" s="1709"/>
      <c r="D19" s="691"/>
      <c r="E19" s="694"/>
      <c r="F19" s="691"/>
      <c r="G19" s="691"/>
      <c r="H19" s="691"/>
      <c r="I19" s="691"/>
      <c r="J19" s="689"/>
      <c r="K19" s="695"/>
    </row>
    <row r="20" spans="1:11" ht="15" x14ac:dyDescent="0.25">
      <c r="A20" s="693"/>
      <c r="B20" s="1708"/>
      <c r="C20" s="1709"/>
      <c r="D20" s="691"/>
      <c r="E20" s="694"/>
      <c r="F20" s="691"/>
      <c r="G20" s="691"/>
      <c r="H20" s="691"/>
      <c r="I20" s="691"/>
      <c r="J20" s="689"/>
      <c r="K20" s="695"/>
    </row>
    <row r="21" spans="1:11" ht="15" x14ac:dyDescent="0.25">
      <c r="A21" s="693"/>
      <c r="B21" s="1708"/>
      <c r="C21" s="1709"/>
      <c r="D21" s="691"/>
      <c r="E21" s="694"/>
      <c r="F21" s="691"/>
      <c r="G21" s="691"/>
      <c r="H21" s="691"/>
      <c r="I21" s="691"/>
      <c r="J21" s="689"/>
      <c r="K21" s="695"/>
    </row>
    <row r="22" spans="1:11" ht="15" x14ac:dyDescent="0.25">
      <c r="A22" s="693"/>
      <c r="B22" s="1708"/>
      <c r="C22" s="1709"/>
      <c r="D22" s="691"/>
      <c r="E22" s="694"/>
      <c r="F22" s="691"/>
      <c r="G22" s="691"/>
      <c r="H22" s="691"/>
      <c r="I22" s="691"/>
      <c r="J22" s="689"/>
      <c r="K22" s="695"/>
    </row>
    <row r="23" spans="1:11" ht="15" x14ac:dyDescent="0.25">
      <c r="A23" s="693"/>
      <c r="B23" s="1708"/>
      <c r="C23" s="1709"/>
      <c r="D23" s="691"/>
      <c r="E23" s="694"/>
      <c r="F23" s="691"/>
      <c r="G23" s="691"/>
      <c r="H23" s="691"/>
      <c r="I23" s="691"/>
      <c r="J23" s="689"/>
      <c r="K23" s="695"/>
    </row>
    <row r="24" spans="1:11" ht="15" x14ac:dyDescent="0.25">
      <c r="A24" s="693"/>
      <c r="B24" s="1708"/>
      <c r="C24" s="1709"/>
      <c r="D24" s="691"/>
      <c r="E24" s="694"/>
      <c r="F24" s="691"/>
      <c r="G24" s="691"/>
      <c r="H24" s="691"/>
      <c r="I24" s="691"/>
      <c r="J24" s="689"/>
      <c r="K24" s="695"/>
    </row>
    <row r="25" spans="1:11" ht="15" x14ac:dyDescent="0.25">
      <c r="A25" s="693"/>
      <c r="B25" s="1708"/>
      <c r="C25" s="1709"/>
      <c r="D25" s="691"/>
      <c r="E25" s="694"/>
      <c r="F25" s="691"/>
      <c r="G25" s="691"/>
      <c r="H25" s="691"/>
      <c r="I25" s="691"/>
      <c r="J25" s="689"/>
      <c r="K25" s="695"/>
    </row>
    <row r="26" spans="1:11" ht="15" x14ac:dyDescent="0.25">
      <c r="A26" s="693"/>
      <c r="B26" s="1708"/>
      <c r="C26" s="1709"/>
      <c r="D26" s="691"/>
      <c r="E26" s="694"/>
      <c r="F26" s="691"/>
      <c r="G26" s="691"/>
      <c r="H26" s="691"/>
      <c r="I26" s="691"/>
      <c r="J26" s="689"/>
      <c r="K26" s="695"/>
    </row>
    <row r="27" spans="1:11" ht="15" x14ac:dyDescent="0.25">
      <c r="A27" s="693"/>
      <c r="B27" s="1708"/>
      <c r="C27" s="1709"/>
      <c r="D27" s="691"/>
      <c r="E27" s="694"/>
      <c r="F27" s="691"/>
      <c r="G27" s="691"/>
      <c r="H27" s="691"/>
      <c r="I27" s="691"/>
      <c r="J27" s="689"/>
      <c r="K27" s="695"/>
    </row>
    <row r="28" spans="1:11" ht="15" x14ac:dyDescent="0.25">
      <c r="A28" s="693"/>
      <c r="B28" s="1708"/>
      <c r="C28" s="1709"/>
      <c r="D28" s="691"/>
      <c r="E28" s="694"/>
      <c r="F28" s="691"/>
      <c r="G28" s="691"/>
      <c r="H28" s="691"/>
      <c r="I28" s="691"/>
      <c r="J28" s="689"/>
      <c r="K28" s="695"/>
    </row>
    <row r="29" spans="1:11" ht="15" x14ac:dyDescent="0.25">
      <c r="A29" s="693"/>
      <c r="B29" s="1708"/>
      <c r="C29" s="1709"/>
      <c r="D29" s="691"/>
      <c r="E29" s="694"/>
      <c r="F29" s="691"/>
      <c r="G29" s="691"/>
      <c r="H29" s="691"/>
      <c r="I29" s="691"/>
      <c r="J29" s="689"/>
      <c r="K29" s="695"/>
    </row>
    <row r="30" spans="1:11" ht="15" x14ac:dyDescent="0.25">
      <c r="A30" s="693"/>
      <c r="B30" s="1708"/>
      <c r="C30" s="1709"/>
      <c r="D30" s="691"/>
      <c r="E30" s="694"/>
      <c r="F30" s="691"/>
      <c r="G30" s="691"/>
      <c r="H30" s="691"/>
      <c r="I30" s="691"/>
      <c r="J30" s="689"/>
      <c r="K30" s="695"/>
    </row>
    <row r="31" spans="1:11" ht="15" x14ac:dyDescent="0.25">
      <c r="A31" s="693"/>
      <c r="B31" s="1708"/>
      <c r="C31" s="1709"/>
      <c r="D31" s="691"/>
      <c r="E31" s="694"/>
      <c r="F31" s="691"/>
      <c r="G31" s="691"/>
      <c r="H31" s="691"/>
      <c r="I31" s="691"/>
      <c r="J31" s="689"/>
      <c r="K31" s="695"/>
    </row>
    <row r="32" spans="1:11" ht="15" x14ac:dyDescent="0.25">
      <c r="A32" s="693"/>
      <c r="B32" s="1708"/>
      <c r="C32" s="1709"/>
      <c r="D32" s="691"/>
      <c r="E32" s="694"/>
      <c r="F32" s="691"/>
      <c r="G32" s="691"/>
      <c r="H32" s="691"/>
      <c r="I32" s="691"/>
      <c r="J32" s="689"/>
      <c r="K32" s="695"/>
    </row>
    <row r="33" spans="1:11" ht="15" x14ac:dyDescent="0.25">
      <c r="A33" s="693"/>
      <c r="B33" s="1708"/>
      <c r="C33" s="1709"/>
      <c r="D33" s="691"/>
      <c r="E33" s="694"/>
      <c r="F33" s="691"/>
      <c r="G33" s="691"/>
      <c r="H33" s="691"/>
      <c r="I33" s="691"/>
      <c r="J33" s="689"/>
      <c r="K33" s="695"/>
    </row>
    <row r="34" spans="1:11" ht="15" x14ac:dyDescent="0.25">
      <c r="A34" s="696"/>
      <c r="B34" s="1708"/>
      <c r="C34" s="1709"/>
      <c r="D34" s="691"/>
      <c r="E34" s="694"/>
      <c r="F34" s="691"/>
      <c r="G34" s="691"/>
      <c r="H34" s="691"/>
      <c r="I34" s="691"/>
      <c r="J34" s="689"/>
      <c r="K34" s="695"/>
    </row>
    <row r="35" spans="1:11" ht="15" x14ac:dyDescent="0.25">
      <c r="A35" s="696"/>
      <c r="B35" s="1708"/>
      <c r="C35" s="1709"/>
      <c r="D35" s="691"/>
      <c r="E35" s="694"/>
      <c r="F35" s="691"/>
      <c r="G35" s="691"/>
      <c r="H35" s="691"/>
      <c r="I35" s="691"/>
      <c r="J35" s="689"/>
      <c r="K35" s="695"/>
    </row>
    <row r="36" spans="1:11" ht="15" x14ac:dyDescent="0.25">
      <c r="A36" s="697"/>
      <c r="B36" s="1708"/>
      <c r="C36" s="1709"/>
      <c r="D36" s="691"/>
      <c r="E36" s="694"/>
      <c r="F36" s="691"/>
      <c r="G36" s="691"/>
      <c r="H36" s="691"/>
      <c r="I36" s="691"/>
      <c r="J36" s="691"/>
      <c r="K36" s="695"/>
    </row>
    <row r="37" spans="1:11" ht="15" x14ac:dyDescent="0.25">
      <c r="A37" s="697"/>
      <c r="B37" s="1708"/>
      <c r="C37" s="1709"/>
      <c r="D37" s="691"/>
      <c r="E37" s="694"/>
      <c r="F37" s="691"/>
      <c r="G37" s="691"/>
      <c r="H37" s="691"/>
      <c r="I37" s="691"/>
      <c r="J37" s="691"/>
      <c r="K37" s="695"/>
    </row>
    <row r="38" spans="1:11" ht="15" x14ac:dyDescent="0.25">
      <c r="A38" s="697"/>
      <c r="B38" s="1708"/>
      <c r="C38" s="1709"/>
      <c r="D38" s="691"/>
      <c r="E38" s="694"/>
      <c r="F38" s="691"/>
      <c r="G38" s="691"/>
      <c r="H38" s="691"/>
      <c r="I38" s="691"/>
      <c r="J38" s="691"/>
      <c r="K38" s="695"/>
    </row>
    <row r="39" spans="1:11" ht="15" x14ac:dyDescent="0.25">
      <c r="A39" s="697"/>
      <c r="B39" s="1708"/>
      <c r="C39" s="1709"/>
      <c r="D39" s="691"/>
      <c r="E39" s="694"/>
      <c r="F39" s="691"/>
      <c r="G39" s="691"/>
      <c r="H39" s="691"/>
      <c r="I39" s="691"/>
      <c r="J39" s="691"/>
      <c r="K39" s="695"/>
    </row>
    <row r="40" spans="1:11" ht="15" x14ac:dyDescent="0.25">
      <c r="A40" s="697"/>
      <c r="B40" s="1708"/>
      <c r="C40" s="1709"/>
      <c r="D40" s="691"/>
      <c r="E40" s="694"/>
      <c r="F40" s="691"/>
      <c r="G40" s="691"/>
      <c r="H40" s="691"/>
      <c r="I40" s="691"/>
      <c r="J40" s="691"/>
      <c r="K40" s="695"/>
    </row>
    <row r="41" spans="1:11" ht="15.75" thickBot="1" x14ac:dyDescent="0.3">
      <c r="A41" s="698"/>
      <c r="B41" s="1710"/>
      <c r="C41" s="1711"/>
      <c r="D41" s="699"/>
      <c r="E41" s="700"/>
      <c r="F41" s="699"/>
      <c r="G41" s="699"/>
      <c r="H41" s="699"/>
      <c r="I41" s="699"/>
      <c r="J41" s="699"/>
      <c r="K41" s="701"/>
    </row>
    <row r="42" spans="1:11" ht="15.75" thickBot="1" x14ac:dyDescent="0.3">
      <c r="A42" s="1705" t="s">
        <v>849</v>
      </c>
      <c r="B42" s="1706"/>
      <c r="C42" s="1707"/>
      <c r="D42" s="702"/>
      <c r="E42" s="703"/>
      <c r="F42" s="702"/>
      <c r="G42" s="702"/>
      <c r="H42" s="702"/>
      <c r="I42" s="702"/>
      <c r="J42" s="702"/>
      <c r="K42" s="704"/>
    </row>
  </sheetData>
  <mergeCells count="55">
    <mergeCell ref="C6:D6"/>
    <mergeCell ref="E6:F6"/>
    <mergeCell ref="H6:I6"/>
    <mergeCell ref="J6:K6"/>
    <mergeCell ref="A1:J1"/>
    <mergeCell ref="C2:K2"/>
    <mergeCell ref="C3:K3"/>
    <mergeCell ref="C4:K4"/>
    <mergeCell ref="C5:K5"/>
    <mergeCell ref="C7:K7"/>
    <mergeCell ref="C8:K8"/>
    <mergeCell ref="C9:K9"/>
    <mergeCell ref="C10:D10"/>
    <mergeCell ref="E10:H10"/>
    <mergeCell ref="I10:K10"/>
    <mergeCell ref="B18:C18"/>
    <mergeCell ref="C11:D11"/>
    <mergeCell ref="E11:H11"/>
    <mergeCell ref="I11:K11"/>
    <mergeCell ref="A13:K13"/>
    <mergeCell ref="A15:C15"/>
    <mergeCell ref="D15:D16"/>
    <mergeCell ref="E15:E16"/>
    <mergeCell ref="F15:F16"/>
    <mergeCell ref="G15:G16"/>
    <mergeCell ref="H15:H16"/>
    <mergeCell ref="I15:I16"/>
    <mergeCell ref="J15:J16"/>
    <mergeCell ref="K15:K16"/>
    <mergeCell ref="B16:C16"/>
    <mergeCell ref="B17:C17"/>
    <mergeCell ref="B30:C30"/>
    <mergeCell ref="B19:C19"/>
    <mergeCell ref="B20:C20"/>
    <mergeCell ref="B21:C21"/>
    <mergeCell ref="B22:C22"/>
    <mergeCell ref="B23:C23"/>
    <mergeCell ref="B24:C24"/>
    <mergeCell ref="B25:C25"/>
    <mergeCell ref="B26:C26"/>
    <mergeCell ref="B27:C27"/>
    <mergeCell ref="B28:C28"/>
    <mergeCell ref="B29:C29"/>
    <mergeCell ref="A42:C42"/>
    <mergeCell ref="B31:C31"/>
    <mergeCell ref="B32:C32"/>
    <mergeCell ref="B33:C33"/>
    <mergeCell ref="B34:C34"/>
    <mergeCell ref="B35:C35"/>
    <mergeCell ref="B36:C36"/>
    <mergeCell ref="B37:C37"/>
    <mergeCell ref="B38:C38"/>
    <mergeCell ref="B39:C39"/>
    <mergeCell ref="B40:C40"/>
    <mergeCell ref="B41:C41"/>
  </mergeCells>
  <pageMargins left="0.7" right="0.7" top="0.75" bottom="0.75" header="0.3" footer="0.3"/>
  <drawing r:id="rId1"/>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16ADEF-4BE4-48AD-9129-74A3F866F211}">
  <dimension ref="A1:K37"/>
  <sheetViews>
    <sheetView workbookViewId="0">
      <selection sqref="A1:XFD1048576"/>
    </sheetView>
  </sheetViews>
  <sheetFormatPr baseColWidth="10" defaultColWidth="11.42578125" defaultRowHeight="13.9" customHeight="1" x14ac:dyDescent="0.25"/>
  <cols>
    <col min="1" max="1" width="14.7109375" style="481" customWidth="1"/>
    <col min="2" max="2" width="17" style="481" customWidth="1"/>
    <col min="3" max="3" width="8.42578125" style="481" customWidth="1"/>
    <col min="4" max="4" width="6.5703125" style="481" customWidth="1"/>
    <col min="5" max="5" width="10.85546875" style="481" customWidth="1"/>
    <col min="6" max="6" width="6.42578125" style="481" customWidth="1"/>
    <col min="7" max="7" width="12.85546875" style="481" customWidth="1"/>
    <col min="8" max="8" width="9.28515625" style="481" customWidth="1"/>
    <col min="9" max="11" width="16.85546875" style="481" customWidth="1"/>
    <col min="12" max="12" width="11.42578125" style="481"/>
    <col min="13" max="13" width="7.140625" style="481" customWidth="1"/>
    <col min="14" max="16384" width="11.42578125" style="481"/>
  </cols>
  <sheetData>
    <row r="1" spans="1:11" ht="6.75" customHeight="1" x14ac:dyDescent="0.25">
      <c r="A1" s="1514"/>
      <c r="B1" s="1514"/>
      <c r="C1" s="1515"/>
      <c r="D1" s="1515"/>
      <c r="E1" s="1515"/>
      <c r="F1" s="1515"/>
      <c r="G1" s="1515"/>
      <c r="H1" s="1515"/>
      <c r="I1" s="1515"/>
      <c r="J1" s="1515"/>
    </row>
    <row r="2" spans="1:11" ht="15" customHeight="1" x14ac:dyDescent="0.25">
      <c r="A2" s="199" t="s">
        <v>361</v>
      </c>
      <c r="B2" s="199"/>
      <c r="C2" s="958" t="s">
        <v>2</v>
      </c>
      <c r="D2" s="958"/>
      <c r="E2" s="958"/>
      <c r="F2" s="958"/>
      <c r="G2" s="958"/>
      <c r="H2" s="958"/>
      <c r="I2" s="958"/>
      <c r="J2" s="958"/>
      <c r="K2" s="958"/>
    </row>
    <row r="3" spans="1:11" ht="15" customHeight="1" x14ac:dyDescent="0.25">
      <c r="A3" s="199"/>
      <c r="B3" s="199"/>
      <c r="C3" s="957" t="s">
        <v>4</v>
      </c>
      <c r="D3" s="957"/>
      <c r="E3" s="957"/>
      <c r="F3" s="957"/>
      <c r="G3" s="957"/>
      <c r="H3" s="957"/>
      <c r="I3" s="957"/>
      <c r="J3" s="957"/>
      <c r="K3" s="957"/>
    </row>
    <row r="4" spans="1:11" ht="15" customHeight="1" x14ac:dyDescent="0.25">
      <c r="A4" s="199" t="s">
        <v>362</v>
      </c>
      <c r="B4" s="199"/>
      <c r="C4" s="957" t="s">
        <v>6</v>
      </c>
      <c r="D4" s="957"/>
      <c r="E4" s="957"/>
      <c r="F4" s="957"/>
      <c r="G4" s="957"/>
      <c r="H4" s="957"/>
      <c r="I4" s="957"/>
      <c r="J4" s="957"/>
      <c r="K4" s="957"/>
    </row>
    <row r="5" spans="1:11" ht="15" customHeight="1" x14ac:dyDescent="0.25">
      <c r="A5" s="199" t="s">
        <v>363</v>
      </c>
      <c r="B5" s="199"/>
      <c r="C5" s="1492">
        <v>4431</v>
      </c>
      <c r="D5" s="1492"/>
      <c r="E5" s="1492"/>
      <c r="F5" s="1492"/>
      <c r="G5" s="1492"/>
      <c r="H5" s="1492"/>
      <c r="I5" s="1492"/>
      <c r="J5" s="1492"/>
      <c r="K5" s="1492"/>
    </row>
    <row r="6" spans="1:11" ht="15" x14ac:dyDescent="0.25">
      <c r="A6" s="199" t="s">
        <v>364</v>
      </c>
      <c r="B6" s="199"/>
      <c r="C6" s="958" t="s">
        <v>12</v>
      </c>
      <c r="D6" s="958"/>
      <c r="E6" s="1724" t="s">
        <v>365</v>
      </c>
      <c r="F6" s="1724"/>
      <c r="G6" s="309">
        <v>46022</v>
      </c>
      <c r="H6" s="770" t="s">
        <v>465</v>
      </c>
      <c r="I6" s="770"/>
      <c r="J6" s="958">
        <v>12</v>
      </c>
      <c r="K6" s="958"/>
    </row>
    <row r="7" spans="1:11" ht="15" x14ac:dyDescent="0.25">
      <c r="A7" s="199" t="s">
        <v>367</v>
      </c>
      <c r="B7" s="199"/>
      <c r="C7" s="1487" t="s">
        <v>8</v>
      </c>
      <c r="D7" s="1487"/>
      <c r="E7" s="1487"/>
      <c r="F7" s="1487"/>
      <c r="G7" s="1487"/>
      <c r="H7" s="1487"/>
      <c r="I7" s="1487"/>
      <c r="J7" s="1487"/>
      <c r="K7" s="1487"/>
    </row>
    <row r="8" spans="1:11" ht="17.45" customHeight="1" x14ac:dyDescent="0.25">
      <c r="A8" s="199" t="s">
        <v>466</v>
      </c>
      <c r="B8" s="199"/>
      <c r="C8" s="959" t="s">
        <v>34</v>
      </c>
      <c r="D8" s="959"/>
      <c r="E8" s="959"/>
      <c r="F8" s="959"/>
      <c r="G8" s="959"/>
      <c r="H8" s="959"/>
      <c r="I8" s="959"/>
      <c r="J8" s="959"/>
      <c r="K8" s="959"/>
    </row>
    <row r="9" spans="1:11" ht="17.45" customHeight="1" x14ac:dyDescent="0.25">
      <c r="A9" s="198"/>
      <c r="B9" s="199"/>
      <c r="C9" s="770">
        <v>555555</v>
      </c>
      <c r="D9" s="770"/>
      <c r="E9" s="770"/>
      <c r="F9" s="770"/>
      <c r="G9" s="770"/>
      <c r="H9" s="770"/>
      <c r="I9" s="770"/>
      <c r="J9" s="770"/>
      <c r="K9" s="770"/>
    </row>
    <row r="10" spans="1:11" ht="17.45" customHeight="1" x14ac:dyDescent="0.25">
      <c r="A10" s="199" t="s">
        <v>467</v>
      </c>
      <c r="B10" s="199"/>
      <c r="C10" s="770" t="s">
        <v>38</v>
      </c>
      <c r="D10" s="770"/>
      <c r="E10" s="770" t="s">
        <v>468</v>
      </c>
      <c r="F10" s="770"/>
      <c r="G10" s="770"/>
      <c r="H10" s="770"/>
      <c r="I10" s="770" t="s">
        <v>36</v>
      </c>
      <c r="J10" s="770"/>
      <c r="K10" s="770"/>
    </row>
    <row r="11" spans="1:11" ht="17.45" customHeight="1" x14ac:dyDescent="0.25">
      <c r="A11" s="199" t="s">
        <v>469</v>
      </c>
      <c r="B11" s="199"/>
      <c r="C11" s="975">
        <v>44713</v>
      </c>
      <c r="D11" s="975"/>
      <c r="E11" s="770" t="s">
        <v>470</v>
      </c>
      <c r="F11" s="770"/>
      <c r="G11" s="770"/>
      <c r="H11" s="770"/>
      <c r="I11" s="975">
        <v>45991</v>
      </c>
      <c r="J11" s="975"/>
      <c r="K11" s="975"/>
    </row>
    <row r="12" spans="1:11" ht="15.75" thickBot="1" x14ac:dyDescent="0.3">
      <c r="A12" s="24"/>
      <c r="B12" s="24"/>
      <c r="C12" s="24"/>
      <c r="D12" s="24"/>
      <c r="E12" s="24"/>
      <c r="F12" s="24"/>
      <c r="G12" s="24"/>
      <c r="H12" s="24"/>
      <c r="I12" s="24"/>
      <c r="J12" s="24"/>
      <c r="K12" s="308"/>
    </row>
    <row r="13" spans="1:11" ht="15.75" thickBot="1" x14ac:dyDescent="0.3">
      <c r="A13" s="1692" t="s">
        <v>1993</v>
      </c>
      <c r="B13" s="1712"/>
      <c r="C13" s="1712"/>
      <c r="D13" s="1712"/>
      <c r="E13" s="1712"/>
      <c r="F13" s="1712"/>
      <c r="G13" s="1712"/>
      <c r="H13" s="1712"/>
      <c r="I13" s="1712"/>
      <c r="J13" s="1712"/>
      <c r="K13" s="1713"/>
    </row>
    <row r="14" spans="1:11" ht="6" customHeight="1" x14ac:dyDescent="0.25">
      <c r="A14" s="28"/>
      <c r="B14" s="28"/>
      <c r="C14" s="670"/>
      <c r="D14" s="670"/>
      <c r="E14" s="670"/>
      <c r="F14" s="670"/>
      <c r="G14" s="670"/>
      <c r="H14" s="670"/>
      <c r="I14" s="670"/>
      <c r="J14" s="28"/>
      <c r="K14" s="28"/>
    </row>
    <row r="15" spans="1:11" ht="21" x14ac:dyDescent="0.25">
      <c r="A15" s="705" t="s">
        <v>1994</v>
      </c>
      <c r="B15" s="1732" t="s">
        <v>1995</v>
      </c>
      <c r="C15" s="1732"/>
      <c r="D15" s="1732"/>
      <c r="E15" s="1732" t="s">
        <v>1996</v>
      </c>
      <c r="F15" s="1732"/>
      <c r="G15" s="1732" t="s">
        <v>1997</v>
      </c>
      <c r="H15" s="1732"/>
      <c r="I15" s="705" t="s">
        <v>1998</v>
      </c>
      <c r="J15" s="705" t="s">
        <v>1502</v>
      </c>
      <c r="K15" s="705" t="s">
        <v>1999</v>
      </c>
    </row>
    <row r="16" spans="1:11" ht="15" x14ac:dyDescent="0.25">
      <c r="A16" s="706"/>
      <c r="B16" s="1730"/>
      <c r="C16" s="1730"/>
      <c r="D16" s="1730"/>
      <c r="E16" s="1731"/>
      <c r="F16" s="1731"/>
      <c r="G16" s="1730"/>
      <c r="H16" s="1730"/>
      <c r="I16" s="707"/>
      <c r="J16" s="707"/>
      <c r="K16" s="707"/>
    </row>
    <row r="17" spans="1:11" ht="15" x14ac:dyDescent="0.25">
      <c r="A17" s="708"/>
      <c r="B17" s="1729"/>
      <c r="C17" s="1729"/>
      <c r="D17" s="1729"/>
      <c r="E17" s="1729"/>
      <c r="F17" s="1729"/>
      <c r="G17" s="1728"/>
      <c r="H17" s="1728"/>
      <c r="I17" s="710"/>
      <c r="J17" s="710"/>
      <c r="K17" s="710"/>
    </row>
    <row r="18" spans="1:11" ht="15" x14ac:dyDescent="0.25">
      <c r="A18" s="708"/>
      <c r="B18" s="1729"/>
      <c r="C18" s="1729"/>
      <c r="D18" s="1729"/>
      <c r="E18" s="1729"/>
      <c r="F18" s="1729"/>
      <c r="G18" s="1728"/>
      <c r="H18" s="1728"/>
      <c r="I18" s="710"/>
      <c r="J18" s="710"/>
      <c r="K18" s="710"/>
    </row>
    <row r="19" spans="1:11" ht="15" x14ac:dyDescent="0.25">
      <c r="A19" s="708"/>
      <c r="B19" s="1729"/>
      <c r="C19" s="1729"/>
      <c r="D19" s="1729"/>
      <c r="E19" s="1729"/>
      <c r="F19" s="1729"/>
      <c r="G19" s="1728"/>
      <c r="H19" s="1728"/>
      <c r="I19" s="710"/>
      <c r="J19" s="710"/>
      <c r="K19" s="710"/>
    </row>
    <row r="20" spans="1:11" ht="15" x14ac:dyDescent="0.25">
      <c r="A20" s="708"/>
      <c r="B20" s="1729"/>
      <c r="C20" s="1729"/>
      <c r="D20" s="1729"/>
      <c r="E20" s="1729"/>
      <c r="F20" s="1729"/>
      <c r="G20" s="1728"/>
      <c r="H20" s="1728"/>
      <c r="I20" s="710"/>
      <c r="J20" s="710"/>
      <c r="K20" s="710"/>
    </row>
    <row r="21" spans="1:11" ht="15" x14ac:dyDescent="0.25">
      <c r="A21" s="708"/>
      <c r="B21" s="1729"/>
      <c r="C21" s="1729"/>
      <c r="D21" s="1729"/>
      <c r="E21" s="1729"/>
      <c r="F21" s="1729"/>
      <c r="G21" s="1728"/>
      <c r="H21" s="1728"/>
      <c r="I21" s="710"/>
      <c r="J21" s="710"/>
      <c r="K21" s="710"/>
    </row>
    <row r="22" spans="1:11" ht="15" x14ac:dyDescent="0.25">
      <c r="A22" s="708"/>
      <c r="B22" s="1729"/>
      <c r="C22" s="1729"/>
      <c r="D22" s="1729"/>
      <c r="E22" s="1729"/>
      <c r="F22" s="1729"/>
      <c r="G22" s="1728"/>
      <c r="H22" s="1728"/>
      <c r="I22" s="710"/>
      <c r="J22" s="710"/>
      <c r="K22" s="710"/>
    </row>
    <row r="23" spans="1:11" ht="15" x14ac:dyDescent="0.25">
      <c r="A23" s="708"/>
      <c r="B23" s="1729"/>
      <c r="C23" s="1729"/>
      <c r="D23" s="1729"/>
      <c r="E23" s="1729"/>
      <c r="F23" s="1729"/>
      <c r="G23" s="1728"/>
      <c r="H23" s="1728"/>
      <c r="I23" s="710"/>
      <c r="J23" s="710"/>
      <c r="K23" s="710"/>
    </row>
    <row r="24" spans="1:11" ht="15" x14ac:dyDescent="0.25">
      <c r="A24" s="708"/>
      <c r="B24" s="1729"/>
      <c r="C24" s="1729"/>
      <c r="D24" s="1729"/>
      <c r="E24" s="1729"/>
      <c r="F24" s="1729"/>
      <c r="G24" s="1728"/>
      <c r="H24" s="1728"/>
      <c r="I24" s="710"/>
      <c r="J24" s="710"/>
      <c r="K24" s="710"/>
    </row>
    <row r="25" spans="1:11" ht="15" x14ac:dyDescent="0.25">
      <c r="A25" s="708"/>
      <c r="B25" s="1729"/>
      <c r="C25" s="1729"/>
      <c r="D25" s="1729"/>
      <c r="E25" s="1729"/>
      <c r="F25" s="1729"/>
      <c r="G25" s="1728"/>
      <c r="H25" s="1728"/>
      <c r="I25" s="710"/>
      <c r="J25" s="710"/>
      <c r="K25" s="710"/>
    </row>
    <row r="26" spans="1:11" ht="15" x14ac:dyDescent="0.25">
      <c r="A26" s="708"/>
      <c r="B26" s="1729"/>
      <c r="C26" s="1729"/>
      <c r="D26" s="1729"/>
      <c r="E26" s="1729"/>
      <c r="F26" s="1729"/>
      <c r="G26" s="1728"/>
      <c r="H26" s="1728"/>
      <c r="I26" s="710"/>
      <c r="J26" s="710"/>
      <c r="K26" s="710"/>
    </row>
    <row r="27" spans="1:11" ht="15" x14ac:dyDescent="0.25">
      <c r="A27" s="708"/>
      <c r="B27" s="1729"/>
      <c r="C27" s="1729"/>
      <c r="D27" s="1729"/>
      <c r="E27" s="1729"/>
      <c r="F27" s="1729"/>
      <c r="G27" s="1728"/>
      <c r="H27" s="1728"/>
      <c r="I27" s="710"/>
      <c r="J27" s="710"/>
      <c r="K27" s="710"/>
    </row>
    <row r="28" spans="1:11" ht="15" x14ac:dyDescent="0.25">
      <c r="A28" s="709"/>
      <c r="B28" s="1729"/>
      <c r="C28" s="1729"/>
      <c r="D28" s="1729"/>
      <c r="E28" s="1729"/>
      <c r="F28" s="1729"/>
      <c r="G28" s="1728"/>
      <c r="H28" s="1728"/>
      <c r="I28" s="710"/>
      <c r="J28" s="710"/>
      <c r="K28" s="710"/>
    </row>
    <row r="29" spans="1:11" ht="15" x14ac:dyDescent="0.25">
      <c r="A29" s="709"/>
      <c r="B29" s="1729"/>
      <c r="C29" s="1729"/>
      <c r="D29" s="1729"/>
      <c r="E29" s="1729"/>
      <c r="F29" s="1729"/>
      <c r="G29" s="1728"/>
      <c r="H29" s="1728"/>
      <c r="I29" s="710"/>
      <c r="J29" s="710"/>
      <c r="K29" s="710"/>
    </row>
    <row r="30" spans="1:11" ht="15" x14ac:dyDescent="0.25">
      <c r="A30" s="709"/>
      <c r="B30" s="1728"/>
      <c r="C30" s="1728"/>
      <c r="D30" s="1728"/>
      <c r="E30" s="1728"/>
      <c r="F30" s="1728"/>
      <c r="G30" s="1728"/>
      <c r="H30" s="1728"/>
      <c r="I30" s="710"/>
      <c r="J30" s="710"/>
      <c r="K30" s="710"/>
    </row>
    <row r="31" spans="1:11" ht="15" x14ac:dyDescent="0.25">
      <c r="A31" s="709"/>
      <c r="B31" s="1728"/>
      <c r="C31" s="1728"/>
      <c r="D31" s="1728"/>
      <c r="E31" s="1728"/>
      <c r="F31" s="1728"/>
      <c r="G31" s="1728"/>
      <c r="H31" s="1728"/>
      <c r="I31" s="710"/>
      <c r="J31" s="710"/>
      <c r="K31" s="710"/>
    </row>
    <row r="32" spans="1:11" ht="15" x14ac:dyDescent="0.25">
      <c r="A32" s="709"/>
      <c r="B32" s="1728"/>
      <c r="C32" s="1728"/>
      <c r="D32" s="1728"/>
      <c r="E32" s="1728"/>
      <c r="F32" s="1728"/>
      <c r="G32" s="1728"/>
      <c r="H32" s="1728"/>
      <c r="I32" s="710"/>
      <c r="J32" s="710"/>
      <c r="K32" s="710"/>
    </row>
    <row r="33" spans="1:11" ht="15" x14ac:dyDescent="0.25">
      <c r="A33" s="709"/>
      <c r="B33" s="1728"/>
      <c r="C33" s="1728"/>
      <c r="D33" s="1728"/>
      <c r="E33" s="1728"/>
      <c r="F33" s="1728"/>
      <c r="G33" s="1728"/>
      <c r="H33" s="1728"/>
      <c r="I33" s="710"/>
      <c r="J33" s="710"/>
      <c r="K33" s="710"/>
    </row>
    <row r="34" spans="1:11" ht="15" x14ac:dyDescent="0.25">
      <c r="A34" s="709"/>
      <c r="B34" s="1728"/>
      <c r="C34" s="1728"/>
      <c r="D34" s="1728"/>
      <c r="E34" s="1728"/>
      <c r="F34" s="1728"/>
      <c r="G34" s="1728"/>
      <c r="H34" s="1728"/>
      <c r="I34" s="710"/>
      <c r="J34" s="710"/>
      <c r="K34" s="710"/>
    </row>
    <row r="35" spans="1:11" ht="15" x14ac:dyDescent="0.25">
      <c r="A35" s="709"/>
      <c r="B35" s="1728"/>
      <c r="C35" s="1728"/>
      <c r="D35" s="1728"/>
      <c r="E35" s="1728"/>
      <c r="F35" s="1728"/>
      <c r="G35" s="1728"/>
      <c r="H35" s="1728"/>
      <c r="I35" s="710"/>
      <c r="J35" s="710"/>
      <c r="K35" s="710"/>
    </row>
    <row r="36" spans="1:11" ht="15.6" customHeight="1" x14ac:dyDescent="0.25">
      <c r="A36" s="1725" t="s">
        <v>849</v>
      </c>
      <c r="B36" s="1726"/>
      <c r="C36" s="1726"/>
      <c r="D36" s="1726"/>
      <c r="E36" s="1726"/>
      <c r="F36" s="1726"/>
      <c r="G36" s="1726"/>
      <c r="H36" s="1727"/>
      <c r="I36" s="711"/>
      <c r="J36" s="711"/>
      <c r="K36" s="711"/>
    </row>
    <row r="37" spans="1:11" ht="15" x14ac:dyDescent="0.25"/>
  </sheetData>
  <mergeCells count="83">
    <mergeCell ref="C6:D6"/>
    <mergeCell ref="E6:F6"/>
    <mergeCell ref="H6:I6"/>
    <mergeCell ref="J6:K6"/>
    <mergeCell ref="A1:J1"/>
    <mergeCell ref="C2:K2"/>
    <mergeCell ref="C3:K3"/>
    <mergeCell ref="C4:K4"/>
    <mergeCell ref="C5:K5"/>
    <mergeCell ref="C7:K7"/>
    <mergeCell ref="C8:K8"/>
    <mergeCell ref="C9:K9"/>
    <mergeCell ref="C10:D10"/>
    <mergeCell ref="E10:H10"/>
    <mergeCell ref="I10:K10"/>
    <mergeCell ref="C11:D11"/>
    <mergeCell ref="E11:H11"/>
    <mergeCell ref="I11:K11"/>
    <mergeCell ref="A13:K13"/>
    <mergeCell ref="B15:D15"/>
    <mergeCell ref="E15:F15"/>
    <mergeCell ref="G15:H15"/>
    <mergeCell ref="B16:D16"/>
    <mergeCell ref="E16:F16"/>
    <mergeCell ref="G16:H16"/>
    <mergeCell ref="B17:D17"/>
    <mergeCell ref="E17:F17"/>
    <mergeCell ref="G17:H17"/>
    <mergeCell ref="B18:D18"/>
    <mergeCell ref="E18:F18"/>
    <mergeCell ref="G18:H18"/>
    <mergeCell ref="B19:D19"/>
    <mergeCell ref="E19:F19"/>
    <mergeCell ref="G19:H19"/>
    <mergeCell ref="B20:D20"/>
    <mergeCell ref="E20:F20"/>
    <mergeCell ref="G20:H20"/>
    <mergeCell ref="B21:D21"/>
    <mergeCell ref="E21:F21"/>
    <mergeCell ref="G21:H21"/>
    <mergeCell ref="B22:D22"/>
    <mergeCell ref="E22:F22"/>
    <mergeCell ref="G22:H22"/>
    <mergeCell ref="B23:D23"/>
    <mergeCell ref="E23:F23"/>
    <mergeCell ref="G23:H23"/>
    <mergeCell ref="B24:D24"/>
    <mergeCell ref="E24:F24"/>
    <mergeCell ref="G24:H24"/>
    <mergeCell ref="B25:D25"/>
    <mergeCell ref="E25:F25"/>
    <mergeCell ref="G25:H25"/>
    <mergeCell ref="B26:D26"/>
    <mergeCell ref="E26:F26"/>
    <mergeCell ref="G26:H26"/>
    <mergeCell ref="B27:D27"/>
    <mergeCell ref="E27:F27"/>
    <mergeCell ref="G27:H27"/>
    <mergeCell ref="B28:D28"/>
    <mergeCell ref="E28:F28"/>
    <mergeCell ref="G28:H28"/>
    <mergeCell ref="B29:D29"/>
    <mergeCell ref="E29:F29"/>
    <mergeCell ref="G29:H29"/>
    <mergeCell ref="B30:D30"/>
    <mergeCell ref="E30:F30"/>
    <mergeCell ref="G30:H30"/>
    <mergeCell ref="B31:D31"/>
    <mergeCell ref="E31:F31"/>
    <mergeCell ref="G31:H31"/>
    <mergeCell ref="B32:D32"/>
    <mergeCell ref="E32:F32"/>
    <mergeCell ref="G32:H32"/>
    <mergeCell ref="B33:D33"/>
    <mergeCell ref="E33:F33"/>
    <mergeCell ref="G33:H33"/>
    <mergeCell ref="A36:H36"/>
    <mergeCell ref="B34:D34"/>
    <mergeCell ref="E34:F34"/>
    <mergeCell ref="G34:H34"/>
    <mergeCell ref="B35:D35"/>
    <mergeCell ref="E35:F35"/>
    <mergeCell ref="G35:H35"/>
  </mergeCells>
  <pageMargins left="0.7" right="0.7" top="0.75" bottom="0.75" header="0.3" footer="0.3"/>
  <drawing r:id="rId1"/>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8A8ECE-A440-411D-9B21-72490EEF4103}">
  <dimension ref="A1:K38"/>
  <sheetViews>
    <sheetView workbookViewId="0">
      <selection activeCell="D14" sqref="A1:XFD1048576"/>
    </sheetView>
  </sheetViews>
  <sheetFormatPr baseColWidth="10" defaultColWidth="11.42578125" defaultRowHeight="13.9" customHeight="1" x14ac:dyDescent="0.25"/>
  <cols>
    <col min="1" max="1" width="16.42578125" style="481" customWidth="1"/>
    <col min="2" max="2" width="13.42578125" style="481" customWidth="1"/>
    <col min="3" max="3" width="11.5703125" style="481" customWidth="1"/>
    <col min="4" max="4" width="6.5703125" style="481" customWidth="1"/>
    <col min="5" max="5" width="11.85546875" style="481" customWidth="1"/>
    <col min="6" max="6" width="12.5703125" style="481" customWidth="1"/>
    <col min="7" max="7" width="13.28515625" style="481" customWidth="1"/>
    <col min="8" max="8" width="14.5703125" style="481" customWidth="1"/>
    <col min="9" max="9" width="12" style="481" customWidth="1"/>
    <col min="10" max="10" width="7.7109375" style="481" customWidth="1"/>
    <col min="11" max="11" width="13.7109375" style="481" customWidth="1"/>
    <col min="12" max="12" width="5.140625" style="481" customWidth="1"/>
    <col min="13" max="16384" width="11.42578125" style="481"/>
  </cols>
  <sheetData>
    <row r="1" spans="1:11" ht="6.75" customHeight="1" x14ac:dyDescent="0.25">
      <c r="A1" s="1514"/>
      <c r="B1" s="1514"/>
      <c r="C1" s="1515"/>
      <c r="D1" s="1515"/>
      <c r="E1" s="1515"/>
      <c r="F1" s="1515"/>
      <c r="G1" s="1515"/>
      <c r="H1" s="1515"/>
      <c r="I1" s="1515"/>
      <c r="J1" s="1515"/>
    </row>
    <row r="2" spans="1:11" ht="15" customHeight="1" x14ac:dyDescent="0.25">
      <c r="A2" s="199" t="s">
        <v>361</v>
      </c>
      <c r="B2" s="199"/>
      <c r="C2" s="1505" t="s">
        <v>2</v>
      </c>
      <c r="D2" s="958"/>
      <c r="E2" s="958"/>
      <c r="F2" s="958"/>
      <c r="G2" s="958"/>
      <c r="H2" s="958"/>
      <c r="I2" s="958"/>
      <c r="J2" s="958"/>
      <c r="K2" s="712"/>
    </row>
    <row r="3" spans="1:11" ht="15" customHeight="1" x14ac:dyDescent="0.25">
      <c r="A3" s="199"/>
      <c r="B3" s="199"/>
      <c r="C3" s="1506" t="s">
        <v>4</v>
      </c>
      <c r="D3" s="1506"/>
      <c r="E3" s="1506"/>
      <c r="F3" s="1506"/>
      <c r="G3" s="1506"/>
      <c r="H3" s="1506"/>
      <c r="I3" s="1506"/>
      <c r="J3" s="1506"/>
      <c r="K3" s="712"/>
    </row>
    <row r="4" spans="1:11" ht="15" customHeight="1" x14ac:dyDescent="0.25">
      <c r="A4" s="199" t="s">
        <v>362</v>
      </c>
      <c r="B4" s="199"/>
      <c r="C4" s="1506" t="s">
        <v>6</v>
      </c>
      <c r="D4" s="957"/>
      <c r="E4" s="957"/>
      <c r="F4" s="957"/>
      <c r="G4" s="957"/>
      <c r="H4" s="957"/>
      <c r="I4" s="957"/>
      <c r="J4" s="957"/>
      <c r="K4" s="712"/>
    </row>
    <row r="5" spans="1:11" ht="15" customHeight="1" x14ac:dyDescent="0.25">
      <c r="A5" s="199" t="s">
        <v>363</v>
      </c>
      <c r="B5" s="199"/>
      <c r="C5" s="1492">
        <v>4431</v>
      </c>
      <c r="D5" s="1492"/>
      <c r="E5" s="1492"/>
      <c r="F5" s="1492"/>
      <c r="G5" s="1492"/>
      <c r="H5" s="1492"/>
      <c r="I5" s="1492"/>
      <c r="J5" s="1492"/>
      <c r="K5" s="713"/>
    </row>
    <row r="6" spans="1:11" ht="15" x14ac:dyDescent="0.25">
      <c r="A6" s="199" t="s">
        <v>364</v>
      </c>
      <c r="B6" s="199"/>
      <c r="C6" s="957" t="s">
        <v>12</v>
      </c>
      <c r="D6" s="957"/>
      <c r="E6" s="1490" t="s">
        <v>365</v>
      </c>
      <c r="F6" s="1490"/>
      <c r="G6" s="202">
        <v>46022</v>
      </c>
      <c r="H6" s="770" t="s">
        <v>465</v>
      </c>
      <c r="I6" s="770"/>
      <c r="J6" s="235">
        <v>12</v>
      </c>
      <c r="K6" s="274"/>
    </row>
    <row r="7" spans="1:11" ht="15" x14ac:dyDescent="0.25">
      <c r="A7" s="199" t="s">
        <v>367</v>
      </c>
      <c r="B7" s="199"/>
      <c r="C7" s="1487" t="s">
        <v>8</v>
      </c>
      <c r="D7" s="1487"/>
      <c r="E7" s="1487"/>
      <c r="F7" s="1487"/>
      <c r="G7" s="1487"/>
      <c r="H7" s="1487"/>
      <c r="I7" s="1487"/>
      <c r="J7" s="1487"/>
      <c r="K7" s="274"/>
    </row>
    <row r="8" spans="1:11" ht="16.149999999999999" customHeight="1" x14ac:dyDescent="0.25">
      <c r="A8" s="199" t="s">
        <v>466</v>
      </c>
      <c r="B8" s="203"/>
      <c r="C8" s="959" t="s">
        <v>34</v>
      </c>
      <c r="D8" s="959"/>
      <c r="E8" s="959"/>
      <c r="F8" s="959"/>
      <c r="G8" s="959"/>
      <c r="H8" s="959"/>
      <c r="I8" s="959"/>
      <c r="J8" s="959"/>
    </row>
    <row r="9" spans="1:11" ht="16.149999999999999" customHeight="1" x14ac:dyDescent="0.25">
      <c r="A9" s="198"/>
      <c r="B9" s="203"/>
      <c r="C9" s="770">
        <v>555555</v>
      </c>
      <c r="D9" s="770"/>
      <c r="E9" s="770"/>
      <c r="F9" s="770"/>
      <c r="G9" s="770"/>
      <c r="H9" s="770"/>
      <c r="I9" s="770"/>
      <c r="J9" s="770"/>
    </row>
    <row r="10" spans="1:11" ht="16.149999999999999" customHeight="1" x14ac:dyDescent="0.25">
      <c r="A10" s="199" t="s">
        <v>467</v>
      </c>
      <c r="B10" s="203"/>
      <c r="C10" s="770" t="s">
        <v>38</v>
      </c>
      <c r="D10" s="770"/>
      <c r="E10" s="770" t="s">
        <v>468</v>
      </c>
      <c r="F10" s="770"/>
      <c r="G10" s="770"/>
      <c r="H10" s="770" t="s">
        <v>36</v>
      </c>
      <c r="I10" s="770"/>
      <c r="J10" s="770"/>
    </row>
    <row r="11" spans="1:11" ht="16.149999999999999" customHeight="1" x14ac:dyDescent="0.25">
      <c r="A11" s="199" t="s">
        <v>469</v>
      </c>
      <c r="B11" s="203"/>
      <c r="C11" s="975">
        <v>44713</v>
      </c>
      <c r="D11" s="975"/>
      <c r="E11" s="770" t="s">
        <v>470</v>
      </c>
      <c r="F11" s="770"/>
      <c r="G11" s="770"/>
      <c r="H11" s="975">
        <v>45991</v>
      </c>
      <c r="I11" s="975"/>
      <c r="J11" s="975"/>
    </row>
    <row r="12" spans="1:11" ht="15.75" thickBot="1" x14ac:dyDescent="0.3">
      <c r="A12" s="24"/>
      <c r="B12" s="24"/>
      <c r="C12" s="24"/>
      <c r="D12" s="24"/>
      <c r="E12" s="24"/>
      <c r="F12" s="24"/>
      <c r="G12" s="24"/>
      <c r="H12" s="24"/>
      <c r="I12" s="24"/>
      <c r="J12" s="24"/>
    </row>
    <row r="13" spans="1:11" ht="16.5" thickBot="1" x14ac:dyDescent="0.3">
      <c r="A13" s="1692" t="s">
        <v>2000</v>
      </c>
      <c r="B13" s="1712"/>
      <c r="C13" s="1712"/>
      <c r="D13" s="1712"/>
      <c r="E13" s="1712"/>
      <c r="F13" s="1712"/>
      <c r="G13" s="1712"/>
      <c r="H13" s="1712"/>
      <c r="I13" s="1712"/>
      <c r="J13" s="1712"/>
      <c r="K13" s="714"/>
    </row>
    <row r="14" spans="1:11" ht="8.25" customHeight="1" x14ac:dyDescent="0.25">
      <c r="A14" s="28"/>
      <c r="B14" s="28"/>
      <c r="C14" s="670"/>
      <c r="D14" s="670"/>
      <c r="E14" s="670"/>
      <c r="F14" s="670"/>
      <c r="G14" s="670"/>
      <c r="H14" s="670"/>
      <c r="I14" s="670"/>
      <c r="J14" s="28"/>
    </row>
    <row r="15" spans="1:11" ht="21" x14ac:dyDescent="0.25">
      <c r="A15" s="705" t="s">
        <v>2001</v>
      </c>
      <c r="B15" s="1732" t="s">
        <v>2002</v>
      </c>
      <c r="C15" s="1732"/>
      <c r="D15" s="1732"/>
      <c r="E15" s="705" t="s">
        <v>2003</v>
      </c>
      <c r="F15" s="1732" t="s">
        <v>2004</v>
      </c>
      <c r="G15" s="1732"/>
      <c r="H15" s="705" t="s">
        <v>2005</v>
      </c>
      <c r="I15" s="1732" t="s">
        <v>2006</v>
      </c>
      <c r="J15" s="1732"/>
    </row>
    <row r="16" spans="1:11" ht="15" x14ac:dyDescent="0.25">
      <c r="A16" s="706"/>
      <c r="B16" s="1730"/>
      <c r="C16" s="1730"/>
      <c r="D16" s="1730"/>
      <c r="E16" s="706"/>
      <c r="F16" s="1730"/>
      <c r="G16" s="1730"/>
      <c r="H16" s="707"/>
      <c r="I16" s="1738"/>
      <c r="J16" s="1738"/>
    </row>
    <row r="17" spans="1:10" ht="15" x14ac:dyDescent="0.25">
      <c r="A17" s="708"/>
      <c r="B17" s="1729"/>
      <c r="C17" s="1729"/>
      <c r="D17" s="1729"/>
      <c r="E17" s="709"/>
      <c r="F17" s="1728"/>
      <c r="G17" s="1728"/>
      <c r="H17" s="710"/>
      <c r="I17" s="1733"/>
      <c r="J17" s="1733"/>
    </row>
    <row r="18" spans="1:10" ht="15" x14ac:dyDescent="0.25">
      <c r="A18" s="708"/>
      <c r="B18" s="1729"/>
      <c r="C18" s="1729"/>
      <c r="D18" s="1729"/>
      <c r="E18" s="709"/>
      <c r="F18" s="1728"/>
      <c r="G18" s="1728"/>
      <c r="H18" s="710"/>
      <c r="I18" s="1733"/>
      <c r="J18" s="1733"/>
    </row>
    <row r="19" spans="1:10" ht="15" x14ac:dyDescent="0.25">
      <c r="A19" s="708"/>
      <c r="B19" s="1729"/>
      <c r="C19" s="1729"/>
      <c r="D19" s="1729"/>
      <c r="E19" s="709"/>
      <c r="F19" s="1728"/>
      <c r="G19" s="1728"/>
      <c r="H19" s="710"/>
      <c r="I19" s="1733"/>
      <c r="J19" s="1733"/>
    </row>
    <row r="20" spans="1:10" ht="15" x14ac:dyDescent="0.25">
      <c r="A20" s="708"/>
      <c r="B20" s="1729"/>
      <c r="C20" s="1729"/>
      <c r="D20" s="1729"/>
      <c r="E20" s="709"/>
      <c r="F20" s="1728"/>
      <c r="G20" s="1728"/>
      <c r="H20" s="710"/>
      <c r="I20" s="1733"/>
      <c r="J20" s="1733"/>
    </row>
    <row r="21" spans="1:10" ht="15" x14ac:dyDescent="0.25">
      <c r="A21" s="708"/>
      <c r="B21" s="1729"/>
      <c r="C21" s="1729"/>
      <c r="D21" s="1729"/>
      <c r="E21" s="709"/>
      <c r="F21" s="1728"/>
      <c r="G21" s="1728"/>
      <c r="H21" s="710"/>
      <c r="I21" s="1733"/>
      <c r="J21" s="1733"/>
    </row>
    <row r="22" spans="1:10" ht="15" x14ac:dyDescent="0.25">
      <c r="A22" s="708"/>
      <c r="B22" s="1729"/>
      <c r="C22" s="1729"/>
      <c r="D22" s="1729"/>
      <c r="E22" s="709"/>
      <c r="F22" s="1728"/>
      <c r="G22" s="1728"/>
      <c r="H22" s="710"/>
      <c r="I22" s="1733"/>
      <c r="J22" s="1733"/>
    </row>
    <row r="23" spans="1:10" ht="15" x14ac:dyDescent="0.25">
      <c r="A23" s="708"/>
      <c r="B23" s="1729"/>
      <c r="C23" s="1729"/>
      <c r="D23" s="1729"/>
      <c r="E23" s="709"/>
      <c r="F23" s="1728"/>
      <c r="G23" s="1728"/>
      <c r="H23" s="710"/>
      <c r="I23" s="1733"/>
      <c r="J23" s="1733"/>
    </row>
    <row r="24" spans="1:10" ht="15" x14ac:dyDescent="0.25">
      <c r="A24" s="708"/>
      <c r="B24" s="1729"/>
      <c r="C24" s="1729"/>
      <c r="D24" s="1729"/>
      <c r="E24" s="709"/>
      <c r="F24" s="1728"/>
      <c r="G24" s="1728"/>
      <c r="H24" s="710"/>
      <c r="I24" s="1733"/>
      <c r="J24" s="1733"/>
    </row>
    <row r="25" spans="1:10" ht="15" x14ac:dyDescent="0.25">
      <c r="A25" s="708"/>
      <c r="B25" s="1729"/>
      <c r="C25" s="1729"/>
      <c r="D25" s="1729"/>
      <c r="E25" s="709"/>
      <c r="F25" s="1728"/>
      <c r="G25" s="1728"/>
      <c r="H25" s="710"/>
      <c r="I25" s="1733"/>
      <c r="J25" s="1733"/>
    </row>
    <row r="26" spans="1:10" ht="15" x14ac:dyDescent="0.25">
      <c r="A26" s="708"/>
      <c r="B26" s="1729"/>
      <c r="C26" s="1729"/>
      <c r="D26" s="1729"/>
      <c r="E26" s="709"/>
      <c r="F26" s="1728"/>
      <c r="G26" s="1728"/>
      <c r="H26" s="710"/>
      <c r="I26" s="1733"/>
      <c r="J26" s="1733"/>
    </row>
    <row r="27" spans="1:10" ht="15" x14ac:dyDescent="0.25">
      <c r="A27" s="708"/>
      <c r="B27" s="1729"/>
      <c r="C27" s="1729"/>
      <c r="D27" s="1729"/>
      <c r="E27" s="709"/>
      <c r="F27" s="1728"/>
      <c r="G27" s="1728"/>
      <c r="H27" s="710"/>
      <c r="I27" s="1733"/>
      <c r="J27" s="1733"/>
    </row>
    <row r="28" spans="1:10" ht="15" x14ac:dyDescent="0.25">
      <c r="A28" s="708"/>
      <c r="B28" s="1729"/>
      <c r="C28" s="1729"/>
      <c r="D28" s="1729"/>
      <c r="E28" s="709"/>
      <c r="F28" s="1728"/>
      <c r="G28" s="1728"/>
      <c r="H28" s="710"/>
      <c r="I28" s="1733"/>
      <c r="J28" s="1733"/>
    </row>
    <row r="29" spans="1:10" ht="15" x14ac:dyDescent="0.25">
      <c r="A29" s="709"/>
      <c r="B29" s="1729"/>
      <c r="C29" s="1729"/>
      <c r="D29" s="1729"/>
      <c r="E29" s="709"/>
      <c r="F29" s="1728"/>
      <c r="G29" s="1728"/>
      <c r="H29" s="710"/>
      <c r="I29" s="1733"/>
      <c r="J29" s="1733"/>
    </row>
    <row r="30" spans="1:10" ht="15" x14ac:dyDescent="0.25">
      <c r="A30" s="709"/>
      <c r="B30" s="1729"/>
      <c r="C30" s="1729"/>
      <c r="D30" s="1729"/>
      <c r="E30" s="709"/>
      <c r="F30" s="1728"/>
      <c r="G30" s="1728"/>
      <c r="H30" s="710"/>
      <c r="I30" s="1733"/>
      <c r="J30" s="1733"/>
    </row>
    <row r="31" spans="1:10" ht="15" x14ac:dyDescent="0.25">
      <c r="A31" s="709"/>
      <c r="B31" s="1728"/>
      <c r="C31" s="1728"/>
      <c r="D31" s="1728"/>
      <c r="E31" s="709"/>
      <c r="F31" s="1728"/>
      <c r="G31" s="1728"/>
      <c r="H31" s="710"/>
      <c r="I31" s="1733"/>
      <c r="J31" s="1733"/>
    </row>
    <row r="32" spans="1:10" ht="15" x14ac:dyDescent="0.25">
      <c r="A32" s="709"/>
      <c r="B32" s="1728"/>
      <c r="C32" s="1728"/>
      <c r="D32" s="1728"/>
      <c r="E32" s="709"/>
      <c r="F32" s="1728"/>
      <c r="G32" s="1728"/>
      <c r="H32" s="710"/>
      <c r="I32" s="1733"/>
      <c r="J32" s="1733"/>
    </row>
    <row r="33" spans="1:10" ht="15" x14ac:dyDescent="0.25">
      <c r="A33" s="709"/>
      <c r="B33" s="1728"/>
      <c r="C33" s="1728"/>
      <c r="D33" s="1728"/>
      <c r="E33" s="709"/>
      <c r="F33" s="1728"/>
      <c r="G33" s="1728"/>
      <c r="H33" s="710"/>
      <c r="I33" s="1733"/>
      <c r="J33" s="1733"/>
    </row>
    <row r="34" spans="1:10" ht="15" x14ac:dyDescent="0.25">
      <c r="A34" s="709"/>
      <c r="B34" s="1728"/>
      <c r="C34" s="1728"/>
      <c r="D34" s="1728"/>
      <c r="E34" s="709"/>
      <c r="F34" s="1728"/>
      <c r="G34" s="1728"/>
      <c r="H34" s="710"/>
      <c r="I34" s="1733"/>
      <c r="J34" s="1733"/>
    </row>
    <row r="35" spans="1:10" ht="15" x14ac:dyDescent="0.25">
      <c r="A35" s="709"/>
      <c r="B35" s="1728"/>
      <c r="C35" s="1728"/>
      <c r="D35" s="1728"/>
      <c r="E35" s="709"/>
      <c r="F35" s="1728"/>
      <c r="G35" s="1728"/>
      <c r="H35" s="710"/>
      <c r="I35" s="1733"/>
      <c r="J35" s="1733"/>
    </row>
    <row r="36" spans="1:10" ht="15" x14ac:dyDescent="0.25">
      <c r="A36" s="709"/>
      <c r="B36" s="1728"/>
      <c r="C36" s="1728"/>
      <c r="D36" s="1728"/>
      <c r="E36" s="709"/>
      <c r="F36" s="1728"/>
      <c r="G36" s="1728"/>
      <c r="H36" s="710"/>
      <c r="I36" s="1733"/>
      <c r="J36" s="1733"/>
    </row>
    <row r="37" spans="1:10" ht="15" x14ac:dyDescent="0.25">
      <c r="A37" s="1734" t="s">
        <v>849</v>
      </c>
      <c r="B37" s="1735"/>
      <c r="C37" s="1735"/>
      <c r="D37" s="1735"/>
      <c r="E37" s="1735"/>
      <c r="F37" s="1735"/>
      <c r="G37" s="1735"/>
      <c r="H37" s="1736"/>
      <c r="I37" s="1737"/>
      <c r="J37" s="1737"/>
    </row>
    <row r="38" spans="1:10" ht="15" x14ac:dyDescent="0.25"/>
  </sheetData>
  <mergeCells count="86">
    <mergeCell ref="C6:D6"/>
    <mergeCell ref="E6:F6"/>
    <mergeCell ref="H6:I6"/>
    <mergeCell ref="A1:J1"/>
    <mergeCell ref="C2:J2"/>
    <mergeCell ref="C3:J3"/>
    <mergeCell ref="C4:J4"/>
    <mergeCell ref="C5:J5"/>
    <mergeCell ref="C7:J7"/>
    <mergeCell ref="C8:J8"/>
    <mergeCell ref="C9:J9"/>
    <mergeCell ref="C10:D10"/>
    <mergeCell ref="E10:G10"/>
    <mergeCell ref="H10:J10"/>
    <mergeCell ref="C11:D11"/>
    <mergeCell ref="E11:G11"/>
    <mergeCell ref="H11:J11"/>
    <mergeCell ref="A13:J13"/>
    <mergeCell ref="B15:D15"/>
    <mergeCell ref="F15:G15"/>
    <mergeCell ref="I15:J15"/>
    <mergeCell ref="B16:D16"/>
    <mergeCell ref="F16:G16"/>
    <mergeCell ref="I16:J16"/>
    <mergeCell ref="B17:D17"/>
    <mergeCell ref="F17:G17"/>
    <mergeCell ref="I17:J17"/>
    <mergeCell ref="B18:D18"/>
    <mergeCell ref="F18:G18"/>
    <mergeCell ref="I18:J18"/>
    <mergeCell ref="B19:D19"/>
    <mergeCell ref="F19:G19"/>
    <mergeCell ref="I19:J19"/>
    <mergeCell ref="B20:D20"/>
    <mergeCell ref="F20:G20"/>
    <mergeCell ref="I20:J20"/>
    <mergeCell ref="B21:D21"/>
    <mergeCell ref="F21:G21"/>
    <mergeCell ref="I21:J21"/>
    <mergeCell ref="B22:D22"/>
    <mergeCell ref="F22:G22"/>
    <mergeCell ref="I22:J22"/>
    <mergeCell ref="B23:D23"/>
    <mergeCell ref="F23:G23"/>
    <mergeCell ref="I23:J23"/>
    <mergeCell ref="B24:D24"/>
    <mergeCell ref="F24:G24"/>
    <mergeCell ref="I24:J24"/>
    <mergeCell ref="B25:D25"/>
    <mergeCell ref="F25:G25"/>
    <mergeCell ref="I25:J25"/>
    <mergeCell ref="B26:D26"/>
    <mergeCell ref="F26:G26"/>
    <mergeCell ref="I26:J26"/>
    <mergeCell ref="B27:D27"/>
    <mergeCell ref="F27:G27"/>
    <mergeCell ref="I27:J27"/>
    <mergeCell ref="B28:D28"/>
    <mergeCell ref="F28:G28"/>
    <mergeCell ref="I28:J28"/>
    <mergeCell ref="B29:D29"/>
    <mergeCell ref="F29:G29"/>
    <mergeCell ref="I29:J29"/>
    <mergeCell ref="B30:D30"/>
    <mergeCell ref="F30:G30"/>
    <mergeCell ref="I30:J30"/>
    <mergeCell ref="B31:D31"/>
    <mergeCell ref="F31:G31"/>
    <mergeCell ref="I31:J31"/>
    <mergeCell ref="B32:D32"/>
    <mergeCell ref="F32:G32"/>
    <mergeCell ref="I32:J32"/>
    <mergeCell ref="B33:D33"/>
    <mergeCell ref="F33:G33"/>
    <mergeCell ref="I33:J33"/>
    <mergeCell ref="B34:D34"/>
    <mergeCell ref="F34:G34"/>
    <mergeCell ref="I34:J34"/>
    <mergeCell ref="B35:D35"/>
    <mergeCell ref="F35:G35"/>
    <mergeCell ref="I35:J35"/>
    <mergeCell ref="B36:D36"/>
    <mergeCell ref="F36:G36"/>
    <mergeCell ref="I36:J36"/>
    <mergeCell ref="A37:H37"/>
    <mergeCell ref="I37:J37"/>
  </mergeCells>
  <pageMargins left="0.7" right="0.7" top="0.75" bottom="0.75" header="0.3" footer="0.3"/>
  <drawing r:id="rId1"/>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0BA493-9AC6-48B6-BA11-D7C2A368F242}">
  <dimension ref="A1:K36"/>
  <sheetViews>
    <sheetView workbookViewId="0">
      <selection sqref="A1:XFD1048576"/>
    </sheetView>
  </sheetViews>
  <sheetFormatPr baseColWidth="10" defaultColWidth="11.42578125" defaultRowHeight="13.9" customHeight="1" x14ac:dyDescent="0.25"/>
  <cols>
    <col min="1" max="1" width="12.5703125" style="481" customWidth="1"/>
    <col min="2" max="2" width="18.7109375" style="481" customWidth="1"/>
    <col min="3" max="3" width="8.85546875" style="481" customWidth="1"/>
    <col min="4" max="4" width="8" style="481" customWidth="1"/>
    <col min="5" max="5" width="12.28515625" style="481" customWidth="1"/>
    <col min="6" max="6" width="9.85546875" style="481" customWidth="1"/>
    <col min="7" max="7" width="15.5703125" style="481" customWidth="1"/>
    <col min="8" max="8" width="16" style="481" customWidth="1"/>
    <col min="9" max="9" width="15.28515625" style="481" customWidth="1"/>
    <col min="10" max="10" width="16" style="481" customWidth="1"/>
    <col min="11" max="11" width="14" style="481" customWidth="1"/>
    <col min="12" max="16384" width="11.42578125" style="481"/>
  </cols>
  <sheetData>
    <row r="1" spans="1:11" ht="10.5" customHeight="1" x14ac:dyDescent="0.25">
      <c r="A1" s="1514"/>
      <c r="B1" s="1514"/>
      <c r="C1" s="1515"/>
      <c r="D1" s="1515"/>
      <c r="E1" s="1515"/>
      <c r="F1" s="1515"/>
      <c r="G1" s="1515"/>
      <c r="H1" s="1515"/>
      <c r="I1" s="1515"/>
      <c r="J1" s="1515"/>
    </row>
    <row r="2" spans="1:11" ht="15" customHeight="1" x14ac:dyDescent="0.25">
      <c r="A2" s="199" t="s">
        <v>361</v>
      </c>
      <c r="B2" s="199"/>
      <c r="C2" s="1505" t="s">
        <v>2</v>
      </c>
      <c r="D2" s="958"/>
      <c r="E2" s="958"/>
      <c r="F2" s="958"/>
      <c r="G2" s="958"/>
      <c r="H2" s="958"/>
      <c r="I2" s="958"/>
      <c r="J2" s="958"/>
      <c r="K2" s="712"/>
    </row>
    <row r="3" spans="1:11" ht="15" customHeight="1" x14ac:dyDescent="0.25">
      <c r="A3" s="199"/>
      <c r="B3" s="199"/>
      <c r="C3" s="1506" t="s">
        <v>4</v>
      </c>
      <c r="D3" s="1506"/>
      <c r="E3" s="1506"/>
      <c r="F3" s="1506"/>
      <c r="G3" s="1506"/>
      <c r="H3" s="1506"/>
      <c r="I3" s="1506"/>
      <c r="J3" s="1506"/>
      <c r="K3" s="712"/>
    </row>
    <row r="4" spans="1:11" ht="15" customHeight="1" x14ac:dyDescent="0.25">
      <c r="A4" s="199" t="s">
        <v>362</v>
      </c>
      <c r="B4" s="199"/>
      <c r="C4" s="1506" t="s">
        <v>6</v>
      </c>
      <c r="D4" s="957"/>
      <c r="E4" s="957"/>
      <c r="F4" s="957"/>
      <c r="G4" s="957"/>
      <c r="H4" s="957"/>
      <c r="I4" s="957"/>
      <c r="J4" s="957"/>
      <c r="K4" s="712"/>
    </row>
    <row r="5" spans="1:11" ht="15" customHeight="1" x14ac:dyDescent="0.25">
      <c r="A5" s="199" t="s">
        <v>363</v>
      </c>
      <c r="B5" s="199"/>
      <c r="C5" s="1492">
        <v>4431</v>
      </c>
      <c r="D5" s="1492"/>
      <c r="E5" s="1492"/>
      <c r="F5" s="1492"/>
      <c r="G5" s="1492"/>
      <c r="H5" s="1492"/>
      <c r="I5" s="1492"/>
      <c r="J5" s="1492"/>
      <c r="K5" s="713"/>
    </row>
    <row r="6" spans="1:11" ht="15" x14ac:dyDescent="0.25">
      <c r="A6" s="199" t="s">
        <v>364</v>
      </c>
      <c r="B6" s="199"/>
      <c r="C6" s="957" t="s">
        <v>12</v>
      </c>
      <c r="D6" s="957"/>
      <c r="E6" s="1490" t="s">
        <v>365</v>
      </c>
      <c r="F6" s="1490"/>
      <c r="G6" s="202">
        <v>46022</v>
      </c>
      <c r="H6" s="770" t="s">
        <v>465</v>
      </c>
      <c r="I6" s="770"/>
      <c r="J6" s="235">
        <v>12</v>
      </c>
      <c r="K6" s="274"/>
    </row>
    <row r="7" spans="1:11" ht="15" customHeight="1" x14ac:dyDescent="0.25">
      <c r="A7" s="199" t="s">
        <v>367</v>
      </c>
      <c r="B7" s="199"/>
      <c r="C7" s="1487" t="s">
        <v>8</v>
      </c>
      <c r="D7" s="1487"/>
      <c r="E7" s="1487"/>
      <c r="F7" s="1487"/>
      <c r="G7" s="1487"/>
      <c r="H7" s="1487"/>
      <c r="I7" s="1487"/>
      <c r="J7" s="1487"/>
      <c r="K7" s="274"/>
    </row>
    <row r="8" spans="1:11" ht="15.6" customHeight="1" x14ac:dyDescent="0.25">
      <c r="A8" s="199" t="s">
        <v>466</v>
      </c>
      <c r="B8" s="203"/>
      <c r="C8" s="959" t="s">
        <v>34</v>
      </c>
      <c r="D8" s="959"/>
      <c r="E8" s="959"/>
      <c r="F8" s="959"/>
      <c r="G8" s="959"/>
      <c r="H8" s="959"/>
      <c r="I8" s="959"/>
      <c r="J8" s="959"/>
    </row>
    <row r="9" spans="1:11" ht="15.6" customHeight="1" x14ac:dyDescent="0.25">
      <c r="A9" s="198"/>
      <c r="B9" s="203"/>
      <c r="C9" s="770">
        <v>555555</v>
      </c>
      <c r="D9" s="770"/>
      <c r="E9" s="770"/>
      <c r="F9" s="770"/>
      <c r="G9" s="770"/>
      <c r="H9" s="770"/>
      <c r="I9" s="770"/>
      <c r="J9" s="770"/>
    </row>
    <row r="10" spans="1:11" ht="15.6" customHeight="1" x14ac:dyDescent="0.25">
      <c r="A10" s="199" t="s">
        <v>467</v>
      </c>
      <c r="B10" s="203"/>
      <c r="C10" s="770" t="s">
        <v>38</v>
      </c>
      <c r="D10" s="770"/>
      <c r="E10" s="770" t="s">
        <v>468</v>
      </c>
      <c r="F10" s="770"/>
      <c r="G10" s="770"/>
      <c r="H10" s="770" t="s">
        <v>36</v>
      </c>
      <c r="I10" s="770"/>
      <c r="J10" s="770"/>
    </row>
    <row r="11" spans="1:11" ht="15.6" customHeight="1" x14ac:dyDescent="0.25">
      <c r="A11" s="199" t="s">
        <v>469</v>
      </c>
      <c r="B11" s="203"/>
      <c r="C11" s="975">
        <v>44713</v>
      </c>
      <c r="D11" s="975"/>
      <c r="E11" s="770" t="s">
        <v>470</v>
      </c>
      <c r="F11" s="770"/>
      <c r="G11" s="770"/>
      <c r="H11" s="975">
        <v>45991</v>
      </c>
      <c r="I11" s="975"/>
      <c r="J11" s="975"/>
    </row>
    <row r="12" spans="1:11" ht="15.75" thickBot="1" x14ac:dyDescent="0.3">
      <c r="A12" s="24"/>
      <c r="B12" s="24"/>
      <c r="C12" s="24"/>
      <c r="D12" s="24"/>
      <c r="E12" s="24"/>
      <c r="F12" s="24"/>
      <c r="G12" s="24"/>
      <c r="H12" s="24"/>
      <c r="I12" s="24"/>
      <c r="J12" s="24"/>
    </row>
    <row r="13" spans="1:11" ht="16.5" thickBot="1" x14ac:dyDescent="0.3">
      <c r="A13" s="1743" t="s">
        <v>2007</v>
      </c>
      <c r="B13" s="1744"/>
      <c r="C13" s="1744"/>
      <c r="D13" s="1744"/>
      <c r="E13" s="1744"/>
      <c r="F13" s="1744"/>
      <c r="G13" s="1744"/>
      <c r="H13" s="1744"/>
      <c r="I13" s="1744"/>
      <c r="J13" s="1744"/>
      <c r="K13" s="714"/>
    </row>
    <row r="14" spans="1:11" ht="7.5" customHeight="1" x14ac:dyDescent="0.25">
      <c r="A14" s="28"/>
      <c r="B14" s="28"/>
      <c r="C14" s="670"/>
      <c r="D14" s="670"/>
      <c r="E14" s="670"/>
      <c r="F14" s="670"/>
      <c r="G14" s="670"/>
      <c r="H14" s="670"/>
      <c r="I14" s="670"/>
      <c r="J14" s="28"/>
    </row>
    <row r="15" spans="1:11" ht="31.5" x14ac:dyDescent="0.25">
      <c r="A15" s="705" t="s">
        <v>2008</v>
      </c>
      <c r="B15" s="1732" t="s">
        <v>1995</v>
      </c>
      <c r="C15" s="1732"/>
      <c r="D15" s="1732"/>
      <c r="E15" s="705" t="s">
        <v>407</v>
      </c>
      <c r="F15" s="705" t="s">
        <v>1996</v>
      </c>
      <c r="G15" s="705" t="s">
        <v>2009</v>
      </c>
      <c r="H15" s="705" t="s">
        <v>1998</v>
      </c>
      <c r="I15" s="705" t="s">
        <v>1502</v>
      </c>
      <c r="J15" s="705" t="s">
        <v>1999</v>
      </c>
    </row>
    <row r="16" spans="1:11" ht="15" x14ac:dyDescent="0.25">
      <c r="A16" s="715"/>
      <c r="B16" s="1742"/>
      <c r="C16" s="1742"/>
      <c r="D16" s="1742"/>
      <c r="E16" s="716"/>
      <c r="F16" s="717"/>
      <c r="G16" s="717"/>
      <c r="H16" s="683"/>
      <c r="I16" s="683"/>
      <c r="J16" s="683"/>
    </row>
    <row r="17" spans="1:10" ht="15" x14ac:dyDescent="0.25">
      <c r="A17" s="715"/>
      <c r="B17" s="1742"/>
      <c r="C17" s="1742"/>
      <c r="D17" s="1742"/>
      <c r="E17" s="716"/>
      <c r="F17" s="717"/>
      <c r="G17" s="717"/>
      <c r="H17" s="683"/>
      <c r="I17" s="683"/>
      <c r="J17" s="683"/>
    </row>
    <row r="18" spans="1:10" ht="15" x14ac:dyDescent="0.25">
      <c r="A18" s="715"/>
      <c r="B18" s="1742"/>
      <c r="C18" s="1742"/>
      <c r="D18" s="1742"/>
      <c r="E18" s="716"/>
      <c r="F18" s="717"/>
      <c r="G18" s="717"/>
      <c r="H18" s="683"/>
      <c r="I18" s="683"/>
      <c r="J18" s="683"/>
    </row>
    <row r="19" spans="1:10" ht="15" x14ac:dyDescent="0.25">
      <c r="A19" s="715"/>
      <c r="B19" s="1742"/>
      <c r="C19" s="1742"/>
      <c r="D19" s="1742"/>
      <c r="E19" s="716"/>
      <c r="F19" s="717"/>
      <c r="G19" s="717"/>
      <c r="H19" s="683"/>
      <c r="I19" s="683"/>
      <c r="J19" s="683"/>
    </row>
    <row r="20" spans="1:10" ht="15" x14ac:dyDescent="0.25">
      <c r="A20" s="715"/>
      <c r="B20" s="1742"/>
      <c r="C20" s="1742"/>
      <c r="D20" s="1742"/>
      <c r="E20" s="716"/>
      <c r="F20" s="717"/>
      <c r="G20" s="717"/>
      <c r="H20" s="683"/>
      <c r="I20" s="683"/>
      <c r="J20" s="683"/>
    </row>
    <row r="21" spans="1:10" ht="15" x14ac:dyDescent="0.25">
      <c r="A21" s="715"/>
      <c r="B21" s="1742"/>
      <c r="C21" s="1742"/>
      <c r="D21" s="1742"/>
      <c r="E21" s="716"/>
      <c r="F21" s="717"/>
      <c r="G21" s="717"/>
      <c r="H21" s="683"/>
      <c r="I21" s="683"/>
      <c r="J21" s="683"/>
    </row>
    <row r="22" spans="1:10" ht="15" x14ac:dyDescent="0.25">
      <c r="A22" s="715"/>
      <c r="B22" s="1742"/>
      <c r="C22" s="1742"/>
      <c r="D22" s="1742"/>
      <c r="E22" s="716"/>
      <c r="F22" s="717"/>
      <c r="G22" s="717"/>
      <c r="H22" s="683"/>
      <c r="I22" s="683"/>
      <c r="J22" s="683"/>
    </row>
    <row r="23" spans="1:10" ht="15" x14ac:dyDescent="0.25">
      <c r="A23" s="715"/>
      <c r="B23" s="1742"/>
      <c r="C23" s="1742"/>
      <c r="D23" s="1742"/>
      <c r="E23" s="716"/>
      <c r="F23" s="717"/>
      <c r="G23" s="717"/>
      <c r="H23" s="683"/>
      <c r="I23" s="683"/>
      <c r="J23" s="683"/>
    </row>
    <row r="24" spans="1:10" ht="15" x14ac:dyDescent="0.25">
      <c r="A24" s="715"/>
      <c r="B24" s="1742"/>
      <c r="C24" s="1742"/>
      <c r="D24" s="1742"/>
      <c r="E24" s="716"/>
      <c r="F24" s="717"/>
      <c r="G24" s="717"/>
      <c r="H24" s="683"/>
      <c r="I24" s="683"/>
      <c r="J24" s="683"/>
    </row>
    <row r="25" spans="1:10" ht="15" x14ac:dyDescent="0.25">
      <c r="A25" s="715"/>
      <c r="B25" s="1742"/>
      <c r="C25" s="1742"/>
      <c r="D25" s="1742"/>
      <c r="E25" s="716"/>
      <c r="F25" s="717"/>
      <c r="G25" s="717"/>
      <c r="H25" s="683"/>
      <c r="I25" s="683"/>
      <c r="J25" s="683"/>
    </row>
    <row r="26" spans="1:10" ht="15" x14ac:dyDescent="0.25">
      <c r="A26" s="715"/>
      <c r="B26" s="1742"/>
      <c r="C26" s="1742"/>
      <c r="D26" s="1742"/>
      <c r="E26" s="716"/>
      <c r="F26" s="717"/>
      <c r="G26" s="717"/>
      <c r="H26" s="683"/>
      <c r="I26" s="683"/>
      <c r="J26" s="683"/>
    </row>
    <row r="27" spans="1:10" ht="15" x14ac:dyDescent="0.25">
      <c r="A27" s="715"/>
      <c r="B27" s="1742"/>
      <c r="C27" s="1742"/>
      <c r="D27" s="1742"/>
      <c r="E27" s="716"/>
      <c r="F27" s="717"/>
      <c r="G27" s="717"/>
      <c r="H27" s="683"/>
      <c r="I27" s="683"/>
      <c r="J27" s="683"/>
    </row>
    <row r="28" spans="1:10" ht="15" x14ac:dyDescent="0.25">
      <c r="A28" s="715"/>
      <c r="B28" s="1742"/>
      <c r="C28" s="1742"/>
      <c r="D28" s="1742"/>
      <c r="E28" s="716"/>
      <c r="F28" s="717"/>
      <c r="G28" s="717"/>
      <c r="H28" s="683"/>
      <c r="I28" s="683"/>
      <c r="J28" s="683"/>
    </row>
    <row r="29" spans="1:10" ht="15" x14ac:dyDescent="0.25">
      <c r="A29" s="715"/>
      <c r="B29" s="1742"/>
      <c r="C29" s="1742"/>
      <c r="D29" s="1742"/>
      <c r="E29" s="716"/>
      <c r="F29" s="717"/>
      <c r="G29" s="717"/>
      <c r="H29" s="683"/>
      <c r="I29" s="683"/>
      <c r="J29" s="683"/>
    </row>
    <row r="30" spans="1:10" ht="15" x14ac:dyDescent="0.25">
      <c r="A30" s="715"/>
      <c r="B30" s="1742"/>
      <c r="C30" s="1742"/>
      <c r="D30" s="1742"/>
      <c r="E30" s="716"/>
      <c r="F30" s="717"/>
      <c r="G30" s="717"/>
      <c r="H30" s="683"/>
      <c r="I30" s="683"/>
      <c r="J30" s="683"/>
    </row>
    <row r="31" spans="1:10" ht="15" x14ac:dyDescent="0.25">
      <c r="A31" s="715"/>
      <c r="B31" s="1742"/>
      <c r="C31" s="1742"/>
      <c r="D31" s="1742"/>
      <c r="E31" s="716"/>
      <c r="F31" s="717"/>
      <c r="G31" s="717"/>
      <c r="H31" s="683"/>
      <c r="I31" s="683"/>
      <c r="J31" s="683"/>
    </row>
    <row r="32" spans="1:10" ht="15" x14ac:dyDescent="0.25">
      <c r="A32" s="715"/>
      <c r="B32" s="1742"/>
      <c r="C32" s="1742"/>
      <c r="D32" s="1742"/>
      <c r="E32" s="716"/>
      <c r="F32" s="717"/>
      <c r="G32" s="717"/>
      <c r="H32" s="683"/>
      <c r="I32" s="683"/>
      <c r="J32" s="683"/>
    </row>
    <row r="33" spans="1:10" ht="15" x14ac:dyDescent="0.25">
      <c r="A33" s="715"/>
      <c r="B33" s="1742"/>
      <c r="C33" s="1742"/>
      <c r="D33" s="1742"/>
      <c r="E33" s="716"/>
      <c r="F33" s="717"/>
      <c r="G33" s="717"/>
      <c r="H33" s="683"/>
      <c r="I33" s="683"/>
      <c r="J33" s="683"/>
    </row>
    <row r="34" spans="1:10" ht="15" x14ac:dyDescent="0.25">
      <c r="A34" s="715"/>
      <c r="B34" s="1742"/>
      <c r="C34" s="1742"/>
      <c r="D34" s="1742"/>
      <c r="E34" s="716"/>
      <c r="F34" s="717"/>
      <c r="G34" s="717"/>
      <c r="H34" s="683"/>
      <c r="I34" s="683"/>
      <c r="J34" s="683"/>
    </row>
    <row r="35" spans="1:10" ht="15" x14ac:dyDescent="0.25">
      <c r="A35" s="1739" t="s">
        <v>849</v>
      </c>
      <c r="B35" s="1740"/>
      <c r="C35" s="1740"/>
      <c r="D35" s="1740"/>
      <c r="E35" s="1740"/>
      <c r="F35" s="1740"/>
      <c r="G35" s="1741"/>
      <c r="H35" s="718"/>
      <c r="I35" s="718"/>
      <c r="J35" s="718"/>
    </row>
    <row r="36" spans="1:10" ht="15" x14ac:dyDescent="0.25"/>
  </sheetData>
  <mergeCells count="39">
    <mergeCell ref="C6:D6"/>
    <mergeCell ref="E6:F6"/>
    <mergeCell ref="H6:I6"/>
    <mergeCell ref="A1:J1"/>
    <mergeCell ref="C2:J2"/>
    <mergeCell ref="C3:J3"/>
    <mergeCell ref="C4:J4"/>
    <mergeCell ref="C5:J5"/>
    <mergeCell ref="B16:D16"/>
    <mergeCell ref="C7:J7"/>
    <mergeCell ref="C8:J8"/>
    <mergeCell ref="C9:J9"/>
    <mergeCell ref="C10:D10"/>
    <mergeCell ref="E10:G10"/>
    <mergeCell ref="H10:J10"/>
    <mergeCell ref="C11:D11"/>
    <mergeCell ref="E11:G11"/>
    <mergeCell ref="H11:J11"/>
    <mergeCell ref="A13:J13"/>
    <mergeCell ref="B15:D15"/>
    <mergeCell ref="B28:D28"/>
    <mergeCell ref="B17:D17"/>
    <mergeCell ref="B18:D18"/>
    <mergeCell ref="B19:D19"/>
    <mergeCell ref="B20:D20"/>
    <mergeCell ref="B21:D21"/>
    <mergeCell ref="B22:D22"/>
    <mergeCell ref="B23:D23"/>
    <mergeCell ref="B24:D24"/>
    <mergeCell ref="B25:D25"/>
    <mergeCell ref="B26:D26"/>
    <mergeCell ref="B27:D27"/>
    <mergeCell ref="A35:G35"/>
    <mergeCell ref="B29:D29"/>
    <mergeCell ref="B30:D30"/>
    <mergeCell ref="B31:D31"/>
    <mergeCell ref="B32:D32"/>
    <mergeCell ref="B33:D33"/>
    <mergeCell ref="B34:D34"/>
  </mergeCells>
  <pageMargins left="0.7" right="0.7" top="0.75" bottom="0.75" header="0.3" footer="0.3"/>
  <drawing r:id="rId1"/>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F9001D-D660-490C-867D-6BBD3CD5040A}">
  <dimension ref="A1:K38"/>
  <sheetViews>
    <sheetView workbookViewId="0">
      <selection sqref="A1:XFD1048576"/>
    </sheetView>
  </sheetViews>
  <sheetFormatPr baseColWidth="10" defaultColWidth="11.42578125" defaultRowHeight="13.9" customHeight="1" x14ac:dyDescent="0.25"/>
  <cols>
    <col min="1" max="1" width="13.42578125" style="481" customWidth="1"/>
    <col min="2" max="2" width="20.42578125" style="481" customWidth="1"/>
    <col min="3" max="3" width="8.85546875" style="481" customWidth="1"/>
    <col min="4" max="4" width="9.140625" style="481" customWidth="1"/>
    <col min="5" max="5" width="10" style="481" customWidth="1"/>
    <col min="6" max="6" width="9.85546875" style="481" customWidth="1"/>
    <col min="7" max="7" width="15.5703125" style="481" customWidth="1"/>
    <col min="8" max="10" width="16.140625" style="481" customWidth="1"/>
    <col min="11" max="11" width="14" style="481" customWidth="1"/>
    <col min="12" max="12" width="6.42578125" style="481" customWidth="1"/>
    <col min="13" max="16384" width="11.42578125" style="481"/>
  </cols>
  <sheetData>
    <row r="1" spans="1:11" ht="10.5" customHeight="1" x14ac:dyDescent="0.25">
      <c r="A1" s="1514"/>
      <c r="B1" s="1514"/>
      <c r="C1" s="1515"/>
      <c r="D1" s="1515"/>
      <c r="E1" s="1515"/>
      <c r="F1" s="1515"/>
      <c r="G1" s="1515"/>
      <c r="H1" s="1515"/>
      <c r="I1" s="1515"/>
      <c r="J1" s="1515"/>
    </row>
    <row r="2" spans="1:11" ht="15" customHeight="1" x14ac:dyDescent="0.25">
      <c r="A2" s="199" t="s">
        <v>361</v>
      </c>
      <c r="B2" s="199"/>
      <c r="C2" s="1505" t="s">
        <v>2</v>
      </c>
      <c r="D2" s="958"/>
      <c r="E2" s="958"/>
      <c r="F2" s="958"/>
      <c r="G2" s="958"/>
      <c r="H2" s="958"/>
      <c r="I2" s="958"/>
      <c r="J2" s="958"/>
      <c r="K2" s="712"/>
    </row>
    <row r="3" spans="1:11" ht="15" customHeight="1" x14ac:dyDescent="0.25">
      <c r="A3" s="199"/>
      <c r="B3" s="199"/>
      <c r="C3" s="1506" t="s">
        <v>4</v>
      </c>
      <c r="D3" s="1506"/>
      <c r="E3" s="1506"/>
      <c r="F3" s="1506"/>
      <c r="G3" s="1506"/>
      <c r="H3" s="1506"/>
      <c r="I3" s="1506"/>
      <c r="J3" s="1506"/>
      <c r="K3" s="712"/>
    </row>
    <row r="4" spans="1:11" ht="15" customHeight="1" x14ac:dyDescent="0.25">
      <c r="A4" s="199" t="s">
        <v>362</v>
      </c>
      <c r="B4" s="199"/>
      <c r="C4" s="1506" t="s">
        <v>6</v>
      </c>
      <c r="D4" s="957"/>
      <c r="E4" s="957"/>
      <c r="F4" s="957"/>
      <c r="G4" s="957"/>
      <c r="H4" s="957"/>
      <c r="I4" s="957"/>
      <c r="J4" s="957"/>
      <c r="K4" s="712"/>
    </row>
    <row r="5" spans="1:11" ht="15" customHeight="1" x14ac:dyDescent="0.25">
      <c r="A5" s="199" t="s">
        <v>363</v>
      </c>
      <c r="B5" s="199"/>
      <c r="C5" s="1492">
        <v>4431</v>
      </c>
      <c r="D5" s="1492"/>
      <c r="E5" s="1492"/>
      <c r="F5" s="1492"/>
      <c r="G5" s="1492"/>
      <c r="H5" s="1492"/>
      <c r="I5" s="1492"/>
      <c r="J5" s="1492"/>
      <c r="K5" s="713"/>
    </row>
    <row r="6" spans="1:11" ht="15" x14ac:dyDescent="0.25">
      <c r="A6" s="199" t="s">
        <v>364</v>
      </c>
      <c r="B6" s="199"/>
      <c r="C6" s="957" t="s">
        <v>12</v>
      </c>
      <c r="D6" s="957"/>
      <c r="E6" s="1490" t="s">
        <v>365</v>
      </c>
      <c r="F6" s="1490"/>
      <c r="G6" s="202">
        <v>46022</v>
      </c>
      <c r="H6" s="770" t="s">
        <v>465</v>
      </c>
      <c r="I6" s="770"/>
      <c r="J6" s="235">
        <v>12</v>
      </c>
      <c r="K6" s="274"/>
    </row>
    <row r="7" spans="1:11" ht="15" x14ac:dyDescent="0.25">
      <c r="A7" s="199" t="s">
        <v>367</v>
      </c>
      <c r="B7" s="199"/>
      <c r="C7" s="1487" t="s">
        <v>8</v>
      </c>
      <c r="D7" s="1487"/>
      <c r="E7" s="1487"/>
      <c r="F7" s="1487"/>
      <c r="G7" s="1487"/>
      <c r="H7" s="1487"/>
      <c r="I7" s="1487"/>
      <c r="J7" s="1487"/>
      <c r="K7" s="274"/>
    </row>
    <row r="8" spans="1:11" ht="15" x14ac:dyDescent="0.25">
      <c r="A8" s="199" t="s">
        <v>466</v>
      </c>
      <c r="B8" s="203"/>
      <c r="C8" s="959" t="s">
        <v>34</v>
      </c>
      <c r="D8" s="959"/>
      <c r="E8" s="959"/>
      <c r="F8" s="959"/>
      <c r="G8" s="959"/>
      <c r="H8" s="959"/>
      <c r="I8" s="959"/>
      <c r="J8" s="959"/>
      <c r="K8" s="274"/>
    </row>
    <row r="9" spans="1:11" ht="15" x14ac:dyDescent="0.25">
      <c r="A9" s="198"/>
      <c r="B9" s="203"/>
      <c r="C9" s="770">
        <v>555555</v>
      </c>
      <c r="D9" s="770"/>
      <c r="E9" s="770"/>
      <c r="F9" s="770"/>
      <c r="G9" s="770"/>
      <c r="H9" s="770"/>
      <c r="I9" s="770"/>
      <c r="J9" s="770"/>
      <c r="K9" s="274"/>
    </row>
    <row r="10" spans="1:11" ht="15" x14ac:dyDescent="0.25">
      <c r="A10" s="199" t="s">
        <v>467</v>
      </c>
      <c r="B10" s="203"/>
      <c r="C10" s="770" t="s">
        <v>38</v>
      </c>
      <c r="D10" s="770"/>
      <c r="E10" s="770" t="s">
        <v>468</v>
      </c>
      <c r="F10" s="770"/>
      <c r="G10" s="770"/>
      <c r="H10" s="770" t="s">
        <v>36</v>
      </c>
      <c r="I10" s="770"/>
      <c r="J10" s="770"/>
      <c r="K10" s="274"/>
    </row>
    <row r="11" spans="1:11" ht="15" x14ac:dyDescent="0.25">
      <c r="A11" s="199" t="s">
        <v>469</v>
      </c>
      <c r="B11" s="203"/>
      <c r="C11" s="975">
        <v>44713</v>
      </c>
      <c r="D11" s="975"/>
      <c r="E11" s="770" t="s">
        <v>470</v>
      </c>
      <c r="F11" s="770"/>
      <c r="G11" s="770"/>
      <c r="H11" s="975">
        <v>45991</v>
      </c>
      <c r="I11" s="975"/>
      <c r="J11" s="975"/>
      <c r="K11" s="274"/>
    </row>
    <row r="12" spans="1:11" ht="15.75" thickBot="1" x14ac:dyDescent="0.3">
      <c r="A12" s="199"/>
      <c r="B12" s="199"/>
      <c r="C12" s="606"/>
      <c r="D12" s="200"/>
      <c r="E12" s="200"/>
      <c r="F12" s="200"/>
      <c r="G12" s="200"/>
      <c r="H12" s="200"/>
      <c r="I12" s="200"/>
      <c r="J12" s="200"/>
      <c r="K12" s="274"/>
    </row>
    <row r="13" spans="1:11" ht="16.5" thickBot="1" x14ac:dyDescent="0.3">
      <c r="A13" s="1692" t="s">
        <v>2010</v>
      </c>
      <c r="B13" s="1712"/>
      <c r="C13" s="1712"/>
      <c r="D13" s="1712"/>
      <c r="E13" s="1712"/>
      <c r="F13" s="1712"/>
      <c r="G13" s="1712"/>
      <c r="H13" s="1712"/>
      <c r="I13" s="1712"/>
      <c r="J13" s="1712"/>
      <c r="K13" s="714"/>
    </row>
    <row r="14" spans="1:11" ht="8.25" customHeight="1" x14ac:dyDescent="0.25">
      <c r="A14" s="28"/>
      <c r="B14" s="28"/>
      <c r="C14" s="670"/>
      <c r="D14" s="670"/>
      <c r="E14" s="670"/>
      <c r="F14" s="670"/>
      <c r="G14" s="670"/>
      <c r="H14" s="670"/>
      <c r="I14" s="670"/>
      <c r="J14" s="28"/>
    </row>
    <row r="15" spans="1:11" ht="31.5" x14ac:dyDescent="0.25">
      <c r="A15" s="705" t="s">
        <v>2008</v>
      </c>
      <c r="B15" s="1732" t="s">
        <v>2011</v>
      </c>
      <c r="C15" s="1732"/>
      <c r="D15" s="1732"/>
      <c r="E15" s="705" t="s">
        <v>2012</v>
      </c>
      <c r="F15" s="705" t="s">
        <v>2013</v>
      </c>
      <c r="G15" s="705" t="s">
        <v>2009</v>
      </c>
      <c r="H15" s="705" t="s">
        <v>1998</v>
      </c>
      <c r="I15" s="705" t="s">
        <v>1502</v>
      </c>
      <c r="J15" s="705" t="s">
        <v>1999</v>
      </c>
    </row>
    <row r="16" spans="1:11" ht="15" x14ac:dyDescent="0.25">
      <c r="A16" s="715"/>
      <c r="B16" s="1742"/>
      <c r="C16" s="1742"/>
      <c r="D16" s="1742"/>
      <c r="E16" s="716"/>
      <c r="F16" s="717"/>
      <c r="G16" s="717"/>
      <c r="H16" s="683"/>
      <c r="I16" s="683"/>
      <c r="J16" s="683"/>
    </row>
    <row r="17" spans="1:10" ht="15" x14ac:dyDescent="0.25">
      <c r="A17" s="715"/>
      <c r="B17" s="1742"/>
      <c r="C17" s="1742"/>
      <c r="D17" s="1742"/>
      <c r="E17" s="716"/>
      <c r="F17" s="717"/>
      <c r="G17" s="717"/>
      <c r="H17" s="683"/>
      <c r="I17" s="683"/>
      <c r="J17" s="683"/>
    </row>
    <row r="18" spans="1:10" ht="15" x14ac:dyDescent="0.25">
      <c r="A18" s="715"/>
      <c r="B18" s="1742"/>
      <c r="C18" s="1742"/>
      <c r="D18" s="1742"/>
      <c r="E18" s="716"/>
      <c r="F18" s="717"/>
      <c r="G18" s="717"/>
      <c r="H18" s="683"/>
      <c r="I18" s="683"/>
      <c r="J18" s="683"/>
    </row>
    <row r="19" spans="1:10" ht="15" x14ac:dyDescent="0.25">
      <c r="A19" s="715"/>
      <c r="B19" s="1742"/>
      <c r="C19" s="1742"/>
      <c r="D19" s="1742"/>
      <c r="E19" s="716"/>
      <c r="F19" s="717"/>
      <c r="G19" s="717"/>
      <c r="H19" s="683"/>
      <c r="I19" s="683"/>
      <c r="J19" s="683"/>
    </row>
    <row r="20" spans="1:10" ht="15" x14ac:dyDescent="0.25">
      <c r="A20" s="715"/>
      <c r="B20" s="1742"/>
      <c r="C20" s="1742"/>
      <c r="D20" s="1742"/>
      <c r="E20" s="716"/>
      <c r="F20" s="717"/>
      <c r="G20" s="717"/>
      <c r="H20" s="683"/>
      <c r="I20" s="683"/>
      <c r="J20" s="683"/>
    </row>
    <row r="21" spans="1:10" ht="15" x14ac:dyDescent="0.25">
      <c r="A21" s="715"/>
      <c r="B21" s="1742"/>
      <c r="C21" s="1742"/>
      <c r="D21" s="1742"/>
      <c r="E21" s="716"/>
      <c r="F21" s="717"/>
      <c r="G21" s="717"/>
      <c r="H21" s="683"/>
      <c r="I21" s="683"/>
      <c r="J21" s="683"/>
    </row>
    <row r="22" spans="1:10" ht="15" x14ac:dyDescent="0.25">
      <c r="A22" s="715"/>
      <c r="B22" s="1742"/>
      <c r="C22" s="1742"/>
      <c r="D22" s="1742"/>
      <c r="E22" s="716"/>
      <c r="F22" s="717"/>
      <c r="G22" s="717"/>
      <c r="H22" s="683"/>
      <c r="I22" s="683"/>
      <c r="J22" s="683"/>
    </row>
    <row r="23" spans="1:10" ht="15" x14ac:dyDescent="0.25">
      <c r="A23" s="715"/>
      <c r="B23" s="1742"/>
      <c r="C23" s="1742"/>
      <c r="D23" s="1742"/>
      <c r="E23" s="716"/>
      <c r="F23" s="717"/>
      <c r="G23" s="717"/>
      <c r="H23" s="683"/>
      <c r="I23" s="683"/>
      <c r="J23" s="683"/>
    </row>
    <row r="24" spans="1:10" ht="15" x14ac:dyDescent="0.25">
      <c r="A24" s="715"/>
      <c r="B24" s="1742"/>
      <c r="C24" s="1742"/>
      <c r="D24" s="1742"/>
      <c r="E24" s="716"/>
      <c r="F24" s="717"/>
      <c r="G24" s="717"/>
      <c r="H24" s="683"/>
      <c r="I24" s="683"/>
      <c r="J24" s="683"/>
    </row>
    <row r="25" spans="1:10" ht="15" x14ac:dyDescent="0.25">
      <c r="A25" s="715"/>
      <c r="B25" s="1742"/>
      <c r="C25" s="1742"/>
      <c r="D25" s="1742"/>
      <c r="E25" s="716"/>
      <c r="F25" s="717"/>
      <c r="G25" s="717"/>
      <c r="H25" s="683"/>
      <c r="I25" s="683"/>
      <c r="J25" s="683"/>
    </row>
    <row r="26" spans="1:10" ht="15" x14ac:dyDescent="0.25">
      <c r="A26" s="715"/>
      <c r="B26" s="1742"/>
      <c r="C26" s="1742"/>
      <c r="D26" s="1742"/>
      <c r="E26" s="716"/>
      <c r="F26" s="717"/>
      <c r="G26" s="717"/>
      <c r="H26" s="683"/>
      <c r="I26" s="683"/>
      <c r="J26" s="683"/>
    </row>
    <row r="27" spans="1:10" ht="15" x14ac:dyDescent="0.25">
      <c r="A27" s="715"/>
      <c r="B27" s="1742"/>
      <c r="C27" s="1742"/>
      <c r="D27" s="1742"/>
      <c r="E27" s="716"/>
      <c r="F27" s="717"/>
      <c r="G27" s="717"/>
      <c r="H27" s="683"/>
      <c r="I27" s="683"/>
      <c r="J27" s="683"/>
    </row>
    <row r="28" spans="1:10" ht="15" x14ac:dyDescent="0.25">
      <c r="A28" s="715"/>
      <c r="B28" s="1742"/>
      <c r="C28" s="1742"/>
      <c r="D28" s="1742"/>
      <c r="E28" s="716"/>
      <c r="F28" s="717"/>
      <c r="G28" s="717"/>
      <c r="H28" s="683"/>
      <c r="I28" s="683"/>
      <c r="J28" s="683"/>
    </row>
    <row r="29" spans="1:10" ht="15" x14ac:dyDescent="0.25">
      <c r="A29" s="715"/>
      <c r="B29" s="1742"/>
      <c r="C29" s="1742"/>
      <c r="D29" s="1742"/>
      <c r="E29" s="716"/>
      <c r="F29" s="717"/>
      <c r="G29" s="717"/>
      <c r="H29" s="683"/>
      <c r="I29" s="683"/>
      <c r="J29" s="683"/>
    </row>
    <row r="30" spans="1:10" ht="15" x14ac:dyDescent="0.25">
      <c r="A30" s="715"/>
      <c r="B30" s="1742"/>
      <c r="C30" s="1742"/>
      <c r="D30" s="1742"/>
      <c r="E30" s="716"/>
      <c r="F30" s="717"/>
      <c r="G30" s="717"/>
      <c r="H30" s="683"/>
      <c r="I30" s="683"/>
      <c r="J30" s="683"/>
    </row>
    <row r="31" spans="1:10" ht="15" x14ac:dyDescent="0.25">
      <c r="A31" s="715"/>
      <c r="B31" s="1742"/>
      <c r="C31" s="1742"/>
      <c r="D31" s="1742"/>
      <c r="E31" s="716"/>
      <c r="F31" s="717"/>
      <c r="G31" s="717"/>
      <c r="H31" s="683"/>
      <c r="I31" s="683"/>
      <c r="J31" s="683"/>
    </row>
    <row r="32" spans="1:10" ht="15" x14ac:dyDescent="0.25">
      <c r="A32" s="715"/>
      <c r="B32" s="1742"/>
      <c r="C32" s="1742"/>
      <c r="D32" s="1742"/>
      <c r="E32" s="716"/>
      <c r="F32" s="717"/>
      <c r="G32" s="717"/>
      <c r="H32" s="683"/>
      <c r="I32" s="683"/>
      <c r="J32" s="683"/>
    </row>
    <row r="33" spans="1:10" ht="15" x14ac:dyDescent="0.25">
      <c r="A33" s="715"/>
      <c r="B33" s="1742"/>
      <c r="C33" s="1742"/>
      <c r="D33" s="1742"/>
      <c r="E33" s="716"/>
      <c r="F33" s="717"/>
      <c r="G33" s="717"/>
      <c r="H33" s="683"/>
      <c r="I33" s="683"/>
      <c r="J33" s="683"/>
    </row>
    <row r="34" spans="1:10" ht="15" x14ac:dyDescent="0.25">
      <c r="A34" s="715"/>
      <c r="B34" s="1742"/>
      <c r="C34" s="1742"/>
      <c r="D34" s="1742"/>
      <c r="E34" s="716"/>
      <c r="F34" s="717"/>
      <c r="G34" s="717"/>
      <c r="H34" s="683"/>
      <c r="I34" s="683"/>
      <c r="J34" s="683"/>
    </row>
    <row r="35" spans="1:10" ht="15" x14ac:dyDescent="0.25">
      <c r="A35" s="715"/>
      <c r="B35" s="1742"/>
      <c r="C35" s="1742"/>
      <c r="D35" s="1742"/>
      <c r="E35" s="716"/>
      <c r="F35" s="717"/>
      <c r="G35" s="717"/>
      <c r="H35" s="683"/>
      <c r="I35" s="683"/>
      <c r="J35" s="683"/>
    </row>
    <row r="36" spans="1:10" ht="15" x14ac:dyDescent="0.25">
      <c r="A36" s="715"/>
      <c r="B36" s="1742"/>
      <c r="C36" s="1742"/>
      <c r="D36" s="1742"/>
      <c r="E36" s="716"/>
      <c r="F36" s="717"/>
      <c r="G36" s="717"/>
      <c r="H36" s="683"/>
      <c r="I36" s="683"/>
      <c r="J36" s="683"/>
    </row>
    <row r="37" spans="1:10" ht="15" x14ac:dyDescent="0.25">
      <c r="A37" s="1739" t="s">
        <v>849</v>
      </c>
      <c r="B37" s="1740"/>
      <c r="C37" s="1740"/>
      <c r="D37" s="1740"/>
      <c r="E37" s="1740"/>
      <c r="F37" s="1740"/>
      <c r="G37" s="1741"/>
      <c r="H37" s="718"/>
      <c r="I37" s="718"/>
      <c r="J37" s="718"/>
    </row>
    <row r="38" spans="1:10" ht="15" x14ac:dyDescent="0.25"/>
  </sheetData>
  <mergeCells count="41">
    <mergeCell ref="C6:D6"/>
    <mergeCell ref="E6:F6"/>
    <mergeCell ref="H6:I6"/>
    <mergeCell ref="A1:J1"/>
    <mergeCell ref="C2:J2"/>
    <mergeCell ref="C3:J3"/>
    <mergeCell ref="C4:J4"/>
    <mergeCell ref="C5:J5"/>
    <mergeCell ref="B16:D16"/>
    <mergeCell ref="C7:J7"/>
    <mergeCell ref="C8:J8"/>
    <mergeCell ref="C9:J9"/>
    <mergeCell ref="C10:D10"/>
    <mergeCell ref="E10:G10"/>
    <mergeCell ref="H10:J10"/>
    <mergeCell ref="C11:D11"/>
    <mergeCell ref="E11:G11"/>
    <mergeCell ref="H11:J11"/>
    <mergeCell ref="A13:J13"/>
    <mergeCell ref="B15:D15"/>
    <mergeCell ref="B28:D28"/>
    <mergeCell ref="B17:D17"/>
    <mergeCell ref="B18:D18"/>
    <mergeCell ref="B19:D19"/>
    <mergeCell ref="B20:D20"/>
    <mergeCell ref="B21:D21"/>
    <mergeCell ref="B22:D22"/>
    <mergeCell ref="B23:D23"/>
    <mergeCell ref="B24:D24"/>
    <mergeCell ref="B25:D25"/>
    <mergeCell ref="B26:D26"/>
    <mergeCell ref="B27:D27"/>
    <mergeCell ref="B35:D35"/>
    <mergeCell ref="B36:D36"/>
    <mergeCell ref="A37:G37"/>
    <mergeCell ref="B29:D29"/>
    <mergeCell ref="B30:D30"/>
    <mergeCell ref="B31:D31"/>
    <mergeCell ref="B32:D32"/>
    <mergeCell ref="B33:D33"/>
    <mergeCell ref="B34:D34"/>
  </mergeCells>
  <pageMargins left="0.7" right="0.7" top="0.75" bottom="0.75" header="0.3" footer="0.3"/>
  <drawing r:id="rId1"/>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61ECAB-F8B7-4FB5-9128-8CB89A0B90FC}">
  <dimension ref="A1:K37"/>
  <sheetViews>
    <sheetView topLeftCell="A4" workbookViewId="0">
      <selection activeCell="F15" sqref="F15"/>
    </sheetView>
  </sheetViews>
  <sheetFormatPr baseColWidth="10" defaultColWidth="11.42578125" defaultRowHeight="13.9" customHeight="1" x14ac:dyDescent="0.25"/>
  <cols>
    <col min="1" max="1" width="13.42578125" style="481" customWidth="1"/>
    <col min="2" max="2" width="20.42578125" style="481" customWidth="1"/>
    <col min="3" max="3" width="8.85546875" style="481" customWidth="1"/>
    <col min="4" max="4" width="9.140625" style="481" customWidth="1"/>
    <col min="5" max="5" width="10" style="481" customWidth="1"/>
    <col min="6" max="6" width="9.85546875" style="481" customWidth="1"/>
    <col min="7" max="7" width="15.5703125" style="481" customWidth="1"/>
    <col min="8" max="10" width="16.140625" style="481" customWidth="1"/>
    <col min="11" max="11" width="14" style="481" customWidth="1"/>
    <col min="12" max="12" width="6.42578125" style="481" customWidth="1"/>
    <col min="13" max="16384" width="11.42578125" style="481"/>
  </cols>
  <sheetData>
    <row r="1" spans="1:11" ht="10.5" customHeight="1" x14ac:dyDescent="0.25">
      <c r="A1" s="1514"/>
      <c r="B1" s="1514"/>
      <c r="C1" s="1515"/>
      <c r="D1" s="1515"/>
      <c r="E1" s="1515"/>
      <c r="F1" s="1515"/>
      <c r="G1" s="1515"/>
      <c r="H1" s="1515"/>
      <c r="I1" s="1515"/>
      <c r="J1" s="1515"/>
    </row>
    <row r="2" spans="1:11" ht="15" customHeight="1" x14ac:dyDescent="0.25">
      <c r="A2" s="199" t="s">
        <v>361</v>
      </c>
      <c r="B2" s="199"/>
      <c r="C2" s="1505" t="s">
        <v>2</v>
      </c>
      <c r="D2" s="958"/>
      <c r="E2" s="958"/>
      <c r="F2" s="958"/>
      <c r="G2" s="958"/>
      <c r="H2" s="958"/>
      <c r="I2" s="958"/>
      <c r="J2" s="958"/>
      <c r="K2" s="712"/>
    </row>
    <row r="3" spans="1:11" ht="15" customHeight="1" x14ac:dyDescent="0.25">
      <c r="A3" s="199"/>
      <c r="B3" s="199"/>
      <c r="C3" s="1506" t="s">
        <v>4</v>
      </c>
      <c r="D3" s="1506"/>
      <c r="E3" s="1506"/>
      <c r="F3" s="1506"/>
      <c r="G3" s="1506"/>
      <c r="H3" s="1506"/>
      <c r="I3" s="1506"/>
      <c r="J3" s="1506"/>
      <c r="K3" s="712"/>
    </row>
    <row r="4" spans="1:11" ht="15" customHeight="1" x14ac:dyDescent="0.25">
      <c r="A4" s="199" t="s">
        <v>362</v>
      </c>
      <c r="B4" s="199"/>
      <c r="C4" s="1506" t="s">
        <v>6</v>
      </c>
      <c r="D4" s="957"/>
      <c r="E4" s="957"/>
      <c r="F4" s="957"/>
      <c r="G4" s="957"/>
      <c r="H4" s="957"/>
      <c r="I4" s="957"/>
      <c r="J4" s="957"/>
      <c r="K4" s="712"/>
    </row>
    <row r="5" spans="1:11" ht="15" customHeight="1" x14ac:dyDescent="0.25">
      <c r="A5" s="199" t="s">
        <v>363</v>
      </c>
      <c r="B5" s="199"/>
      <c r="C5" s="1492">
        <v>4431</v>
      </c>
      <c r="D5" s="1492"/>
      <c r="E5" s="1492"/>
      <c r="F5" s="1492"/>
      <c r="G5" s="1492"/>
      <c r="H5" s="1492"/>
      <c r="I5" s="1492"/>
      <c r="J5" s="1492"/>
      <c r="K5" s="713"/>
    </row>
    <row r="6" spans="1:11" ht="15" x14ac:dyDescent="0.25">
      <c r="A6" s="199" t="s">
        <v>364</v>
      </c>
      <c r="B6" s="199"/>
      <c r="C6" s="957" t="s">
        <v>12</v>
      </c>
      <c r="D6" s="957"/>
      <c r="E6" s="1490" t="s">
        <v>365</v>
      </c>
      <c r="F6" s="1490"/>
      <c r="G6" s="202">
        <v>46022</v>
      </c>
      <c r="H6" s="770" t="s">
        <v>465</v>
      </c>
      <c r="I6" s="770"/>
      <c r="J6" s="235">
        <v>12</v>
      </c>
      <c r="K6" s="274"/>
    </row>
    <row r="7" spans="1:11" ht="15" x14ac:dyDescent="0.25">
      <c r="A7" s="199" t="s">
        <v>367</v>
      </c>
      <c r="B7" s="199"/>
      <c r="C7" s="1487" t="s">
        <v>8</v>
      </c>
      <c r="D7" s="1487"/>
      <c r="E7" s="1487"/>
      <c r="F7" s="1487"/>
      <c r="G7" s="1487"/>
      <c r="H7" s="1487"/>
      <c r="I7" s="1487"/>
      <c r="J7" s="1487"/>
      <c r="K7" s="274"/>
    </row>
    <row r="8" spans="1:11" ht="15" x14ac:dyDescent="0.25">
      <c r="A8" s="199" t="s">
        <v>466</v>
      </c>
      <c r="B8" s="203"/>
      <c r="C8" s="959" t="s">
        <v>34</v>
      </c>
      <c r="D8" s="959"/>
      <c r="E8" s="959"/>
      <c r="F8" s="959"/>
      <c r="G8" s="959"/>
      <c r="H8" s="959"/>
      <c r="I8" s="959"/>
      <c r="J8" s="959"/>
      <c r="K8" s="274"/>
    </row>
    <row r="9" spans="1:11" ht="15" x14ac:dyDescent="0.25">
      <c r="A9" s="198"/>
      <c r="B9" s="203"/>
      <c r="C9" s="770">
        <v>555555</v>
      </c>
      <c r="D9" s="770"/>
      <c r="E9" s="770"/>
      <c r="F9" s="770"/>
      <c r="G9" s="770"/>
      <c r="H9" s="770"/>
      <c r="I9" s="770"/>
      <c r="J9" s="770"/>
      <c r="K9" s="274"/>
    </row>
    <row r="10" spans="1:11" ht="15" x14ac:dyDescent="0.25">
      <c r="A10" s="199" t="s">
        <v>467</v>
      </c>
      <c r="B10" s="203"/>
      <c r="C10" s="770" t="s">
        <v>38</v>
      </c>
      <c r="D10" s="770"/>
      <c r="E10" s="770" t="s">
        <v>468</v>
      </c>
      <c r="F10" s="770"/>
      <c r="G10" s="770"/>
      <c r="H10" s="770" t="s">
        <v>36</v>
      </c>
      <c r="I10" s="770"/>
      <c r="J10" s="770"/>
      <c r="K10" s="274"/>
    </row>
    <row r="11" spans="1:11" ht="15" x14ac:dyDescent="0.25">
      <c r="A11" s="199" t="s">
        <v>469</v>
      </c>
      <c r="B11" s="203"/>
      <c r="C11" s="975">
        <v>44713</v>
      </c>
      <c r="D11" s="975"/>
      <c r="E11" s="770" t="s">
        <v>470</v>
      </c>
      <c r="F11" s="770"/>
      <c r="G11" s="770"/>
      <c r="H11" s="975">
        <v>45991</v>
      </c>
      <c r="I11" s="975"/>
      <c r="J11" s="975"/>
      <c r="K11" s="274"/>
    </row>
    <row r="12" spans="1:11" ht="15.75" thickBot="1" x14ac:dyDescent="0.3">
      <c r="A12" s="199"/>
      <c r="B12" s="199"/>
      <c r="C12" s="606"/>
      <c r="D12" s="200"/>
      <c r="E12" s="200"/>
      <c r="F12" s="200"/>
      <c r="G12" s="200"/>
      <c r="H12" s="200"/>
      <c r="I12" s="200"/>
      <c r="J12" s="200"/>
      <c r="K12" s="274"/>
    </row>
    <row r="13" spans="1:11" ht="16.5" thickBot="1" x14ac:dyDescent="0.3">
      <c r="A13" s="1692" t="s">
        <v>1530</v>
      </c>
      <c r="B13" s="1712"/>
      <c r="C13" s="1712"/>
      <c r="D13" s="1712"/>
      <c r="E13" s="1712"/>
      <c r="F13" s="1712"/>
      <c r="G13" s="1712"/>
      <c r="H13" s="1712"/>
      <c r="I13" s="1712"/>
      <c r="J13" s="1712"/>
      <c r="K13" s="714"/>
    </row>
    <row r="14" spans="1:11" ht="8.25" customHeight="1" x14ac:dyDescent="0.25">
      <c r="A14" s="28"/>
      <c r="B14" s="28"/>
      <c r="C14" s="670"/>
      <c r="D14" s="670"/>
      <c r="E14" s="670"/>
      <c r="F14" s="670"/>
      <c r="G14" s="670"/>
      <c r="H14" s="670"/>
      <c r="I14" s="670"/>
      <c r="J14" s="28"/>
    </row>
    <row r="15" spans="1:11" ht="42" x14ac:dyDescent="0.25">
      <c r="A15" s="705" t="s">
        <v>2014</v>
      </c>
      <c r="B15" s="1732" t="s">
        <v>2011</v>
      </c>
      <c r="C15" s="1732"/>
      <c r="D15" s="1732"/>
      <c r="E15" s="705" t="s">
        <v>2012</v>
      </c>
      <c r="F15" s="705" t="s">
        <v>2013</v>
      </c>
      <c r="G15" s="705" t="s">
        <v>2015</v>
      </c>
      <c r="H15" s="705" t="s">
        <v>2016</v>
      </c>
      <c r="I15" s="705" t="s">
        <v>2017</v>
      </c>
      <c r="J15" s="705" t="s">
        <v>2018</v>
      </c>
    </row>
    <row r="16" spans="1:11" ht="15" x14ac:dyDescent="0.25">
      <c r="A16" s="715"/>
      <c r="B16" s="1742"/>
      <c r="C16" s="1742"/>
      <c r="D16" s="1742"/>
      <c r="E16" s="716"/>
      <c r="F16" s="717"/>
      <c r="G16" s="717"/>
      <c r="H16" s="683"/>
      <c r="I16" s="683"/>
      <c r="J16" s="683"/>
    </row>
    <row r="17" spans="1:10" ht="15" x14ac:dyDescent="0.25">
      <c r="A17" s="715"/>
      <c r="B17" s="1742"/>
      <c r="C17" s="1742"/>
      <c r="D17" s="1742"/>
      <c r="E17" s="716"/>
      <c r="F17" s="717"/>
      <c r="G17" s="717"/>
      <c r="H17" s="683"/>
      <c r="I17" s="683"/>
      <c r="J17" s="683"/>
    </row>
    <row r="18" spans="1:10" ht="15" x14ac:dyDescent="0.25">
      <c r="A18" s="715"/>
      <c r="B18" s="1742"/>
      <c r="C18" s="1742"/>
      <c r="D18" s="1742"/>
      <c r="E18" s="716"/>
      <c r="F18" s="717"/>
      <c r="G18" s="717"/>
      <c r="H18" s="683"/>
      <c r="I18" s="683"/>
      <c r="J18" s="683"/>
    </row>
    <row r="19" spans="1:10" ht="15" x14ac:dyDescent="0.25">
      <c r="A19" s="715"/>
      <c r="B19" s="1742"/>
      <c r="C19" s="1742"/>
      <c r="D19" s="1742"/>
      <c r="E19" s="716"/>
      <c r="F19" s="717"/>
      <c r="G19" s="717"/>
      <c r="H19" s="683"/>
      <c r="I19" s="683"/>
      <c r="J19" s="683"/>
    </row>
    <row r="20" spans="1:10" ht="15" x14ac:dyDescent="0.25">
      <c r="A20" s="715"/>
      <c r="B20" s="1742"/>
      <c r="C20" s="1742"/>
      <c r="D20" s="1742"/>
      <c r="E20" s="716"/>
      <c r="F20" s="717"/>
      <c r="G20" s="717"/>
      <c r="H20" s="683"/>
      <c r="I20" s="683"/>
      <c r="J20" s="683"/>
    </row>
    <row r="21" spans="1:10" ht="15" x14ac:dyDescent="0.25">
      <c r="A21" s="715"/>
      <c r="B21" s="1742"/>
      <c r="C21" s="1742"/>
      <c r="D21" s="1742"/>
      <c r="E21" s="716"/>
      <c r="F21" s="717"/>
      <c r="G21" s="717"/>
      <c r="H21" s="683"/>
      <c r="I21" s="683"/>
      <c r="J21" s="683"/>
    </row>
    <row r="22" spans="1:10" ht="15" x14ac:dyDescent="0.25">
      <c r="A22" s="715"/>
      <c r="B22" s="1742"/>
      <c r="C22" s="1742"/>
      <c r="D22" s="1742"/>
      <c r="E22" s="716"/>
      <c r="F22" s="717"/>
      <c r="G22" s="717"/>
      <c r="H22" s="683"/>
      <c r="I22" s="683"/>
      <c r="J22" s="683"/>
    </row>
    <row r="23" spans="1:10" ht="15" x14ac:dyDescent="0.25">
      <c r="A23" s="715"/>
      <c r="B23" s="1742"/>
      <c r="C23" s="1742"/>
      <c r="D23" s="1742"/>
      <c r="E23" s="716"/>
      <c r="F23" s="717"/>
      <c r="G23" s="717"/>
      <c r="H23" s="683"/>
      <c r="I23" s="683"/>
      <c r="J23" s="683"/>
    </row>
    <row r="24" spans="1:10" ht="15" x14ac:dyDescent="0.25">
      <c r="A24" s="715"/>
      <c r="B24" s="1742"/>
      <c r="C24" s="1742"/>
      <c r="D24" s="1742"/>
      <c r="E24" s="716"/>
      <c r="F24" s="717"/>
      <c r="G24" s="717"/>
      <c r="H24" s="683"/>
      <c r="I24" s="683"/>
      <c r="J24" s="683"/>
    </row>
    <row r="25" spans="1:10" ht="15" x14ac:dyDescent="0.25">
      <c r="A25" s="715"/>
      <c r="B25" s="1742"/>
      <c r="C25" s="1742"/>
      <c r="D25" s="1742"/>
      <c r="E25" s="716"/>
      <c r="F25" s="717"/>
      <c r="G25" s="717"/>
      <c r="H25" s="683"/>
      <c r="I25" s="683"/>
      <c r="J25" s="683"/>
    </row>
    <row r="26" spans="1:10" ht="15" x14ac:dyDescent="0.25">
      <c r="A26" s="715"/>
      <c r="B26" s="1742"/>
      <c r="C26" s="1742"/>
      <c r="D26" s="1742"/>
      <c r="E26" s="716"/>
      <c r="F26" s="717"/>
      <c r="G26" s="717"/>
      <c r="H26" s="683"/>
      <c r="I26" s="683"/>
      <c r="J26" s="683"/>
    </row>
    <row r="27" spans="1:10" ht="15" x14ac:dyDescent="0.25">
      <c r="A27" s="715"/>
      <c r="B27" s="1742"/>
      <c r="C27" s="1742"/>
      <c r="D27" s="1742"/>
      <c r="E27" s="716"/>
      <c r="F27" s="717"/>
      <c r="G27" s="717"/>
      <c r="H27" s="683"/>
      <c r="I27" s="683"/>
      <c r="J27" s="683"/>
    </row>
    <row r="28" spans="1:10" ht="15" x14ac:dyDescent="0.25">
      <c r="A28" s="715"/>
      <c r="B28" s="1742"/>
      <c r="C28" s="1742"/>
      <c r="D28" s="1742"/>
      <c r="E28" s="716"/>
      <c r="F28" s="717"/>
      <c r="G28" s="717"/>
      <c r="H28" s="683"/>
      <c r="I28" s="683"/>
      <c r="J28" s="683"/>
    </row>
    <row r="29" spans="1:10" ht="15" x14ac:dyDescent="0.25">
      <c r="A29" s="715"/>
      <c r="B29" s="1742"/>
      <c r="C29" s="1742"/>
      <c r="D29" s="1742"/>
      <c r="E29" s="716"/>
      <c r="F29" s="717"/>
      <c r="G29" s="717"/>
      <c r="H29" s="683"/>
      <c r="I29" s="683"/>
      <c r="J29" s="683"/>
    </row>
    <row r="30" spans="1:10" ht="15" x14ac:dyDescent="0.25">
      <c r="A30" s="715"/>
      <c r="B30" s="1742"/>
      <c r="C30" s="1742"/>
      <c r="D30" s="1742"/>
      <c r="E30" s="716"/>
      <c r="F30" s="717"/>
      <c r="G30" s="717"/>
      <c r="H30" s="683"/>
      <c r="I30" s="683"/>
      <c r="J30" s="683"/>
    </row>
    <row r="31" spans="1:10" ht="15" x14ac:dyDescent="0.25">
      <c r="A31" s="715"/>
      <c r="B31" s="1742"/>
      <c r="C31" s="1742"/>
      <c r="D31" s="1742"/>
      <c r="E31" s="716"/>
      <c r="F31" s="717"/>
      <c r="G31" s="717"/>
      <c r="H31" s="683"/>
      <c r="I31" s="683"/>
      <c r="J31" s="683"/>
    </row>
    <row r="32" spans="1:10" ht="15" x14ac:dyDescent="0.25">
      <c r="A32" s="715"/>
      <c r="B32" s="1742"/>
      <c r="C32" s="1742"/>
      <c r="D32" s="1742"/>
      <c r="E32" s="716"/>
      <c r="F32" s="717"/>
      <c r="G32" s="717"/>
      <c r="H32" s="683"/>
      <c r="I32" s="683"/>
      <c r="J32" s="683"/>
    </row>
    <row r="33" spans="1:10" ht="15" x14ac:dyDescent="0.25">
      <c r="A33" s="715"/>
      <c r="B33" s="1742"/>
      <c r="C33" s="1742"/>
      <c r="D33" s="1742"/>
      <c r="E33" s="716"/>
      <c r="F33" s="717"/>
      <c r="G33" s="717"/>
      <c r="H33" s="683"/>
      <c r="I33" s="683"/>
      <c r="J33" s="683"/>
    </row>
    <row r="34" spans="1:10" ht="15" x14ac:dyDescent="0.25">
      <c r="A34" s="715"/>
      <c r="B34" s="1742"/>
      <c r="C34" s="1742"/>
      <c r="D34" s="1742"/>
      <c r="E34" s="716"/>
      <c r="F34" s="717"/>
      <c r="G34" s="717"/>
      <c r="H34" s="683"/>
      <c r="I34" s="683"/>
      <c r="J34" s="683"/>
    </row>
    <row r="35" spans="1:10" ht="15" x14ac:dyDescent="0.25">
      <c r="A35" s="715"/>
      <c r="B35" s="1742"/>
      <c r="C35" s="1742"/>
      <c r="D35" s="1742"/>
      <c r="E35" s="716"/>
      <c r="F35" s="717"/>
      <c r="G35" s="717"/>
      <c r="H35" s="683"/>
      <c r="I35" s="683"/>
      <c r="J35" s="683"/>
    </row>
    <row r="36" spans="1:10" ht="15" x14ac:dyDescent="0.25">
      <c r="A36" s="1739" t="s">
        <v>849</v>
      </c>
      <c r="B36" s="1740"/>
      <c r="C36" s="1740"/>
      <c r="D36" s="1740"/>
      <c r="E36" s="1740"/>
      <c r="F36" s="1740"/>
      <c r="G36" s="1740"/>
      <c r="H36" s="1740"/>
      <c r="I36" s="1741"/>
      <c r="J36" s="718"/>
    </row>
    <row r="37" spans="1:10" ht="15" x14ac:dyDescent="0.25"/>
  </sheetData>
  <mergeCells count="40">
    <mergeCell ref="C6:D6"/>
    <mergeCell ref="E6:F6"/>
    <mergeCell ref="H6:I6"/>
    <mergeCell ref="A1:J1"/>
    <mergeCell ref="C2:J2"/>
    <mergeCell ref="C3:J3"/>
    <mergeCell ref="C4:J4"/>
    <mergeCell ref="C5:J5"/>
    <mergeCell ref="B16:D16"/>
    <mergeCell ref="C7:J7"/>
    <mergeCell ref="C8:J8"/>
    <mergeCell ref="C9:J9"/>
    <mergeCell ref="C10:D10"/>
    <mergeCell ref="E10:G10"/>
    <mergeCell ref="H10:J10"/>
    <mergeCell ref="C11:D11"/>
    <mergeCell ref="E11:G11"/>
    <mergeCell ref="H11:J11"/>
    <mergeCell ref="A13:J13"/>
    <mergeCell ref="B15:D15"/>
    <mergeCell ref="B28:D28"/>
    <mergeCell ref="B17:D17"/>
    <mergeCell ref="B18:D18"/>
    <mergeCell ref="B19:D19"/>
    <mergeCell ref="B20:D20"/>
    <mergeCell ref="B21:D21"/>
    <mergeCell ref="B22:D22"/>
    <mergeCell ref="B23:D23"/>
    <mergeCell ref="B24:D24"/>
    <mergeCell ref="B25:D25"/>
    <mergeCell ref="B26:D26"/>
    <mergeCell ref="B27:D27"/>
    <mergeCell ref="B35:D35"/>
    <mergeCell ref="A36:I36"/>
    <mergeCell ref="B29:D29"/>
    <mergeCell ref="B30:D30"/>
    <mergeCell ref="B31:D31"/>
    <mergeCell ref="B32:D32"/>
    <mergeCell ref="B33:D33"/>
    <mergeCell ref="B34:D34"/>
  </mergeCells>
  <pageMargins left="0.7" right="0.7" top="0.75" bottom="0.75" header="0.3" footer="0.3"/>
  <drawing r:id="rId1"/>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867175-6D63-46A6-8069-8836A08347A4}">
  <dimension ref="A1:K38"/>
  <sheetViews>
    <sheetView workbookViewId="0">
      <selection activeCell="B16" sqref="B16:F16"/>
    </sheetView>
  </sheetViews>
  <sheetFormatPr baseColWidth="10" defaultColWidth="11.42578125" defaultRowHeight="13.9" customHeight="1" x14ac:dyDescent="0.25"/>
  <cols>
    <col min="1" max="1" width="13.42578125" style="481" customWidth="1"/>
    <col min="2" max="2" width="20.42578125" style="481" customWidth="1"/>
    <col min="3" max="3" width="8.85546875" style="481" customWidth="1"/>
    <col min="4" max="4" width="9.140625" style="481" customWidth="1"/>
    <col min="5" max="5" width="10" style="481" customWidth="1"/>
    <col min="6" max="6" width="9.85546875" style="481" customWidth="1"/>
    <col min="7" max="7" width="15.5703125" style="481" customWidth="1"/>
    <col min="8" max="9" width="16.140625" style="481" customWidth="1"/>
    <col min="10" max="10" width="8.42578125" style="481" customWidth="1"/>
    <col min="11" max="11" width="14" style="481" customWidth="1"/>
    <col min="12" max="12" width="6.42578125" style="481" customWidth="1"/>
    <col min="13" max="16384" width="11.42578125" style="481"/>
  </cols>
  <sheetData>
    <row r="1" spans="1:11" ht="10.5" customHeight="1" x14ac:dyDescent="0.25">
      <c r="A1" s="1514"/>
      <c r="B1" s="1514"/>
      <c r="C1" s="1515"/>
      <c r="D1" s="1515"/>
      <c r="E1" s="1515"/>
      <c r="F1" s="1515"/>
      <c r="G1" s="1515"/>
      <c r="H1" s="1515"/>
      <c r="I1" s="1515"/>
      <c r="J1" s="1515"/>
    </row>
    <row r="2" spans="1:11" ht="15" customHeight="1" x14ac:dyDescent="0.25">
      <c r="A2" s="199" t="s">
        <v>361</v>
      </c>
      <c r="B2" s="199"/>
      <c r="C2" s="1505" t="s">
        <v>2</v>
      </c>
      <c r="D2" s="958"/>
      <c r="E2" s="958"/>
      <c r="F2" s="958"/>
      <c r="G2" s="958"/>
      <c r="H2" s="958"/>
      <c r="I2" s="958"/>
      <c r="J2" s="958"/>
      <c r="K2" s="712"/>
    </row>
    <row r="3" spans="1:11" ht="15" customHeight="1" x14ac:dyDescent="0.25">
      <c r="A3" s="199"/>
      <c r="B3" s="199"/>
      <c r="C3" s="1506" t="s">
        <v>4</v>
      </c>
      <c r="D3" s="1506"/>
      <c r="E3" s="1506"/>
      <c r="F3" s="1506"/>
      <c r="G3" s="1506"/>
      <c r="H3" s="1506"/>
      <c r="I3" s="1506"/>
      <c r="J3" s="1506"/>
      <c r="K3" s="712"/>
    </row>
    <row r="4" spans="1:11" ht="15" customHeight="1" x14ac:dyDescent="0.25">
      <c r="A4" s="199" t="s">
        <v>362</v>
      </c>
      <c r="B4" s="199"/>
      <c r="C4" s="1506" t="s">
        <v>6</v>
      </c>
      <c r="D4" s="957"/>
      <c r="E4" s="957"/>
      <c r="F4" s="957"/>
      <c r="G4" s="957"/>
      <c r="H4" s="957"/>
      <c r="I4" s="957"/>
      <c r="J4" s="957"/>
      <c r="K4" s="712"/>
    </row>
    <row r="5" spans="1:11" ht="15" customHeight="1" x14ac:dyDescent="0.25">
      <c r="A5" s="199" t="s">
        <v>363</v>
      </c>
      <c r="B5" s="199"/>
      <c r="C5" s="1492">
        <v>4431</v>
      </c>
      <c r="D5" s="1492"/>
      <c r="E5" s="1492"/>
      <c r="F5" s="1492"/>
      <c r="G5" s="1492"/>
      <c r="H5" s="1492"/>
      <c r="I5" s="1492"/>
      <c r="J5" s="1492"/>
      <c r="K5" s="713"/>
    </row>
    <row r="6" spans="1:11" ht="15" x14ac:dyDescent="0.25">
      <c r="A6" s="199" t="s">
        <v>364</v>
      </c>
      <c r="B6" s="199"/>
      <c r="C6" s="957" t="s">
        <v>12</v>
      </c>
      <c r="D6" s="957"/>
      <c r="E6" s="1490" t="s">
        <v>365</v>
      </c>
      <c r="F6" s="1490"/>
      <c r="G6" s="202">
        <v>46022</v>
      </c>
      <c r="H6" s="770" t="s">
        <v>465</v>
      </c>
      <c r="I6" s="770"/>
      <c r="J6" s="235">
        <v>12</v>
      </c>
      <c r="K6" s="274"/>
    </row>
    <row r="7" spans="1:11" ht="15" x14ac:dyDescent="0.25">
      <c r="A7" s="199" t="s">
        <v>367</v>
      </c>
      <c r="B7" s="199"/>
      <c r="C7" s="1487" t="s">
        <v>8</v>
      </c>
      <c r="D7" s="1487"/>
      <c r="E7" s="1487"/>
      <c r="F7" s="1487"/>
      <c r="G7" s="1487"/>
      <c r="H7" s="1487"/>
      <c r="I7" s="1487"/>
      <c r="J7" s="1487"/>
      <c r="K7" s="274"/>
    </row>
    <row r="8" spans="1:11" ht="15" x14ac:dyDescent="0.25">
      <c r="A8" s="199" t="s">
        <v>466</v>
      </c>
      <c r="B8" s="203"/>
      <c r="C8" s="959" t="s">
        <v>34</v>
      </c>
      <c r="D8" s="959"/>
      <c r="E8" s="959"/>
      <c r="F8" s="959"/>
      <c r="G8" s="959"/>
      <c r="H8" s="959"/>
      <c r="I8" s="959"/>
      <c r="J8" s="959"/>
      <c r="K8" s="274"/>
    </row>
    <row r="9" spans="1:11" ht="15" x14ac:dyDescent="0.25">
      <c r="A9" s="198"/>
      <c r="B9" s="203"/>
      <c r="C9" s="770">
        <v>555555</v>
      </c>
      <c r="D9" s="770"/>
      <c r="E9" s="770"/>
      <c r="F9" s="770"/>
      <c r="G9" s="770"/>
      <c r="H9" s="770"/>
      <c r="I9" s="770"/>
      <c r="J9" s="770"/>
      <c r="K9" s="274"/>
    </row>
    <row r="10" spans="1:11" ht="15" x14ac:dyDescent="0.25">
      <c r="A10" s="199" t="s">
        <v>467</v>
      </c>
      <c r="B10" s="203"/>
      <c r="C10" s="770" t="s">
        <v>38</v>
      </c>
      <c r="D10" s="770"/>
      <c r="E10" s="770" t="s">
        <v>468</v>
      </c>
      <c r="F10" s="770"/>
      <c r="G10" s="770"/>
      <c r="H10" s="770" t="s">
        <v>36</v>
      </c>
      <c r="I10" s="770"/>
      <c r="J10" s="770"/>
      <c r="K10" s="274"/>
    </row>
    <row r="11" spans="1:11" ht="15" x14ac:dyDescent="0.25">
      <c r="A11" s="199" t="s">
        <v>469</v>
      </c>
      <c r="B11" s="203"/>
      <c r="C11" s="975">
        <v>44713</v>
      </c>
      <c r="D11" s="975"/>
      <c r="E11" s="770" t="s">
        <v>470</v>
      </c>
      <c r="F11" s="770"/>
      <c r="G11" s="770"/>
      <c r="H11" s="975">
        <v>45991</v>
      </c>
      <c r="I11" s="975"/>
      <c r="J11" s="975"/>
      <c r="K11" s="274"/>
    </row>
    <row r="12" spans="1:11" ht="15.75" thickBot="1" x14ac:dyDescent="0.3">
      <c r="A12" s="199"/>
      <c r="B12" s="199"/>
      <c r="C12" s="606"/>
      <c r="D12" s="200"/>
      <c r="E12" s="200"/>
      <c r="F12" s="200"/>
      <c r="G12" s="200"/>
      <c r="H12" s="200"/>
      <c r="I12" s="200"/>
      <c r="J12" s="200"/>
      <c r="K12" s="274"/>
    </row>
    <row r="13" spans="1:11" ht="16.5" thickBot="1" x14ac:dyDescent="0.3">
      <c r="A13" s="1692" t="s">
        <v>1532</v>
      </c>
      <c r="B13" s="1712"/>
      <c r="C13" s="1712"/>
      <c r="D13" s="1712"/>
      <c r="E13" s="1712"/>
      <c r="F13" s="1712"/>
      <c r="G13" s="1712"/>
      <c r="H13" s="1712"/>
      <c r="I13" s="1712"/>
      <c r="J13" s="1712"/>
      <c r="K13" s="714"/>
    </row>
    <row r="14" spans="1:11" ht="8.25" customHeight="1" x14ac:dyDescent="0.25">
      <c r="A14" s="28"/>
      <c r="B14" s="28"/>
      <c r="C14" s="670"/>
      <c r="D14" s="670"/>
      <c r="E14" s="670"/>
      <c r="F14" s="670"/>
      <c r="G14" s="670"/>
      <c r="H14" s="670"/>
      <c r="I14" s="670"/>
      <c r="J14" s="28"/>
    </row>
    <row r="15" spans="1:11" ht="31.5" x14ac:dyDescent="0.25">
      <c r="A15" s="705" t="s">
        <v>2014</v>
      </c>
      <c r="B15" s="1752" t="s">
        <v>1995</v>
      </c>
      <c r="C15" s="1753"/>
      <c r="D15" s="1753"/>
      <c r="E15" s="1753"/>
      <c r="F15" s="1754"/>
      <c r="G15" s="705" t="s">
        <v>2019</v>
      </c>
      <c r="H15" s="705" t="s">
        <v>2020</v>
      </c>
      <c r="I15" s="1752" t="s">
        <v>2021</v>
      </c>
      <c r="J15" s="1754"/>
    </row>
    <row r="16" spans="1:11" ht="15" x14ac:dyDescent="0.25">
      <c r="A16" s="715"/>
      <c r="B16" s="1747"/>
      <c r="C16" s="1748"/>
      <c r="D16" s="1748"/>
      <c r="E16" s="1748"/>
      <c r="F16" s="1749"/>
      <c r="G16" s="717"/>
      <c r="H16" s="683"/>
      <c r="I16" s="1750"/>
      <c r="J16" s="1751"/>
    </row>
    <row r="17" spans="1:10" ht="15" x14ac:dyDescent="0.25">
      <c r="A17" s="715"/>
      <c r="B17" s="1747"/>
      <c r="C17" s="1748"/>
      <c r="D17" s="1748"/>
      <c r="E17" s="1748"/>
      <c r="F17" s="1749"/>
      <c r="G17" s="717"/>
      <c r="H17" s="683"/>
      <c r="I17" s="1750"/>
      <c r="J17" s="1751"/>
    </row>
    <row r="18" spans="1:10" ht="15" x14ac:dyDescent="0.25">
      <c r="A18" s="715"/>
      <c r="B18" s="1747"/>
      <c r="C18" s="1748"/>
      <c r="D18" s="1748"/>
      <c r="E18" s="1748"/>
      <c r="F18" s="1749"/>
      <c r="G18" s="717"/>
      <c r="H18" s="683"/>
      <c r="I18" s="1750"/>
      <c r="J18" s="1751"/>
    </row>
    <row r="19" spans="1:10" ht="15" x14ac:dyDescent="0.25">
      <c r="A19" s="715"/>
      <c r="B19" s="1747"/>
      <c r="C19" s="1748"/>
      <c r="D19" s="1748"/>
      <c r="E19" s="1748"/>
      <c r="F19" s="1749"/>
      <c r="G19" s="717"/>
      <c r="H19" s="683"/>
      <c r="I19" s="1750"/>
      <c r="J19" s="1751"/>
    </row>
    <row r="20" spans="1:10" ht="15" x14ac:dyDescent="0.25">
      <c r="A20" s="715"/>
      <c r="B20" s="1747"/>
      <c r="C20" s="1748"/>
      <c r="D20" s="1748"/>
      <c r="E20" s="1748"/>
      <c r="F20" s="1749"/>
      <c r="G20" s="717"/>
      <c r="H20" s="683"/>
      <c r="I20" s="1750"/>
      <c r="J20" s="1751"/>
    </row>
    <row r="21" spans="1:10" ht="15" x14ac:dyDescent="0.25">
      <c r="A21" s="715"/>
      <c r="B21" s="1747"/>
      <c r="C21" s="1748"/>
      <c r="D21" s="1748"/>
      <c r="E21" s="1748"/>
      <c r="F21" s="1749"/>
      <c r="G21" s="717"/>
      <c r="H21" s="683"/>
      <c r="I21" s="1750"/>
      <c r="J21" s="1751"/>
    </row>
    <row r="22" spans="1:10" ht="15" x14ac:dyDescent="0.25">
      <c r="A22" s="715"/>
      <c r="B22" s="1747"/>
      <c r="C22" s="1748"/>
      <c r="D22" s="1748"/>
      <c r="E22" s="1748"/>
      <c r="F22" s="1749"/>
      <c r="G22" s="717"/>
      <c r="H22" s="683"/>
      <c r="I22" s="1750"/>
      <c r="J22" s="1751"/>
    </row>
    <row r="23" spans="1:10" ht="15" x14ac:dyDescent="0.25">
      <c r="A23" s="715"/>
      <c r="B23" s="1747"/>
      <c r="C23" s="1748"/>
      <c r="D23" s="1748"/>
      <c r="E23" s="1748"/>
      <c r="F23" s="1749"/>
      <c r="G23" s="717"/>
      <c r="H23" s="683"/>
      <c r="I23" s="1750"/>
      <c r="J23" s="1751"/>
    </row>
    <row r="24" spans="1:10" ht="15" x14ac:dyDescent="0.25">
      <c r="A24" s="715"/>
      <c r="B24" s="1747"/>
      <c r="C24" s="1748"/>
      <c r="D24" s="1748"/>
      <c r="E24" s="1748"/>
      <c r="F24" s="1749"/>
      <c r="G24" s="717"/>
      <c r="H24" s="683"/>
      <c r="I24" s="1750"/>
      <c r="J24" s="1751"/>
    </row>
    <row r="25" spans="1:10" ht="15" x14ac:dyDescent="0.25">
      <c r="A25" s="715"/>
      <c r="B25" s="1747"/>
      <c r="C25" s="1748"/>
      <c r="D25" s="1748"/>
      <c r="E25" s="1748"/>
      <c r="F25" s="1749"/>
      <c r="G25" s="717"/>
      <c r="H25" s="683"/>
      <c r="I25" s="1750"/>
      <c r="J25" s="1751"/>
    </row>
    <row r="26" spans="1:10" ht="15" x14ac:dyDescent="0.25">
      <c r="A26" s="715"/>
      <c r="B26" s="1747"/>
      <c r="C26" s="1748"/>
      <c r="D26" s="1748"/>
      <c r="E26" s="1748"/>
      <c r="F26" s="1749"/>
      <c r="G26" s="717"/>
      <c r="H26" s="683"/>
      <c r="I26" s="1750"/>
      <c r="J26" s="1751"/>
    </row>
    <row r="27" spans="1:10" ht="15" x14ac:dyDescent="0.25">
      <c r="A27" s="715"/>
      <c r="B27" s="1747"/>
      <c r="C27" s="1748"/>
      <c r="D27" s="1748"/>
      <c r="E27" s="1748"/>
      <c r="F27" s="1749"/>
      <c r="G27" s="717"/>
      <c r="H27" s="683"/>
      <c r="I27" s="1750"/>
      <c r="J27" s="1751"/>
    </row>
    <row r="28" spans="1:10" ht="15" x14ac:dyDescent="0.25">
      <c r="A28" s="715"/>
      <c r="B28" s="1747"/>
      <c r="C28" s="1748"/>
      <c r="D28" s="1748"/>
      <c r="E28" s="1748"/>
      <c r="F28" s="1749"/>
      <c r="G28" s="717"/>
      <c r="H28" s="683"/>
      <c r="I28" s="1750"/>
      <c r="J28" s="1751"/>
    </row>
    <row r="29" spans="1:10" ht="15" x14ac:dyDescent="0.25">
      <c r="A29" s="715"/>
      <c r="B29" s="1747"/>
      <c r="C29" s="1748"/>
      <c r="D29" s="1748"/>
      <c r="E29" s="1748"/>
      <c r="F29" s="1749"/>
      <c r="G29" s="717"/>
      <c r="H29" s="683"/>
      <c r="I29" s="1750"/>
      <c r="J29" s="1751"/>
    </row>
    <row r="30" spans="1:10" ht="15" x14ac:dyDescent="0.25">
      <c r="A30" s="715"/>
      <c r="B30" s="1747"/>
      <c r="C30" s="1748"/>
      <c r="D30" s="1748"/>
      <c r="E30" s="1748"/>
      <c r="F30" s="1749"/>
      <c r="G30" s="717"/>
      <c r="H30" s="683"/>
      <c r="I30" s="1750"/>
      <c r="J30" s="1751"/>
    </row>
    <row r="31" spans="1:10" ht="15" x14ac:dyDescent="0.25">
      <c r="A31" s="715"/>
      <c r="B31" s="1747"/>
      <c r="C31" s="1748"/>
      <c r="D31" s="1748"/>
      <c r="E31" s="1748"/>
      <c r="F31" s="1749"/>
      <c r="G31" s="717"/>
      <c r="H31" s="683"/>
      <c r="I31" s="1750"/>
      <c r="J31" s="1751"/>
    </row>
    <row r="32" spans="1:10" ht="15" x14ac:dyDescent="0.25">
      <c r="A32" s="715"/>
      <c r="B32" s="1747"/>
      <c r="C32" s="1748"/>
      <c r="D32" s="1748"/>
      <c r="E32" s="1748"/>
      <c r="F32" s="1749"/>
      <c r="G32" s="717"/>
      <c r="H32" s="683"/>
      <c r="I32" s="1750"/>
      <c r="J32" s="1751"/>
    </row>
    <row r="33" spans="1:10" ht="15" x14ac:dyDescent="0.25">
      <c r="A33" s="715"/>
      <c r="B33" s="1747"/>
      <c r="C33" s="1748"/>
      <c r="D33" s="1748"/>
      <c r="E33" s="1748"/>
      <c r="F33" s="1749"/>
      <c r="G33" s="717"/>
      <c r="H33" s="683"/>
      <c r="I33" s="1750"/>
      <c r="J33" s="1751"/>
    </row>
    <row r="34" spans="1:10" ht="15" x14ac:dyDescent="0.25">
      <c r="A34" s="715"/>
      <c r="B34" s="1747"/>
      <c r="C34" s="1748"/>
      <c r="D34" s="1748"/>
      <c r="E34" s="1748"/>
      <c r="F34" s="1749"/>
      <c r="G34" s="717"/>
      <c r="H34" s="683"/>
      <c r="I34" s="1750"/>
      <c r="J34" s="1751"/>
    </row>
    <row r="35" spans="1:10" ht="15" x14ac:dyDescent="0.25">
      <c r="A35" s="715"/>
      <c r="B35" s="1747"/>
      <c r="C35" s="1748"/>
      <c r="D35" s="1748"/>
      <c r="E35" s="1748"/>
      <c r="F35" s="1749"/>
      <c r="G35" s="717"/>
      <c r="H35" s="683"/>
      <c r="I35" s="1750"/>
      <c r="J35" s="1751"/>
    </row>
    <row r="36" spans="1:10" ht="15" x14ac:dyDescent="0.25">
      <c r="A36" s="715"/>
      <c r="B36" s="1747"/>
      <c r="C36" s="1748"/>
      <c r="D36" s="1748"/>
      <c r="E36" s="1748"/>
      <c r="F36" s="1749"/>
      <c r="G36" s="717"/>
      <c r="H36" s="683"/>
      <c r="I36" s="1750"/>
      <c r="J36" s="1751"/>
    </row>
    <row r="37" spans="1:10" ht="15" x14ac:dyDescent="0.25">
      <c r="A37" s="1739" t="s">
        <v>849</v>
      </c>
      <c r="B37" s="1740"/>
      <c r="C37" s="1740"/>
      <c r="D37" s="1740"/>
      <c r="E37" s="1740"/>
      <c r="F37" s="1740"/>
      <c r="G37" s="1740"/>
      <c r="H37" s="1741"/>
      <c r="I37" s="1745"/>
      <c r="J37" s="1746"/>
    </row>
    <row r="38" spans="1:10" ht="15" x14ac:dyDescent="0.25"/>
  </sheetData>
  <mergeCells count="64">
    <mergeCell ref="C6:D6"/>
    <mergeCell ref="E6:F6"/>
    <mergeCell ref="H6:I6"/>
    <mergeCell ref="A1:J1"/>
    <mergeCell ref="C2:J2"/>
    <mergeCell ref="C3:J3"/>
    <mergeCell ref="C4:J4"/>
    <mergeCell ref="C5:J5"/>
    <mergeCell ref="C7:J7"/>
    <mergeCell ref="C8:J8"/>
    <mergeCell ref="C9:J9"/>
    <mergeCell ref="C10:D10"/>
    <mergeCell ref="E10:G10"/>
    <mergeCell ref="H10:J10"/>
    <mergeCell ref="C11:D11"/>
    <mergeCell ref="E11:G11"/>
    <mergeCell ref="H11:J11"/>
    <mergeCell ref="A13:J13"/>
    <mergeCell ref="B15:F15"/>
    <mergeCell ref="I15:J15"/>
    <mergeCell ref="B16:F16"/>
    <mergeCell ref="I16:J16"/>
    <mergeCell ref="B17:F17"/>
    <mergeCell ref="I17:J17"/>
    <mergeCell ref="B18:F18"/>
    <mergeCell ref="I18:J18"/>
    <mergeCell ref="B19:F19"/>
    <mergeCell ref="I19:J19"/>
    <mergeCell ref="B20:F20"/>
    <mergeCell ref="I20:J20"/>
    <mergeCell ref="B21:F21"/>
    <mergeCell ref="I21:J21"/>
    <mergeCell ref="B22:F22"/>
    <mergeCell ref="I22:J22"/>
    <mergeCell ref="B23:F23"/>
    <mergeCell ref="I23:J23"/>
    <mergeCell ref="B24:F24"/>
    <mergeCell ref="I24:J24"/>
    <mergeCell ref="B25:F25"/>
    <mergeCell ref="I25:J25"/>
    <mergeCell ref="B26:F26"/>
    <mergeCell ref="I26:J26"/>
    <mergeCell ref="B27:F27"/>
    <mergeCell ref="I27:J27"/>
    <mergeCell ref="B28:F28"/>
    <mergeCell ref="I28:J28"/>
    <mergeCell ref="B29:F29"/>
    <mergeCell ref="I29:J29"/>
    <mergeCell ref="B30:F30"/>
    <mergeCell ref="I30:J30"/>
    <mergeCell ref="B31:F31"/>
    <mergeCell ref="I31:J31"/>
    <mergeCell ref="B32:F32"/>
    <mergeCell ref="I32:J32"/>
    <mergeCell ref="B33:F33"/>
    <mergeCell ref="I33:J33"/>
    <mergeCell ref="A37:H37"/>
    <mergeCell ref="I37:J37"/>
    <mergeCell ref="B34:F34"/>
    <mergeCell ref="I34:J34"/>
    <mergeCell ref="B35:F35"/>
    <mergeCell ref="I35:J35"/>
    <mergeCell ref="B36:F36"/>
    <mergeCell ref="I36:J36"/>
  </mergeCells>
  <pageMargins left="0.7" right="0.7" top="0.75" bottom="0.75" header="0.3" footer="0.3"/>
  <drawing r:id="rId1"/>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84B8AA-FFF7-4700-A543-C705809AE347}">
  <dimension ref="A1"/>
  <sheetViews>
    <sheetView workbookViewId="0"/>
  </sheetViews>
  <sheetFormatPr baseColWidth="10" defaultRowHeight="15" x14ac:dyDescent="0.25"/>
  <sheetData/>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188DF8-5153-4B31-B6D5-6B41556548B7}">
  <dimension ref="A1"/>
  <sheetViews>
    <sheetView workbookViewId="0"/>
  </sheetViews>
  <sheetFormatPr baseColWidth="10" defaultRowHeight="15" x14ac:dyDescent="0.25"/>
  <sheetData/>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F3A002-7FF3-4F64-92BD-7BAD3E7460DD}">
  <dimension ref="A1"/>
  <sheetViews>
    <sheetView workbookViewId="0"/>
  </sheetViews>
  <sheetFormatPr baseColWidth="10" defaultRowHeight="15" x14ac:dyDescent="0.25"/>
  <sheetData/>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FBD6CB-C13A-466B-BCFC-C9CB3B348D90}">
  <dimension ref="A1"/>
  <sheetViews>
    <sheetView workbookViewId="0"/>
  </sheetViews>
  <sheetFormatPr baseColWidth="10" defaultRowHeight="15" x14ac:dyDescent="0.25"/>
  <sheetData/>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E211C6-FD1D-436F-BFD6-F310BC0ABA4A}">
  <dimension ref="A1"/>
  <sheetViews>
    <sheetView workbookViewId="0"/>
  </sheetViews>
  <sheetFormatPr baseColWidth="10" defaultRowHeight="15" x14ac:dyDescent="0.25"/>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92</vt:i4>
      </vt:variant>
    </vt:vector>
  </HeadingPairs>
  <TitlesOfParts>
    <vt:vector size="92" baseType="lpstr">
      <vt:lpstr>IDENTIFICATION</vt:lpstr>
      <vt:lpstr>Navugation</vt:lpstr>
      <vt:lpstr>BALANCE N</vt:lpstr>
      <vt:lpstr>FeuiBALANCE N-1</vt:lpstr>
      <vt:lpstr>PAGE GARDE</vt:lpstr>
      <vt:lpstr>CONDITIONS</vt:lpstr>
      <vt:lpstr>CODES</vt:lpstr>
      <vt:lpstr>R1</vt:lpstr>
      <vt:lpstr>R2</vt:lpstr>
      <vt:lpstr>R3</vt:lpstr>
      <vt:lpstr>PG BILAN</vt:lpstr>
      <vt:lpstr>BILAN</vt:lpstr>
      <vt:lpstr>PG COMPTE-RESULTAT</vt:lpstr>
      <vt:lpstr>COMPTE-RESULTAT</vt:lpstr>
      <vt:lpstr>PG TFT</vt:lpstr>
      <vt:lpstr>TFT</vt:lpstr>
      <vt:lpstr>PG -NOTES</vt:lpstr>
      <vt:lpstr>NOTES</vt:lpstr>
      <vt:lpstr>NOTE 1</vt:lpstr>
      <vt:lpstr>NOTE 2</vt:lpstr>
      <vt:lpstr>NOTE 3</vt:lpstr>
      <vt:lpstr>NOTE 4</vt:lpstr>
      <vt:lpstr>NOTE 5A</vt:lpstr>
      <vt:lpstr>NOTE 5B</vt:lpstr>
      <vt:lpstr>NOTE 5C</vt:lpstr>
      <vt:lpstr>NOTE 5D</vt:lpstr>
      <vt:lpstr>NOTE 5E</vt:lpstr>
      <vt:lpstr>NOTE 5F</vt:lpstr>
      <vt:lpstr>NOTE 5G</vt:lpstr>
      <vt:lpstr>NOTE 5H</vt:lpstr>
      <vt:lpstr>NOTE 6</vt:lpstr>
      <vt:lpstr>NOTE 7</vt:lpstr>
      <vt:lpstr>NOTE 8</vt:lpstr>
      <vt:lpstr>NOTE 9</vt:lpstr>
      <vt:lpstr>NOTE 10</vt:lpstr>
      <vt:lpstr>NOTE 11</vt:lpstr>
      <vt:lpstr>NOTE 12</vt:lpstr>
      <vt:lpstr>NOTE 13</vt:lpstr>
      <vt:lpstr>NOTE 14</vt:lpstr>
      <vt:lpstr>NOTE 15</vt:lpstr>
      <vt:lpstr>NOTE 16</vt:lpstr>
      <vt:lpstr>NOTE 17A</vt:lpstr>
      <vt:lpstr>NOTE 17B</vt:lpstr>
      <vt:lpstr>NOTE 18A</vt:lpstr>
      <vt:lpstr>NOTE 18B</vt:lpstr>
      <vt:lpstr>NOTE 19</vt:lpstr>
      <vt:lpstr>NOTE 20</vt:lpstr>
      <vt:lpstr>NOTE 21</vt:lpstr>
      <vt:lpstr>NOTE 22</vt:lpstr>
      <vt:lpstr>NOTE 23</vt:lpstr>
      <vt:lpstr>NOTE 24</vt:lpstr>
      <vt:lpstr>NOTE 25</vt:lpstr>
      <vt:lpstr>NOTE 26</vt:lpstr>
      <vt:lpstr>NOTE 27</vt:lpstr>
      <vt:lpstr>NOTE 28</vt:lpstr>
      <vt:lpstr>NOTE 29A</vt:lpstr>
      <vt:lpstr>NOTE 29B</vt:lpstr>
      <vt:lpstr>NOTE 30</vt:lpstr>
      <vt:lpstr>NOTE 31</vt:lpstr>
      <vt:lpstr>NOTE 32</vt:lpstr>
      <vt:lpstr>NOTE 33</vt:lpstr>
      <vt:lpstr>NOTE 34</vt:lpstr>
      <vt:lpstr>NOTE 35</vt:lpstr>
      <vt:lpstr>PG-sup</vt:lpstr>
      <vt:lpstr>LISTE DGI</vt:lpstr>
      <vt:lpstr>CHARGES 1</vt:lpstr>
      <vt:lpstr>CHARFGES 2</vt:lpstr>
      <vt:lpstr>CHARGES 3</vt:lpstr>
      <vt:lpstr>CHARGES 4</vt:lpstr>
      <vt:lpstr>PRODUITS 1</vt:lpstr>
      <vt:lpstr>PRODUITS 2</vt:lpstr>
      <vt:lpstr>TVA</vt:lpstr>
      <vt:lpstr>STAT UEMOA</vt:lpstr>
      <vt:lpstr>IMMO AMORT</vt:lpstr>
      <vt:lpstr>FRAIS ACCES ACHATS</vt:lpstr>
      <vt:lpstr>AVANTAGES NATURE</vt:lpstr>
      <vt:lpstr>CREANCES</vt:lpstr>
      <vt:lpstr>DEB_MOB_MAT_LOG</vt:lpstr>
      <vt:lpstr>DETTES</vt:lpstr>
      <vt:lpstr>CRED_DIV_IMPOT-</vt:lpstr>
      <vt:lpstr>ETAT ANNUEL SALAIRES</vt:lpstr>
      <vt:lpstr>COMM_VACATIONS</vt:lpstr>
      <vt:lpstr>LOYERS</vt:lpstr>
      <vt:lpstr>PRINCIPAUX CLIENTS</vt:lpstr>
      <vt:lpstr>PRINCIPAUX FRS</vt:lpstr>
      <vt:lpstr>PRINCIPAUX DONATEURS</vt:lpstr>
      <vt:lpstr>SOMMES_VERSES_CA</vt:lpstr>
      <vt:lpstr>Feuil88</vt:lpstr>
      <vt:lpstr>Feuil89</vt:lpstr>
      <vt:lpstr>Feuil90</vt:lpstr>
      <vt:lpstr>Feuil91</vt:lpstr>
      <vt:lpstr>Feuil92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LENOVO</dc:creator>
  <cp:lastModifiedBy>clement Tagnan</cp:lastModifiedBy>
  <dcterms:created xsi:type="dcterms:W3CDTF">2015-06-05T18:19:34Z</dcterms:created>
  <dcterms:modified xsi:type="dcterms:W3CDTF">2026-09-24T17:07:32Z</dcterms:modified>
</cp:coreProperties>
</file>