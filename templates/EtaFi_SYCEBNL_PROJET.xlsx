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79F843D1-637B-45C0-8B4F-8D5BA9A43B11}" xr6:coauthVersionLast="47" xr6:coauthVersionMax="47" xr10:uidLastSave="{00000000-0000-0000-0000-000000000000}"/>
  <bookViews>
    <workbookView xWindow="-120" yWindow="-120" windowWidth="20730" windowHeight="11040" tabRatio="899" firstSheet="1" activeTab="3" xr2:uid="{00000000-000D-0000-FFFF-FFFF00000000}"/>
  </bookViews>
  <sheets>
    <sheet name="IDENTIFICATION" sheetId="1" r:id="rId1"/>
    <sheet name="Navigation" sheetId="2" r:id="rId2"/>
    <sheet name="Impression" sheetId="3" r:id="rId3"/>
    <sheet name="ANNEE N" sheetId="4" r:id="rId4"/>
    <sheet name="ANNEE N-1" sheetId="5" r:id="rId5"/>
    <sheet name="PG" sheetId="6" r:id="rId6"/>
    <sheet name="CONDITIONS" sheetId="7" r:id="rId7"/>
    <sheet name="CODES" sheetId="8" r:id="rId8"/>
    <sheet name="R1" sheetId="9" r:id="rId9"/>
    <sheet name="R2" sheetId="10" r:id="rId10"/>
    <sheet name="R3" sheetId="11" r:id="rId11"/>
    <sheet name="PG BILAN" sheetId="12" r:id="rId12"/>
    <sheet name="BILAN" sheetId="13" r:id="rId13"/>
    <sheet name="PG CPTE EXPLOITATION" sheetId="14" r:id="rId14"/>
    <sheet name="CPTE EXPLOITATION" sheetId="15" r:id="rId15"/>
    <sheet name="TER" sheetId="16" r:id="rId16"/>
    <sheet name="TEB" sheetId="17" r:id="rId17"/>
    <sheet name="TRT" sheetId="18" r:id="rId18"/>
    <sheet name="PG NOTES" sheetId="19" r:id="rId19"/>
    <sheet name="NOTES" sheetId="20" r:id="rId20"/>
    <sheet name="NOTE 1" sheetId="21" r:id="rId21"/>
    <sheet name="NOTE 2" sheetId="22" r:id="rId22"/>
    <sheet name="NOTE 3A" sheetId="23" r:id="rId23"/>
    <sheet name="NOTE 3B" sheetId="24" r:id="rId24"/>
    <sheet name="NOTE 4" sheetId="25" r:id="rId25"/>
    <sheet name="NOTE 5" sheetId="26" r:id="rId26"/>
    <sheet name="NOTE 6" sheetId="27" r:id="rId27"/>
    <sheet name="NOTE 7" sheetId="28" r:id="rId28"/>
    <sheet name="NOTE 8" sheetId="29" r:id="rId29"/>
    <sheet name="NOTE 9" sheetId="30" r:id="rId30"/>
    <sheet name="NOTE 10" sheetId="31" r:id="rId31"/>
    <sheet name="NOTE 11" sheetId="32" r:id="rId32"/>
    <sheet name="NOTE 12" sheetId="33" r:id="rId33"/>
    <sheet name="NOTE 13" sheetId="34" r:id="rId34"/>
    <sheet name="NOTE 14" sheetId="35" r:id="rId35"/>
    <sheet name="NOTE 15" sheetId="36" r:id="rId36"/>
    <sheet name="NOTE 16" sheetId="37" r:id="rId37"/>
    <sheet name="NOTE 17" sheetId="38" r:id="rId38"/>
    <sheet name="NOTE 18" sheetId="39" r:id="rId39"/>
    <sheet name="NOTE 19" sheetId="40" r:id="rId40"/>
    <sheet name="NOTE 20A" sheetId="41" r:id="rId41"/>
    <sheet name="NOTE 20B" sheetId="42" r:id="rId42"/>
    <sheet name="NOTE 21" sheetId="44" r:id="rId43"/>
    <sheet name="NOTE 22" sheetId="43" r:id="rId44"/>
    <sheet name="NOTE 23" sheetId="45" r:id="rId45"/>
    <sheet name="PG DGI" sheetId="46" r:id="rId46"/>
    <sheet name="LISTE DGI" sheetId="47" r:id="rId47"/>
    <sheet name="CHARGES 1" sheetId="48" r:id="rId48"/>
    <sheet name="CHARGES 2" sheetId="49" r:id="rId49"/>
    <sheet name="CHARGES 3" sheetId="50" r:id="rId50"/>
    <sheet name="CHARGES 4" sheetId="51" r:id="rId51"/>
    <sheet name="PRODUITS 1" sheetId="52" r:id="rId52"/>
    <sheet name="PRODUITS 2" sheetId="53" r:id="rId53"/>
    <sheet name="TVA" sheetId="54" r:id="rId54"/>
    <sheet name="STAT UEMOA" sheetId="55" r:id="rId55"/>
    <sheet name="IMMO AMORT" sheetId="56" r:id="rId56"/>
    <sheet name="FRAIS ACCES ACHATS" sheetId="57" r:id="rId57"/>
    <sheet name="AVANT NATURE" sheetId="58" r:id="rId58"/>
    <sheet name="CREANCES" sheetId="59" r:id="rId59"/>
    <sheet name="DEB_MOB_MAT_LOG" sheetId="60" r:id="rId60"/>
    <sheet name="DETTES" sheetId="61" r:id="rId61"/>
    <sheet name="CREDITEURS_DIV_IMPOT" sheetId="62" r:id="rId62"/>
    <sheet name="ETAT SALAIRES" sheetId="63" r:id="rId63"/>
    <sheet name="COMM-VACATIONS" sheetId="64" r:id="rId64"/>
    <sheet name="LOYERS" sheetId="65" r:id="rId65"/>
    <sheet name="PRINCIPAUX CLIENTS" sheetId="66" r:id="rId66"/>
    <sheet name="PRINCIPAUX FRS" sheetId="67" r:id="rId67"/>
    <sheet name="PRINCIPAUX DONATEURS" sheetId="68" r:id="rId68"/>
    <sheet name="SOMMES VERSEES AU CA" sheetId="69" r:id="rId69"/>
    <sheet name="Feuil70" sheetId="70" r:id="rId70"/>
    <sheet name="Feuil71" sheetId="71" r:id="rId71"/>
    <sheet name="Feuil72" sheetId="72" r:id="rId72"/>
    <sheet name="Feuil73" sheetId="73" r:id="rId73"/>
    <sheet name="Feuil74" sheetId="74" r:id="rId74"/>
    <sheet name="Feuil75" sheetId="75" r:id="rId75"/>
    <sheet name="Feuil76" sheetId="76" r:id="rId76"/>
    <sheet name="Feuil77" sheetId="77" r:id="rId77"/>
    <sheet name="Feuil78" sheetId="78" r:id="rId78"/>
    <sheet name="Feuil79" sheetId="79" r:id="rId79"/>
    <sheet name="Feuil80" sheetId="80" r:id="rId80"/>
    <sheet name="Feuil81" sheetId="81" r:id="rId81"/>
    <sheet name="Feuil82" sheetId="82" r:id="rId82"/>
    <sheet name="Feuil83" sheetId="83" r:id="rId83"/>
    <sheet name="Feuil84" sheetId="84" r:id="rId84"/>
    <sheet name="Feuil85" sheetId="85" r:id="rId85"/>
    <sheet name="Feuil86" sheetId="86" r:id="rId86"/>
    <sheet name="Feuil87" sheetId="87" r:id="rId87"/>
    <sheet name="Feuil88" sheetId="88" r:id="rId88"/>
    <sheet name="Feuil89" sheetId="89" r:id="rId89"/>
    <sheet name="Feuil90" sheetId="90" r:id="rId90"/>
    <sheet name="Feuil91" sheetId="91" r:id="rId91"/>
    <sheet name="Feuil92" sheetId="92" r:id="rId92"/>
    <sheet name="Feuil93" sheetId="93" r:id="rId93"/>
    <sheet name="Feuil94" sheetId="94" r:id="rId94"/>
    <sheet name="Feuil95" sheetId="95" r:id="rId95"/>
    <sheet name="Feuil96" sheetId="96" r:id="rId96"/>
    <sheet name="Feuil97" sheetId="97" r:id="rId97"/>
    <sheet name="Feuil98" sheetId="98" r:id="rId98"/>
    <sheet name="Feuil99" sheetId="99" r:id="rId99"/>
    <sheet name="Feuil100" sheetId="100" r:id="rId100"/>
    <sheet name="Feuil101" sheetId="101" r:id="rId101"/>
    <sheet name="Feuil102" sheetId="102" r:id="rId102"/>
    <sheet name="Feuil103" sheetId="103" r:id="rId103"/>
    <sheet name="Feuil104" sheetId="104" r:id="rId104"/>
    <sheet name="Feuil105" sheetId="105" r:id="rId105"/>
    <sheet name="Feuil106" sheetId="106" r:id="rId106"/>
    <sheet name="Feuil107" sheetId="107" r:id="rId107"/>
    <sheet name="Feuil108" sheetId="108" r:id="rId108"/>
    <sheet name="Feuil109" sheetId="109" r:id="rId109"/>
    <sheet name="Feuil110" sheetId="110" r:id="rId110"/>
    <sheet name="Feuil111" sheetId="111" r:id="rId111"/>
    <sheet name="Feuil112" sheetId="112" r:id="rId112"/>
    <sheet name="Feuil113" sheetId="113" r:id="rId113"/>
    <sheet name="Feuil114" sheetId="114" r:id="rId114"/>
    <sheet name="Feuil115" sheetId="115" r:id="rId115"/>
    <sheet name="Feuil116" sheetId="116" r:id="rId116"/>
    <sheet name="Feuil117" sheetId="117" r:id="rId117"/>
    <sheet name="Feuil118" sheetId="118" r:id="rId118"/>
    <sheet name="Feuil119" sheetId="119" r:id="rId119"/>
    <sheet name="Feuil120" sheetId="120" r:id="rId120"/>
    <sheet name="Feuil121" sheetId="121" r:id="rId121"/>
    <sheet name="Feuil122" sheetId="122" r:id="rId122"/>
    <sheet name="Feuil123" sheetId="123" r:id="rId123"/>
    <sheet name="Feuil124" sheetId="124" r:id="rId124"/>
    <sheet name="Feuil125" sheetId="125" r:id="rId125"/>
    <sheet name="Feuil126" sheetId="126" r:id="rId126"/>
    <sheet name="Feuil127" sheetId="127" r:id="rId127"/>
  </sheets>
  <externalReferences>
    <externalReference r:id="rId128"/>
  </externalReferences>
  <definedNames>
    <definedName name="CodeNomenclature">[1]Referentiels!$G$3:$G$98</definedName>
    <definedName name="CodePaysSiege">[1]Referentiels!$E$3:$E$33</definedName>
    <definedName name="ControleEntite">[1]Referentiels!$F$3:$F$5</definedName>
    <definedName name="FormesJuridiques">[1]Referentiels!$C$3:$C$12</definedName>
    <definedName name="RegimeFiscal">[1]Referentiels!$D$3:$D$7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9" i="58" l="1"/>
  <c r="H29" i="58"/>
  <c r="I22" i="57"/>
  <c r="G22" i="57"/>
  <c r="F22" i="57"/>
  <c r="E22" i="57"/>
  <c r="D22" i="57"/>
  <c r="C22" i="57"/>
  <c r="I22" i="56"/>
  <c r="G22" i="56"/>
  <c r="F22" i="56"/>
  <c r="E22" i="56"/>
  <c r="D22" i="56"/>
  <c r="C22" i="56"/>
  <c r="M49" i="55"/>
  <c r="F47" i="55"/>
  <c r="D47" i="55"/>
  <c r="C47" i="55"/>
  <c r="B47" i="55"/>
  <c r="M44" i="55"/>
  <c r="N38" i="55"/>
  <c r="M38" i="55"/>
  <c r="L38" i="55"/>
  <c r="K38" i="55"/>
  <c r="G11" i="45"/>
  <c r="B11" i="45"/>
  <c r="G10" i="45"/>
  <c r="B10" i="45"/>
  <c r="B9" i="45"/>
  <c r="B8" i="45"/>
  <c r="B7" i="45"/>
  <c r="H6" i="45"/>
  <c r="F6" i="45"/>
  <c r="B6" i="45"/>
  <c r="B5" i="45"/>
  <c r="B4" i="45"/>
  <c r="B3" i="45"/>
  <c r="B2" i="45"/>
  <c r="E17" i="36"/>
  <c r="C17" i="36"/>
  <c r="G11" i="36"/>
  <c r="B11" i="36"/>
  <c r="G10" i="36"/>
  <c r="B10" i="36"/>
  <c r="B9" i="36"/>
  <c r="B8" i="36"/>
  <c r="B7" i="36"/>
  <c r="H6" i="36"/>
  <c r="F6" i="36"/>
  <c r="B6" i="36"/>
  <c r="B5" i="36"/>
  <c r="B4" i="36"/>
  <c r="B3" i="36"/>
  <c r="B2" i="36"/>
  <c r="E17" i="34"/>
  <c r="C17" i="34"/>
  <c r="G35" i="32"/>
  <c r="I29" i="32"/>
  <c r="H29" i="32"/>
  <c r="G29" i="32"/>
  <c r="I23" i="32"/>
  <c r="H23" i="32"/>
  <c r="G23" i="32"/>
  <c r="D17" i="32"/>
  <c r="B17" i="32"/>
  <c r="H40" i="29"/>
  <c r="H39" i="29"/>
  <c r="H38" i="29"/>
  <c r="H37" i="29"/>
  <c r="H36" i="29"/>
  <c r="H35" i="29"/>
  <c r="H34" i="29"/>
  <c r="H33" i="29"/>
  <c r="H32" i="29"/>
  <c r="H31" i="29"/>
  <c r="H28" i="29"/>
  <c r="H27" i="29"/>
  <c r="H26" i="29"/>
  <c r="H25" i="29"/>
  <c r="H24" i="29"/>
  <c r="H23" i="29"/>
  <c r="H22" i="29"/>
  <c r="H21" i="29"/>
  <c r="H20" i="29"/>
  <c r="H19" i="29"/>
  <c r="G17" i="29"/>
  <c r="F16" i="28"/>
  <c r="D16" i="28"/>
  <c r="D16" i="26"/>
  <c r="B16" i="26"/>
  <c r="F34" i="25"/>
  <c r="D34" i="25"/>
  <c r="F18" i="25"/>
  <c r="D18" i="25"/>
  <c r="H11" i="13"/>
  <c r="H10" i="13"/>
  <c r="J6" i="13"/>
  <c r="G6" i="13"/>
  <c r="A1" i="5"/>
  <c r="A1" i="4"/>
</calcChain>
</file>

<file path=xl/sharedStrings.xml><?xml version="1.0" encoding="utf-8"?>
<sst xmlns="http://schemas.openxmlformats.org/spreadsheetml/2006/main" count="3491" uniqueCount="1731">
  <si>
    <t>IDENTIFICATION DE L'ENTITE</t>
  </si>
  <si>
    <t>Désignation de l'entité :----&gt;</t>
  </si>
  <si>
    <t>LAPAN SOFT</t>
  </si>
  <si>
    <t>(suite désignation)---------&gt;</t>
  </si>
  <si>
    <t>SUITE LAPAN SOFT</t>
  </si>
  <si>
    <t>Sigle :---------&gt;</t>
  </si>
  <si>
    <t>LS SOFT</t>
  </si>
  <si>
    <t>N° DE TELEDECLARANT (NES): ----&gt;</t>
  </si>
  <si>
    <t>453456546656456</t>
  </si>
  <si>
    <t>Adresse Postale de l'entité :---&gt;</t>
  </si>
  <si>
    <t>25 BP 1956 Tougan 25 BURKINA FASO</t>
  </si>
  <si>
    <t>[Exemple : 25 BP 1956 Tougan 25 BURKINA FASO]</t>
  </si>
  <si>
    <t>Code contribuable (IFU):----&gt;</t>
  </si>
  <si>
    <t>00153952M</t>
  </si>
  <si>
    <t xml:space="preserve">           Exercice d'établissement des états financiers : ---&gt;</t>
  </si>
  <si>
    <t>Adresse géographique------&gt;</t>
  </si>
  <si>
    <t>Lot : 124, Parcelles X, Section YI, Secteur 7 de Ouagadougou, Rue n° 7.96, Porte n° 29</t>
  </si>
  <si>
    <t>[Exemple : 132, Avenue Pays San ou Lot : 124, Parcelles X, Section YI, Secteur 7 de Ouagadougou, Rue n° 7.96, Porte n° 29]</t>
  </si>
  <si>
    <t>Exercice précédent clos le :---&gt;</t>
  </si>
  <si>
    <t xml:space="preserve">nombre de mois :---&gt; </t>
  </si>
  <si>
    <t>Exercice du (période) :-----&gt;</t>
  </si>
  <si>
    <t>01-01-2023</t>
  </si>
  <si>
    <t>au</t>
  </si>
  <si>
    <t>Nombre de mois :-&gt;</t>
  </si>
  <si>
    <t>Centre des Impôts :----&gt;</t>
  </si>
  <si>
    <t>DCI OUAGA II</t>
  </si>
  <si>
    <t>Pays :---&gt;</t>
  </si>
  <si>
    <t>BURKINA FASO</t>
  </si>
  <si>
    <t>N° Récépissé ---&gt;</t>
  </si>
  <si>
    <t>N00000123456</t>
  </si>
  <si>
    <t>N° CNSS--&gt;</t>
  </si>
  <si>
    <t>12334K</t>
  </si>
  <si>
    <t>Tel : ---&gt;</t>
  </si>
  <si>
    <t>IDENTIFICATION DU PROJET</t>
  </si>
  <si>
    <t>Désignation du projet :----&gt;</t>
  </si>
  <si>
    <t>Relèvement économique et promotion du genre dans la Région du Sahel</t>
  </si>
  <si>
    <t>et du Nord</t>
  </si>
  <si>
    <t>Sigle/abréviation du projet:---------&gt;</t>
  </si>
  <si>
    <t>REC-PRO-GEN-SANO</t>
  </si>
  <si>
    <t>Code du projet :---&gt;</t>
  </si>
  <si>
    <t>BFA-000588</t>
  </si>
  <si>
    <t>Date de début du projet :---&gt;</t>
  </si>
  <si>
    <t>Date de fin du projet :---&gt;</t>
  </si>
  <si>
    <t>SOLDE OUVERTURE</t>
  </si>
  <si>
    <t>MOUVEMENTS</t>
  </si>
  <si>
    <t>SOLDE DE CLOTURE</t>
  </si>
  <si>
    <t>Compte</t>
  </si>
  <si>
    <t>Intitule</t>
  </si>
  <si>
    <t>Solde_Ouv_Debit</t>
  </si>
  <si>
    <t>Solde_Ouv_Credit</t>
  </si>
  <si>
    <t>Mouv_Debit</t>
  </si>
  <si>
    <t>Mouv_Credit</t>
  </si>
  <si>
    <t>Solde_Fer_Debit</t>
  </si>
  <si>
    <t>Solde_Fer_Credit</t>
  </si>
  <si>
    <t>MINISTERE DE L'ECONOMIE, DES FINANCES</t>
  </si>
  <si>
    <t>ET DE LA PROSPECTIVE</t>
  </si>
  <si>
    <t>La Patrie ou la Mort, nous Vaincrons</t>
  </si>
  <si>
    <t>DIRECTION GENERALE DES IMPOTS</t>
  </si>
  <si>
    <t>CENTRE DE DEPOT :</t>
  </si>
  <si>
    <t>ETATS FINANCIERS NORMALISES
SYSTÈME COMPTABLE DES ENTITES A BUT NON LUCRATIF (SYCEBNL)</t>
  </si>
  <si>
    <t>EXERCICE CLOS LE :</t>
  </si>
  <si>
    <t>DESIGNATION DE L'ENTITE</t>
  </si>
  <si>
    <t>DENOMINATION SOCIALE :</t>
  </si>
  <si>
    <t>SIGLE USUEL :</t>
  </si>
  <si>
    <t>ADRESSE POSTALE :</t>
  </si>
  <si>
    <t>ADRESSE COMPLETE :</t>
  </si>
  <si>
    <t>TELEPHONE :</t>
  </si>
  <si>
    <t>N° Récépissé :</t>
  </si>
  <si>
    <t>N° IDENTIFICATION FISCALE :</t>
  </si>
  <si>
    <t>N° DE TELEDECLARANT (NES):</t>
  </si>
  <si>
    <t>Désignation du projet</t>
  </si>
  <si>
    <t>Sigle/abréviation du projet</t>
  </si>
  <si>
    <t>Code du projet</t>
  </si>
  <si>
    <t>Début du projet</t>
  </si>
  <si>
    <t xml:space="preserve"> Fin du projet </t>
  </si>
  <si>
    <t>SYSTÈME NORMAL</t>
  </si>
  <si>
    <t>Documents déposés</t>
  </si>
  <si>
    <t>Réservé à la Direction Générale des Impôts</t>
  </si>
  <si>
    <t>Bilan</t>
  </si>
  <si>
    <t>Date de dépôt</t>
  </si>
  <si>
    <t>Compte d'exploitation</t>
  </si>
  <si>
    <t>Tableau de réconciliation de trésorerie</t>
  </si>
  <si>
    <t>Tableau d'exécution budgétaire</t>
  </si>
  <si>
    <t>Tableau emplois-ressources</t>
  </si>
  <si>
    <t>Nom de l'agent de la DGI ayant réceptionné le dépôt</t>
  </si>
  <si>
    <t>Notes annexes</t>
  </si>
  <si>
    <t>Nombre de pages déposées par exemplaire :</t>
  </si>
  <si>
    <t>Signature de l'agent et cachet du service</t>
  </si>
  <si>
    <t>Nombre d'exemplaires déposés :</t>
  </si>
  <si>
    <t>CONDITIONS DE RECEVABILITE</t>
  </si>
  <si>
    <t>Entités utilisant des imprimés :</t>
  </si>
  <si>
    <t>N'utiliser que des imprimés normalisés</t>
  </si>
  <si>
    <t>Remplir chaque page de façon parfaitement lisible, sans décalage de lignes</t>
  </si>
  <si>
    <t>Ne créer aucune rubrique</t>
  </si>
  <si>
    <t>Eviter toute surcharge et donner les explications sur une feuille séparée</t>
  </si>
  <si>
    <t>N'utiliser que les codes indiqués dans les tables</t>
  </si>
  <si>
    <t>N'utiliser que des imprimés en noir et blanc.</t>
  </si>
  <si>
    <t>Entités produisant les états financiers à l'aide de l'outil informatique :</t>
  </si>
  <si>
    <t>Reproduire à l'identique la contexture des imprimés normalisés</t>
  </si>
  <si>
    <t>Fournir une liasse comprenant à la fois : la fiche d'identification et renseignements</t>
  </si>
  <si>
    <t>divers et les états financiers correspondant au système comptable</t>
  </si>
  <si>
    <t>Etats financiers</t>
  </si>
  <si>
    <t>Les rubriques et les postes du bilan, du Compte de résultat et du Tableau des Flux de trésorerie non chiffrés ne doivent pas être supprimés</t>
  </si>
  <si>
    <t>Les notes annexes non chiffrées doivent êtres imprimées. Cependant, elles devront être indiquées dans la Fiche récapitulative des notes.</t>
  </si>
  <si>
    <t>TABLES DES CODES</t>
  </si>
  <si>
    <r>
      <t>1 - Code forme juridique (</t>
    </r>
    <r>
      <rPr>
        <vertAlign val="superscript"/>
        <sz val="11"/>
        <color theme="1"/>
        <rFont val="Cambria"/>
        <family val="1"/>
      </rPr>
      <t>1</t>
    </r>
    <r>
      <rPr>
        <sz val="11"/>
        <color theme="1"/>
        <rFont val="Cambria"/>
        <family val="1"/>
      </rPr>
      <t>)</t>
    </r>
  </si>
  <si>
    <t>3 - Code pays du siège social</t>
  </si>
  <si>
    <t xml:space="preserve"> Société Anonyme (SA) à participation </t>
  </si>
  <si>
    <t>0</t>
  </si>
  <si>
    <r>
      <t xml:space="preserve"> Pays OHADA (</t>
    </r>
    <r>
      <rPr>
        <vertAlign val="superscript"/>
        <sz val="11"/>
        <color theme="1"/>
        <rFont val="Cambria"/>
        <family val="1"/>
      </rPr>
      <t>2</t>
    </r>
    <r>
      <rPr>
        <sz val="11"/>
        <color theme="1"/>
        <rFont val="Cambria"/>
        <family val="1"/>
      </rPr>
      <t>)</t>
    </r>
  </si>
  <si>
    <t xml:space="preserve"> publique</t>
  </si>
  <si>
    <r>
      <t xml:space="preserve"> Pays CEMAC</t>
    </r>
    <r>
      <rPr>
        <vertAlign val="superscript"/>
        <sz val="10"/>
        <rFont val="Cambria"/>
        <family val="1"/>
      </rPr>
      <t>(3)</t>
    </r>
  </si>
  <si>
    <r>
      <t xml:space="preserve"> Autres pays OHADA</t>
    </r>
    <r>
      <rPr>
        <vertAlign val="superscript"/>
        <sz val="10"/>
        <rFont val="Cambria"/>
        <family val="1"/>
      </rPr>
      <t>(4)</t>
    </r>
  </si>
  <si>
    <t xml:space="preserve"> Société Anonyme (SA)</t>
  </si>
  <si>
    <t>1</t>
  </si>
  <si>
    <t xml:space="preserve"> Afrique du Sud</t>
  </si>
  <si>
    <t xml:space="preserve"> Autres pays africains</t>
  </si>
  <si>
    <t>2</t>
  </si>
  <si>
    <t xml:space="preserve"> Société à Responsabilité Limitée (SARL)</t>
  </si>
  <si>
    <t>Suisse</t>
  </si>
  <si>
    <t xml:space="preserve"> Société en Commandite Simple (SCS)</t>
  </si>
  <si>
    <t>3</t>
  </si>
  <si>
    <t xml:space="preserve"> France</t>
  </si>
  <si>
    <t xml:space="preserve"> Société en Nom Collectif (SNC)</t>
  </si>
  <si>
    <t>4</t>
  </si>
  <si>
    <t xml:space="preserve"> Autres pays de l'Union Européenne</t>
  </si>
  <si>
    <t>9</t>
  </si>
  <si>
    <t xml:space="preserve"> Société en Participation (SP)</t>
  </si>
  <si>
    <t>5</t>
  </si>
  <si>
    <t xml:space="preserve"> U.S.A.</t>
  </si>
  <si>
    <t xml:space="preserve"> Groupement d'Intérêt Economique (GIE)</t>
  </si>
  <si>
    <t>6</t>
  </si>
  <si>
    <t xml:space="preserve"> Canada</t>
  </si>
  <si>
    <t xml:space="preserve"> Association</t>
  </si>
  <si>
    <t>7</t>
  </si>
  <si>
    <t xml:space="preserve"> Brésil</t>
  </si>
  <si>
    <t xml:space="preserve"> Autres pays américains</t>
  </si>
  <si>
    <t>Sociétés par Actions Simplifiée (SAS)</t>
  </si>
  <si>
    <t>8</t>
  </si>
  <si>
    <t xml:space="preserve"> Chine</t>
  </si>
  <si>
    <t xml:space="preserve"> Autre forme juridique (à préciser)</t>
  </si>
  <si>
    <t xml:space="preserve"> Inde</t>
  </si>
  <si>
    <t xml:space="preserve"> Liban</t>
  </si>
  <si>
    <t xml:space="preserve"> 2 - Code régime fiscal</t>
  </si>
  <si>
    <t xml:space="preserve"> Autres pays asiatiques</t>
  </si>
  <si>
    <t xml:space="preserve"> Russie</t>
  </si>
  <si>
    <t xml:space="preserve"> Réel normal</t>
  </si>
  <si>
    <t xml:space="preserve"> Autres pays</t>
  </si>
  <si>
    <t xml:space="preserve"> Réel simplifié</t>
  </si>
  <si>
    <t xml:space="preserve"> Synthétique</t>
  </si>
  <si>
    <t xml:space="preserve"> Forfait</t>
  </si>
  <si>
    <t xml:space="preserve"> Non déterminé</t>
  </si>
  <si>
    <t xml:space="preserve">  (Zone monétaire = Zone franc CFA)</t>
  </si>
  <si>
    <r>
      <t>(</t>
    </r>
    <r>
      <rPr>
        <vertAlign val="superscript"/>
        <sz val="11"/>
        <color theme="1"/>
        <rFont val="Cambria"/>
        <family val="1"/>
      </rPr>
      <t>1</t>
    </r>
    <r>
      <rPr>
        <sz val="11"/>
        <color theme="1"/>
        <rFont val="Cambria"/>
        <family val="1"/>
      </rPr>
      <t>) Remplacer le premier 0 par 1 si l'entreprise bénéficie d'un agrément prioritaire</t>
    </r>
  </si>
  <si>
    <r>
      <t>(</t>
    </r>
    <r>
      <rPr>
        <vertAlign val="superscript"/>
        <sz val="10"/>
        <rFont val="Cambria"/>
        <family val="1"/>
      </rPr>
      <t>2</t>
    </r>
    <r>
      <rPr>
        <sz val="10"/>
        <rFont val="Cambria"/>
        <family val="1"/>
      </rPr>
      <t>) Bénin = 01 ; Burkina = 02 ; Côte d'Ivoire = 03 ; Guinée Bissau = 04 ; Mali = 05 ; Niger = 06 ; Sénégal = 07 ; Togo = 08 ; 
(</t>
    </r>
    <r>
      <rPr>
        <vertAlign val="superscript"/>
        <sz val="10"/>
        <rFont val="Cambria"/>
        <family val="1"/>
      </rPr>
      <t>3</t>
    </r>
    <r>
      <rPr>
        <sz val="10"/>
        <rFont val="Cambria"/>
        <family val="1"/>
      </rPr>
      <t>) Cameroun = 09 ; Centrafricaine = 10; Congo = 11 ; Gabon = 12 ; Guinée Equatoriale = 13  ; Tchad = 14 ; 
(</t>
    </r>
    <r>
      <rPr>
        <vertAlign val="superscript"/>
        <sz val="10"/>
        <rFont val="Cambria"/>
        <family val="1"/>
      </rPr>
      <t>4</t>
    </r>
    <r>
      <rPr>
        <sz val="10"/>
        <rFont val="Cambria"/>
        <family val="1"/>
      </rPr>
      <t>) Comores = 15 ; Guinée Conakry = 16 ; Congo RDC = 17.</t>
    </r>
  </si>
  <si>
    <t>CODES ACTIVITES ECONOMIQUES</t>
  </si>
  <si>
    <t xml:space="preserve"> Agriculture vivrière</t>
  </si>
  <si>
    <t xml:space="preserve"> Industrie du tabac</t>
  </si>
  <si>
    <r>
      <t xml:space="preserve"> </t>
    </r>
    <r>
      <rPr>
        <b/>
        <sz val="11"/>
        <color theme="1"/>
        <rFont val="Cambria"/>
        <family val="1"/>
      </rPr>
      <t>Construction</t>
    </r>
  </si>
  <si>
    <t xml:space="preserve"> 001 001 Culture céréalière</t>
  </si>
  <si>
    <t xml:space="preserve"> 015 000 Industrie du tabac</t>
  </si>
  <si>
    <t xml:space="preserve"> 030 001 Préparation de sites et construction</t>
  </si>
  <si>
    <t xml:space="preserve"> 001 002 Culture de tubercules et plantains</t>
  </si>
  <si>
    <t xml:space="preserve"> Industries du textile et de l'habillement </t>
  </si>
  <si>
    <t xml:space="preserve">               d'ouvrages de bâtiment ou de génie civil</t>
  </si>
  <si>
    <t xml:space="preserve"> 001 003 Culture de légumes</t>
  </si>
  <si>
    <t xml:space="preserve"> 016 001 Industries textiles</t>
  </si>
  <si>
    <t xml:space="preserve"> 030 002 Travaux d'installation et de finition</t>
  </si>
  <si>
    <t xml:space="preserve"> 001 004 Culture de condiments</t>
  </si>
  <si>
    <t xml:space="preserve"> 016 002 Industries de l'habillement</t>
  </si>
  <si>
    <t xml:space="preserve"> Commerce</t>
  </si>
  <si>
    <t xml:space="preserve"> 001 005 Culture de fruits</t>
  </si>
  <si>
    <t xml:space="preserve"> Industries du cuir et de la chaussure</t>
  </si>
  <si>
    <t xml:space="preserve"> 031 001 Commerce de véhicules, d'accessoires</t>
  </si>
  <si>
    <t xml:space="preserve"> 001 006 Culture d'autres produits de</t>
  </si>
  <si>
    <t xml:space="preserve"> 017 001 Fabrication du cuir et d'articles </t>
  </si>
  <si>
    <t xml:space="preserve">               et de carburant</t>
  </si>
  <si>
    <t xml:space="preserve">                l'agriculture vivrière</t>
  </si>
  <si>
    <t xml:space="preserve">               en cuir</t>
  </si>
  <si>
    <t xml:space="preserve"> 031 002 Commerce de produits agricoles bruts</t>
  </si>
  <si>
    <t xml:space="preserve"> Agriculture industrielle et d'exportation</t>
  </si>
  <si>
    <t xml:space="preserve"> 017 002 Fabrication de chaussures</t>
  </si>
  <si>
    <t xml:space="preserve">               et d'animaux vivants</t>
  </si>
  <si>
    <t xml:space="preserve"> 002 001 Culture de canne à sucre</t>
  </si>
  <si>
    <t xml:space="preserve"> Industries du bois</t>
  </si>
  <si>
    <t xml:space="preserve"> 031 003 Autres commerces</t>
  </si>
  <si>
    <t xml:space="preserve"> 002 002 Culture d'arachide d'huilerie</t>
  </si>
  <si>
    <t xml:space="preserve"> 018 001 Sciage, rabotage et imprégnation</t>
  </si>
  <si>
    <t xml:space="preserve"> Réparations</t>
  </si>
  <si>
    <t xml:space="preserve"> 002 003 Culture d'arachide de bouche</t>
  </si>
  <si>
    <t xml:space="preserve">               du bois</t>
  </si>
  <si>
    <t xml:space="preserve"> 032 001 Entretien et réparation de véhicules</t>
  </si>
  <si>
    <t xml:space="preserve"> 002 004 Culture de tabac</t>
  </si>
  <si>
    <t xml:space="preserve"> 018 002 Fabrication de panneaux en bois</t>
  </si>
  <si>
    <t xml:space="preserve">               automobiles</t>
  </si>
  <si>
    <t xml:space="preserve"> 002 005 Culture de coton</t>
  </si>
  <si>
    <t xml:space="preserve"> 018 003 Fabrication d'articles en bois</t>
  </si>
  <si>
    <t xml:space="preserve"> 032 002 Réparation de biens personnels et</t>
  </si>
  <si>
    <t xml:space="preserve"> 002 006 Culture de blé</t>
  </si>
  <si>
    <t xml:space="preserve">               assemblés</t>
  </si>
  <si>
    <t xml:space="preserve">               domestiques</t>
  </si>
  <si>
    <t xml:space="preserve"> 002 007 Culture de cacao</t>
  </si>
  <si>
    <t xml:space="preserve"> Industries du papier et cartons, </t>
  </si>
  <si>
    <r>
      <t xml:space="preserve"> </t>
    </r>
    <r>
      <rPr>
        <b/>
        <sz val="11"/>
        <color theme="1"/>
        <rFont val="Cambria"/>
        <family val="1"/>
      </rPr>
      <t>Hôtels, restaurants</t>
    </r>
  </si>
  <si>
    <t xml:space="preserve"> 002 008 Culture de café</t>
  </si>
  <si>
    <t xml:space="preserve"> de l'édition et de l'imprimerie</t>
  </si>
  <si>
    <t xml:space="preserve"> 033 001 Hôtels</t>
  </si>
  <si>
    <t xml:space="preserve"> 002 009 Culture de bananes d'exportation</t>
  </si>
  <si>
    <t xml:space="preserve"> 019 001 Industries du papier et carton</t>
  </si>
  <si>
    <t xml:space="preserve"> 033 002 Bars et restaurants</t>
  </si>
  <si>
    <t xml:space="preserve"> 002 010 Culture d'ananas d'exportation</t>
  </si>
  <si>
    <t xml:space="preserve"> 019 002 Edition, imprimerie, reproduction</t>
  </si>
  <si>
    <t xml:space="preserve"> Transport et communication</t>
  </si>
  <si>
    <t xml:space="preserve"> 002 011 Autres cultures industrielles</t>
  </si>
  <si>
    <t xml:space="preserve"> Raffinage du pétrole</t>
  </si>
  <si>
    <t xml:space="preserve"> 034 001 Transports ferroviaires</t>
  </si>
  <si>
    <t xml:space="preserve"> Elevage et chasse</t>
  </si>
  <si>
    <t xml:space="preserve"> 020 000 Raffinage de pétrole</t>
  </si>
  <si>
    <t xml:space="preserve"> 034 002 Transports routiers ; transports</t>
  </si>
  <si>
    <t xml:space="preserve"> 003 001 Elevage bovin</t>
  </si>
  <si>
    <t xml:space="preserve"> Industrie chimique</t>
  </si>
  <si>
    <t xml:space="preserve">               par conduite</t>
  </si>
  <si>
    <t xml:space="preserve"> 003 002 Elevage ovin, caprin, équin</t>
  </si>
  <si>
    <t xml:space="preserve"> 021 001 Industries chimiques de base</t>
  </si>
  <si>
    <t xml:space="preserve"> 034 003 Transports par eau</t>
  </si>
  <si>
    <t xml:space="preserve"> 003 003 Elevage de volailles</t>
  </si>
  <si>
    <t xml:space="preserve"> 021 002 Fabrication de savons, de</t>
  </si>
  <si>
    <t xml:space="preserve"> 034 004 Transports aériens</t>
  </si>
  <si>
    <t xml:space="preserve"> 003 004 Autres élevages</t>
  </si>
  <si>
    <t xml:space="preserve">               détergents et de produits d'entretien</t>
  </si>
  <si>
    <t xml:space="preserve"> 034 005 Services annexes et auxiliaires de</t>
  </si>
  <si>
    <t xml:space="preserve"> 003 005 Chasse</t>
  </si>
  <si>
    <t xml:space="preserve"> 021 003 Fabrication de produits </t>
  </si>
  <si>
    <t xml:space="preserve">               transport</t>
  </si>
  <si>
    <t xml:space="preserve"> Sylviculture, exploitation forestière</t>
  </si>
  <si>
    <t xml:space="preserve">               agro-chimiques</t>
  </si>
  <si>
    <t xml:space="preserve"> Postes, télécommunications</t>
  </si>
  <si>
    <t xml:space="preserve"> 004 001 Sylviculture</t>
  </si>
  <si>
    <t xml:space="preserve"> 021 004 Industries pharmaceutiques</t>
  </si>
  <si>
    <t xml:space="preserve"> 035 001 Postes </t>
  </si>
  <si>
    <t xml:space="preserve"> 004 002 Exploitation forestière</t>
  </si>
  <si>
    <t xml:space="preserve"> 021 005 Fabrication d'autres produits chimiques</t>
  </si>
  <si>
    <t xml:space="preserve"> 035 002 Télécommunications</t>
  </si>
  <si>
    <t xml:space="preserve"> Pêche et aquaculture</t>
  </si>
  <si>
    <t xml:space="preserve"> Industries du caoutchouc et des plastiques</t>
  </si>
  <si>
    <t xml:space="preserve"> Activités financières</t>
  </si>
  <si>
    <t xml:space="preserve"> 005 001 Pêche de poissons</t>
  </si>
  <si>
    <t xml:space="preserve"> 022 001 Fabrication du caoutchouc naturel</t>
  </si>
  <si>
    <t xml:space="preserve"> 036 001 Services d'intermédiation financière</t>
  </si>
  <si>
    <t xml:space="preserve"> 005 002 Autres pêches et aquaculture</t>
  </si>
  <si>
    <t xml:space="preserve"> 022 002 Industries du caoutchouc</t>
  </si>
  <si>
    <t xml:space="preserve"> 036 002 Assurances (sauf Sécurité Sociale)</t>
  </si>
  <si>
    <t xml:space="preserve"> Industries extractives</t>
  </si>
  <si>
    <t xml:space="preserve"> 022 003 Fabrication de matières plastiques</t>
  </si>
  <si>
    <t xml:space="preserve"> 036 003 Auxiliaires financiers et d'assurances</t>
  </si>
  <si>
    <t xml:space="preserve"> 006 001 Extraction d'hydrocarbures</t>
  </si>
  <si>
    <t xml:space="preserve"> Fabrication d'autres produits minéraux non</t>
  </si>
  <si>
    <t xml:space="preserve"> Activités immobilières</t>
  </si>
  <si>
    <t xml:space="preserve"> 006 002 Extraction d'autres produits</t>
  </si>
  <si>
    <t xml:space="preserve"> métalliques et de matériaux de construction</t>
  </si>
  <si>
    <t xml:space="preserve"> 037 001 Location de biens immobiliers</t>
  </si>
  <si>
    <t xml:space="preserve"> Production de viande et de poissons</t>
  </si>
  <si>
    <t xml:space="preserve"> 023 001 Industries du verre</t>
  </si>
  <si>
    <t xml:space="preserve"> 037 002 Autre services immobiliers</t>
  </si>
  <si>
    <t xml:space="preserve"> 007 001 Production de viande et de</t>
  </si>
  <si>
    <t xml:space="preserve"> 023 002 Fabrication de produits minéraux pour</t>
  </si>
  <si>
    <t xml:space="preserve"> Services aux entreprises</t>
  </si>
  <si>
    <t xml:space="preserve">               produits à base de viande</t>
  </si>
  <si>
    <t xml:space="preserve">               la construction </t>
  </si>
  <si>
    <t xml:space="preserve"> 038 001 Locations sans opérateurs</t>
  </si>
  <si>
    <t xml:space="preserve"> 007 002 Production de poissons et de</t>
  </si>
  <si>
    <t xml:space="preserve"> 023 003 Fabrication d'autres produits minéraux</t>
  </si>
  <si>
    <t xml:space="preserve"> 038 002 Activités informatiques</t>
  </si>
  <si>
    <t xml:space="preserve">               produits à base de poissons</t>
  </si>
  <si>
    <t xml:space="preserve">               non métalliques</t>
  </si>
  <si>
    <t xml:space="preserve"> 038 003 Services rendus principalement aux</t>
  </si>
  <si>
    <t xml:space="preserve"> Travail des grains et fabrication de</t>
  </si>
  <si>
    <t xml:space="preserve"> Métallurgie et travail des métaux</t>
  </si>
  <si>
    <t xml:space="preserve">               entreprises</t>
  </si>
  <si>
    <t xml:space="preserve"> produits amylacés</t>
  </si>
  <si>
    <t xml:space="preserve"> 024 001 Métallurgie</t>
  </si>
  <si>
    <t xml:space="preserve"> Administration publique</t>
  </si>
  <si>
    <t xml:space="preserve"> 008 000 Travail des grains et fabrication</t>
  </si>
  <si>
    <t xml:space="preserve"> 024 002 Travail des métaux</t>
  </si>
  <si>
    <t xml:space="preserve"> 039 001 Administration générale, économique</t>
  </si>
  <si>
    <t xml:space="preserve">               de produits amylacés</t>
  </si>
  <si>
    <t xml:space="preserve"> Fabrication de machines, d'équipements</t>
  </si>
  <si>
    <t xml:space="preserve">               et sociale</t>
  </si>
  <si>
    <t xml:space="preserve"> Transformation du café et du cacao</t>
  </si>
  <si>
    <t xml:space="preserve"> et d'appareils électriques</t>
  </si>
  <si>
    <t xml:space="preserve"> 039 002 Services de prérogative publique</t>
  </si>
  <si>
    <t xml:space="preserve"> 009 001 Transformation du café</t>
  </si>
  <si>
    <t xml:space="preserve"> 025 001 Fabrication de machines et</t>
  </si>
  <si>
    <t xml:space="preserve"> 039 003 Sécurité Sociale obligatoire</t>
  </si>
  <si>
    <t xml:space="preserve"> 009 002 Transformation du cacao</t>
  </si>
  <si>
    <t xml:space="preserve">               d'équipements</t>
  </si>
  <si>
    <t xml:space="preserve"> Education</t>
  </si>
  <si>
    <t xml:space="preserve"> Industrie des oléagineux</t>
  </si>
  <si>
    <t xml:space="preserve"> 025 002 Fabrication de machines de bureau</t>
  </si>
  <si>
    <t xml:space="preserve"> 040 000 Education</t>
  </si>
  <si>
    <t xml:space="preserve"> 010 001 Huiles brutes et tourteaux</t>
  </si>
  <si>
    <t xml:space="preserve"> 025 003 Fabrication d'appareils électriques</t>
  </si>
  <si>
    <t xml:space="preserve"> Santé et action sociale</t>
  </si>
  <si>
    <t xml:space="preserve"> 010 002 Autres corps gras</t>
  </si>
  <si>
    <t xml:space="preserve"> Fabrication d'équipements et appareils</t>
  </si>
  <si>
    <t xml:space="preserve"> 041 001 Activités pour la santé des hommes</t>
  </si>
  <si>
    <t xml:space="preserve"> Boulangerie, pâtisserie et pâtes</t>
  </si>
  <si>
    <t xml:space="preserve"> audiovisuels et de communication ;</t>
  </si>
  <si>
    <t xml:space="preserve"> 041 002 Activités vétérinaires</t>
  </si>
  <si>
    <t xml:space="preserve"> alimentaires</t>
  </si>
  <si>
    <t xml:space="preserve"> fabrication d'instruments médicaux,</t>
  </si>
  <si>
    <t xml:space="preserve"> 041 003 Action sociale</t>
  </si>
  <si>
    <t xml:space="preserve"> 011 001 Fabrication de pains, de biscuits et </t>
  </si>
  <si>
    <t xml:space="preserve"> d'optique et d'horlogerie</t>
  </si>
  <si>
    <t xml:space="preserve"> Services collectifs, sociaux et personnels</t>
  </si>
  <si>
    <t xml:space="preserve">               de pâtisserie</t>
  </si>
  <si>
    <t xml:space="preserve"> 026 001 Fabrication d'équipements et appareils</t>
  </si>
  <si>
    <t xml:space="preserve"> 042 001 Assainissement, voirie, et gestion des</t>
  </si>
  <si>
    <t xml:space="preserve"> 011 002 Fabrication de pâtes alimentaires</t>
  </si>
  <si>
    <t xml:space="preserve">               audiovisuels et de communication</t>
  </si>
  <si>
    <t xml:space="preserve">               déchets</t>
  </si>
  <si>
    <t xml:space="preserve"> Industries laitières</t>
  </si>
  <si>
    <t xml:space="preserve"> 026 002 Fabrication d'instruments médicaux,</t>
  </si>
  <si>
    <t xml:space="preserve"> 042 002 Activités associatives</t>
  </si>
  <si>
    <t xml:space="preserve"> 012 000 Industries laitières</t>
  </si>
  <si>
    <t xml:space="preserve">               d'optique et d'horlogerie</t>
  </si>
  <si>
    <t xml:space="preserve"> 042 003 Activités récréatives, culturelles et</t>
  </si>
  <si>
    <t xml:space="preserve"> Transformation des fruits et légumes et</t>
  </si>
  <si>
    <t xml:space="preserve"> Fabrication de matériel de transport</t>
  </si>
  <si>
    <t xml:space="preserve">               sportives</t>
  </si>
  <si>
    <t xml:space="preserve"> fabrication d'autres produits alimentaires</t>
  </si>
  <si>
    <t xml:space="preserve"> 027 001 Fabrication de véhicules routiers</t>
  </si>
  <si>
    <t xml:space="preserve"> 042 004 Services personnels</t>
  </si>
  <si>
    <t xml:space="preserve"> 013 001 Fabrication de sucre</t>
  </si>
  <si>
    <t xml:space="preserve"> 027 002 Fabrication d'autres matériels de</t>
  </si>
  <si>
    <t xml:space="preserve"> 042 005 Services domestiques</t>
  </si>
  <si>
    <t xml:space="preserve"> 013 002 Fabrication de produits à base de</t>
  </si>
  <si>
    <t xml:space="preserve"> Service d'intermédiation financière</t>
  </si>
  <si>
    <t xml:space="preserve">               fruits et légumes</t>
  </si>
  <si>
    <t xml:space="preserve"> Industries diverses</t>
  </si>
  <si>
    <t xml:space="preserve"> indirectement mesuré</t>
  </si>
  <si>
    <t xml:space="preserve"> 013 003 Fabrication d'autres produits</t>
  </si>
  <si>
    <t xml:space="preserve"> 028 001 Fabrication de meubles</t>
  </si>
  <si>
    <t xml:space="preserve"> 043 000 Service d'intermédiation financière</t>
  </si>
  <si>
    <t xml:space="preserve">               alimentaires</t>
  </si>
  <si>
    <t xml:space="preserve"> 028 002 Industries diverses</t>
  </si>
  <si>
    <t xml:space="preserve">               indirectement mesuré</t>
  </si>
  <si>
    <t xml:space="preserve"> Industrie des boissons</t>
  </si>
  <si>
    <t xml:space="preserve"> Production et distribution d'eau,</t>
  </si>
  <si>
    <t xml:space="preserve"> Correction territoriale</t>
  </si>
  <si>
    <t xml:space="preserve"> 014 001 Brasseries et malteries</t>
  </si>
  <si>
    <t xml:space="preserve"> d'électricité et de gaz </t>
  </si>
  <si>
    <t xml:space="preserve"> 044 000 Correction territoriale</t>
  </si>
  <si>
    <t xml:space="preserve"> 014 002 Fabrication d'autres boissons</t>
  </si>
  <si>
    <t xml:space="preserve"> 029 001 Production, transport et</t>
  </si>
  <si>
    <t xml:space="preserve">               alcoolisées</t>
  </si>
  <si>
    <t xml:space="preserve">               distribution d'électricité</t>
  </si>
  <si>
    <t xml:space="preserve"> 014 003 Fabrication de boissons non</t>
  </si>
  <si>
    <t xml:space="preserve"> 029 002 Captage, épuration et distribution d'eau</t>
  </si>
  <si>
    <t xml:space="preserve">               alcoolisées et d'eaux minérales</t>
  </si>
  <si>
    <t xml:space="preserve"> 029 003 Production et distribution de gaz</t>
  </si>
  <si>
    <t>- 1 -</t>
  </si>
  <si>
    <t>FICHE D'IDENTIFICATION ET RENSEIGNEMENTS DIVERS 1</t>
  </si>
  <si>
    <t>Dénomination sociale de l'entité :</t>
  </si>
  <si>
    <t>Sigle usuel :</t>
  </si>
  <si>
    <t>Adresse :</t>
  </si>
  <si>
    <t>N° d'identification fiscale :</t>
  </si>
  <si>
    <t>Exercice clos le :</t>
  </si>
  <si>
    <t>Durée (en mois) :</t>
  </si>
  <si>
    <t>N° de télédéclarant (NES) :</t>
  </si>
  <si>
    <t>ZA</t>
  </si>
  <si>
    <t xml:space="preserve"> EXERCICE COMPTABLE :</t>
  </si>
  <si>
    <t>DU</t>
  </si>
  <si>
    <t>AU</t>
  </si>
  <si>
    <t>ZB</t>
  </si>
  <si>
    <t xml:space="preserve"> DATE D'ARRETE EFFECTIF DES COMPTES :</t>
  </si>
  <si>
    <t>ZD</t>
  </si>
  <si>
    <t>ZC</t>
  </si>
  <si>
    <t xml:space="preserve"> EXERCICE PRECEDENT CLOS LE :</t>
  </si>
  <si>
    <t xml:space="preserve"> DUREE EXERCICE PRECEDENT EN MOIS :</t>
  </si>
  <si>
    <t>ZE</t>
  </si>
  <si>
    <t>ZF</t>
  </si>
  <si>
    <t>Greffe</t>
  </si>
  <si>
    <t>N° Récépissé</t>
  </si>
  <si>
    <t>Réf. Convention d'établissement</t>
  </si>
  <si>
    <t>ZG</t>
  </si>
  <si>
    <t>ZH</t>
  </si>
  <si>
    <t>ZI</t>
  </si>
  <si>
    <t>N° de caisse sociale</t>
  </si>
  <si>
    <t>N° Code Importateur</t>
  </si>
  <si>
    <t>Code activité principale</t>
  </si>
  <si>
    <t>ZJ</t>
  </si>
  <si>
    <t>Désignation de l'entité</t>
  </si>
  <si>
    <t>Sigle</t>
  </si>
  <si>
    <t>ZK</t>
  </si>
  <si>
    <t>N° de téléphone</t>
  </si>
  <si>
    <t>email</t>
  </si>
  <si>
    <t>Code</t>
  </si>
  <si>
    <t>Boite Postale</t>
  </si>
  <si>
    <t>Ville</t>
  </si>
  <si>
    <t>ZL</t>
  </si>
  <si>
    <t>Adresse géographique complète (Immeuble, rue, quartier, ville, pays)</t>
  </si>
  <si>
    <t>ZN</t>
  </si>
  <si>
    <t>ZM</t>
  </si>
  <si>
    <t>Désignation précise de l'activité principale exercée par l'entité</t>
  </si>
  <si>
    <t>% Capacité utile</t>
  </si>
  <si>
    <t>Nom, adresse et qualité de la personne à contacter en cas de demande d'informations complémentaires.</t>
  </si>
  <si>
    <t>ZO</t>
  </si>
  <si>
    <t>Nom</t>
  </si>
  <si>
    <t>Adresse</t>
  </si>
  <si>
    <t>Téléphone</t>
  </si>
  <si>
    <t>Adresse email</t>
  </si>
  <si>
    <t>Qualité</t>
  </si>
  <si>
    <t>Nom du professionnel salarié de l'entreprise ou Nom, adresse et téléphone du cabinet comptable ou du professionnel INSCRIT A L'ORDRE NATIONAL
DES EXPERTS COMPTABLES ET DES COMPTABLES AGREES ayant établi les états financiers.</t>
  </si>
  <si>
    <t>ZP</t>
  </si>
  <si>
    <t>ZQ</t>
  </si>
  <si>
    <t>ZR</t>
  </si>
  <si>
    <t>Nom, adresse, téléphone, e-mail et numéro d'inscription à l'Ordre des Experts-comptables
du commissariat aux comptes ayant délivré l'attestation d'exécution de la mission</t>
  </si>
  <si>
    <t>ZS</t>
  </si>
  <si>
    <t>Visa de l'Expert comptable ou du Comptable agréé</t>
  </si>
  <si>
    <t>Etats financiers approuvés par l'Assemblée Générale (Oui/Non)</t>
  </si>
  <si>
    <t>NON</t>
  </si>
  <si>
    <t>ZW</t>
  </si>
  <si>
    <t>ZT</t>
  </si>
  <si>
    <t>Domiciliations bancaires :</t>
  </si>
  <si>
    <t>Nom du signataire des états financiers</t>
  </si>
  <si>
    <t>Banque :</t>
  </si>
  <si>
    <t>Numéro de compte</t>
  </si>
  <si>
    <t>ZU</t>
  </si>
  <si>
    <t>Qualité du signataire des états financiers</t>
  </si>
  <si>
    <t>ZV</t>
  </si>
  <si>
    <t>Date de  signature</t>
  </si>
  <si>
    <t>Signature</t>
  </si>
  <si>
    <t>- 2 -</t>
  </si>
  <si>
    <t>FICHE D'IDENTIFICATION ET RENSEIGNEMENTS DIVERS 2</t>
  </si>
  <si>
    <t>Contrôle de l'entité (sélectionnez dans la liste)</t>
  </si>
  <si>
    <t>ZX</t>
  </si>
  <si>
    <r>
      <t>Forme juridique (</t>
    </r>
    <r>
      <rPr>
        <vertAlign val="superscript"/>
        <sz val="11"/>
        <color theme="1"/>
        <rFont val="Cambria"/>
        <family val="1"/>
      </rPr>
      <t>1</t>
    </r>
    <r>
      <rPr>
        <sz val="11"/>
        <color theme="1"/>
        <rFont val="Cambria"/>
        <family val="1"/>
      </rPr>
      <t>) :</t>
    </r>
  </si>
  <si>
    <t>ZY</t>
  </si>
  <si>
    <r>
      <t>Régime fiscal (</t>
    </r>
    <r>
      <rPr>
        <vertAlign val="superscript"/>
        <sz val="11"/>
        <color theme="1"/>
        <rFont val="Cambria"/>
        <family val="1"/>
      </rPr>
      <t>1</t>
    </r>
    <r>
      <rPr>
        <sz val="11"/>
        <color theme="1"/>
        <rFont val="Cambria"/>
        <family val="1"/>
      </rPr>
      <t>) :</t>
    </r>
  </si>
  <si>
    <t>ZZ7 - Entité sous contrôle privé étranger</t>
  </si>
  <si>
    <t>ZZ1</t>
  </si>
  <si>
    <r>
      <t>Pays du siège social (</t>
    </r>
    <r>
      <rPr>
        <vertAlign val="superscript"/>
        <sz val="11"/>
        <color theme="1"/>
        <rFont val="Cambria"/>
        <family val="1"/>
      </rPr>
      <t>1</t>
    </r>
    <r>
      <rPr>
        <sz val="11"/>
        <color theme="1"/>
        <rFont val="Cambria"/>
        <family val="1"/>
      </rPr>
      <t>) :</t>
    </r>
  </si>
  <si>
    <t>ZZ2</t>
  </si>
  <si>
    <t>Nombre d'établissements dans le pays :</t>
  </si>
  <si>
    <t>ZZ3</t>
  </si>
  <si>
    <t xml:space="preserve">Nombre d'établissements hors du pays pour </t>
  </si>
  <si>
    <t>lesquels une comptabilité distincte est tenue :</t>
  </si>
  <si>
    <t>ZZ4</t>
  </si>
  <si>
    <t>Première année d'exercice dans le pays :</t>
  </si>
  <si>
    <r>
      <rPr>
        <vertAlign val="superscript"/>
        <sz val="10"/>
        <color theme="1"/>
        <rFont val="Cambria"/>
        <family val="1"/>
      </rPr>
      <t>(1)</t>
    </r>
    <r>
      <rPr>
        <sz val="10"/>
        <color theme="1"/>
        <rFont val="Cambria"/>
        <family val="1"/>
      </rPr>
      <t xml:space="preserve"> Table Codes</t>
    </r>
  </si>
  <si>
    <t>- 3 -</t>
  </si>
  <si>
    <t>FICHE D'IDENTIFICATION ET RENSEIGNEMENTS DIVERS 3</t>
  </si>
  <si>
    <t xml:space="preserve">Exercice clos le :   </t>
  </si>
  <si>
    <r>
      <t xml:space="preserve">DIRIGEANTS </t>
    </r>
    <r>
      <rPr>
        <b/>
        <vertAlign val="superscript"/>
        <sz val="11"/>
        <rFont val="Cambria"/>
        <family val="1"/>
      </rPr>
      <t>(1</t>
    </r>
    <r>
      <rPr>
        <vertAlign val="superscript"/>
        <sz val="11"/>
        <color theme="1"/>
        <rFont val="Cambria"/>
        <family val="1"/>
      </rPr>
      <t>)</t>
    </r>
  </si>
  <si>
    <t>Nom &amp; Prénoms</t>
  </si>
  <si>
    <r>
      <t>Nationalité</t>
    </r>
    <r>
      <rPr>
        <vertAlign val="superscript"/>
        <sz val="8"/>
        <rFont val="Cambria"/>
        <family val="1"/>
      </rPr>
      <t>(2)</t>
    </r>
  </si>
  <si>
    <t>Autres
nationalités
(à préciser) (2)</t>
  </si>
  <si>
    <t>N° d'identification fiscale</t>
  </si>
  <si>
    <t>Adresse (BP, ville, pays, géographique, email)</t>
  </si>
  <si>
    <r>
      <t>(</t>
    </r>
    <r>
      <rPr>
        <vertAlign val="superscript"/>
        <sz val="9"/>
        <color theme="1"/>
        <rFont val="Cambria"/>
        <family val="1"/>
      </rPr>
      <t>1</t>
    </r>
    <r>
      <rPr>
        <sz val="9"/>
        <color theme="1"/>
        <rFont val="Cambria"/>
        <family val="1"/>
      </rPr>
      <t>) Premiers responsables</t>
    </r>
  </si>
  <si>
    <r>
      <t>(</t>
    </r>
    <r>
      <rPr>
        <vertAlign val="superscript"/>
        <sz val="9"/>
        <rFont val="Cambria"/>
        <family val="1"/>
      </rPr>
      <t>2</t>
    </r>
    <r>
      <rPr>
        <sz val="9"/>
        <rFont val="Cambria"/>
        <family val="1"/>
      </rPr>
      <t>) Autres nationalités à précise en cas de double nationalité</t>
    </r>
  </si>
  <si>
    <r>
      <t xml:space="preserve">MEMBRES DU CONSEIL D'ADMINISTRATION </t>
    </r>
    <r>
      <rPr>
        <b/>
        <vertAlign val="superscript"/>
        <sz val="11"/>
        <rFont val="Cambria"/>
        <family val="1"/>
      </rPr>
      <t>(3)</t>
    </r>
  </si>
  <si>
    <t>Structure représentée</t>
  </si>
  <si>
    <r>
      <t>(</t>
    </r>
    <r>
      <rPr>
        <vertAlign val="superscript"/>
        <sz val="9"/>
        <rFont val="Cambria"/>
        <family val="1"/>
      </rPr>
      <t>3</t>
    </r>
    <r>
      <rPr>
        <sz val="9"/>
        <rFont val="Cambria"/>
        <family val="1"/>
      </rPr>
      <t>) Si applicable</t>
    </r>
  </si>
  <si>
    <t>BILAN</t>
  </si>
  <si>
    <t>Dénomination de l'entité :</t>
  </si>
  <si>
    <t>Durée (en mois)  :</t>
  </si>
  <si>
    <t>Désignation du projet :</t>
  </si>
  <si>
    <t>Code du projet :</t>
  </si>
  <si>
    <t>Sigle/abréviation du projet :</t>
  </si>
  <si>
    <t>Date de début du projet :</t>
  </si>
  <si>
    <t>Date de fin du projet :</t>
  </si>
  <si>
    <t>REF</t>
  </si>
  <si>
    <t>ACTIF</t>
  </si>
  <si>
    <t>Note</t>
  </si>
  <si>
    <t>EXERCICE AU</t>
  </si>
  <si>
    <t>PASSIF</t>
  </si>
  <si>
    <t>Brut</t>
  </si>
  <si>
    <t>AA</t>
  </si>
  <si>
    <t>Immobilisations incorporelles</t>
  </si>
  <si>
    <t>CA</t>
  </si>
  <si>
    <t>Fonds affectés aux investissements</t>
  </si>
  <si>
    <t>AB</t>
  </si>
  <si>
    <t>Terrains et bâtiment</t>
  </si>
  <si>
    <t>CB</t>
  </si>
  <si>
    <t>Report à nouveau (+ ou -)</t>
  </si>
  <si>
    <t>AC</t>
  </si>
  <si>
    <t>Aménagements, agencements et installations</t>
  </si>
  <si>
    <t>CC</t>
  </si>
  <si>
    <t>Solde des opérations de l'exercice (excédent + ou déficit -)</t>
  </si>
  <si>
    <t>AD</t>
  </si>
  <si>
    <t>Matériel, mobilier et actifs biologiques</t>
  </si>
  <si>
    <t>CD</t>
  </si>
  <si>
    <t>Subventions d'investissement</t>
  </si>
  <si>
    <t>AE</t>
  </si>
  <si>
    <t>Matériel de transport</t>
  </si>
  <si>
    <t>CZ</t>
  </si>
  <si>
    <t>TOTAL RESSOURCES PROPRES ET ASSIMILEES</t>
  </si>
  <si>
    <t>AF</t>
  </si>
  <si>
    <t>Avances et acomptes versés sur immobilisations</t>
  </si>
  <si>
    <t>DA</t>
  </si>
  <si>
    <t>Emprunts et dettes assimilées</t>
  </si>
  <si>
    <t>AG</t>
  </si>
  <si>
    <t>Dépots et cautionnements</t>
  </si>
  <si>
    <t>DB</t>
  </si>
  <si>
    <t>Provisions pour risques et charges</t>
  </si>
  <si>
    <t>AH</t>
  </si>
  <si>
    <t>Autres immobilisations corporelles et financières</t>
  </si>
  <si>
    <t>DC</t>
  </si>
  <si>
    <t>TOTAL DETTES FINANCIERES ET RESSOURCES ASSIMILEES</t>
  </si>
  <si>
    <t>AZ</t>
  </si>
  <si>
    <t>TOTAL ACTIF IMMOBILISE</t>
  </si>
  <si>
    <t>DD</t>
  </si>
  <si>
    <t>TOTAL RESSOURCES STABLES</t>
  </si>
  <si>
    <t>BA</t>
  </si>
  <si>
    <t>Actif circulant HAO</t>
  </si>
  <si>
    <t>DE</t>
  </si>
  <si>
    <t>Dettes circulantes HAO</t>
  </si>
  <si>
    <t>BB</t>
  </si>
  <si>
    <t>Stocks et encours</t>
  </si>
  <si>
    <t>DF</t>
  </si>
  <si>
    <t>Fonds d'administration</t>
  </si>
  <si>
    <t>BC</t>
  </si>
  <si>
    <t>Fournisseurs débiteurs</t>
  </si>
  <si>
    <t>DG</t>
  </si>
  <si>
    <t>Fournisseurs</t>
  </si>
  <si>
    <t>BD</t>
  </si>
  <si>
    <t>Clients-usagers</t>
  </si>
  <si>
    <t>DH</t>
  </si>
  <si>
    <t>Autres dettes</t>
  </si>
  <si>
    <t>BE</t>
  </si>
  <si>
    <t>Autres créances</t>
  </si>
  <si>
    <t>BF</t>
  </si>
  <si>
    <t>TOTAL ACTIF CIRCULANT</t>
  </si>
  <si>
    <t>DJ</t>
  </si>
  <si>
    <t>TOTAL PASSIF CIRCULANT</t>
  </si>
  <si>
    <t>BV</t>
  </si>
  <si>
    <t>Valeurs à encaisser</t>
  </si>
  <si>
    <t>BW</t>
  </si>
  <si>
    <t>Banques, établissements financiers, caisses et assimilés</t>
  </si>
  <si>
    <t>DW</t>
  </si>
  <si>
    <t>Banques, établissements financiers et crédits de trésorerie</t>
  </si>
  <si>
    <t>BX</t>
  </si>
  <si>
    <t>TOTAL TRESORERIE ACTIF</t>
  </si>
  <si>
    <t>DX</t>
  </si>
  <si>
    <t>TOTAL TRESORERIE PASSIF</t>
  </si>
  <si>
    <t>BY</t>
  </si>
  <si>
    <t>Ecart de conversion-Actif</t>
  </si>
  <si>
    <t>DY</t>
  </si>
  <si>
    <t>Ecart de conversion-Passif</t>
  </si>
  <si>
    <t>BZ</t>
  </si>
  <si>
    <t>TOTAL GENERAL</t>
  </si>
  <si>
    <t>DZ</t>
  </si>
  <si>
    <t>COMPTE 
D'EXPLOITATION</t>
  </si>
  <si>
    <t>COMPTE D'EXPLOITATION</t>
  </si>
  <si>
    <t>LIBELLES</t>
  </si>
  <si>
    <t>NOTE</t>
  </si>
  <si>
    <t>NET</t>
  </si>
  <si>
    <t>RA</t>
  </si>
  <si>
    <t>Fonds d'administration consommés</t>
  </si>
  <si>
    <t>RB</t>
  </si>
  <si>
    <t>Ventes de marchandises, produits finis et prestations de services</t>
  </si>
  <si>
    <t>RC</t>
  </si>
  <si>
    <t>Subventions d'exploitation</t>
  </si>
  <si>
    <t>RD</t>
  </si>
  <si>
    <t>Autres produits et transferts de charges</t>
  </si>
  <si>
    <t>RE</t>
  </si>
  <si>
    <t>Reprises de provisions</t>
  </si>
  <si>
    <t>XA</t>
  </si>
  <si>
    <t>REVENUS (Somme RA à RE)</t>
  </si>
  <si>
    <t>TA</t>
  </si>
  <si>
    <t>Achats de biens, marchandises, matières premières et fournitures liées</t>
  </si>
  <si>
    <t>TB</t>
  </si>
  <si>
    <t>Autres achats</t>
  </si>
  <si>
    <t>TC</t>
  </si>
  <si>
    <t>Variation de stocks de biens, marchandises, matières et fournitures et autres</t>
  </si>
  <si>
    <t>TD</t>
  </si>
  <si>
    <t>Transports</t>
  </si>
  <si>
    <t>TG</t>
  </si>
  <si>
    <t>Services extérieurs</t>
  </si>
  <si>
    <t>TH</t>
  </si>
  <si>
    <t>Impôts et taxes</t>
  </si>
  <si>
    <t>TI</t>
  </si>
  <si>
    <t>Autres charges</t>
  </si>
  <si>
    <t>TJ</t>
  </si>
  <si>
    <t>Charges de personnel</t>
  </si>
  <si>
    <t>TK</t>
  </si>
  <si>
    <t>Frais financiers et charges assimilées</t>
  </si>
  <si>
    <t>TL</t>
  </si>
  <si>
    <t>Dotations aux provisions</t>
  </si>
  <si>
    <t>TM</t>
  </si>
  <si>
    <t>Produits HAO</t>
  </si>
  <si>
    <t>TN</t>
  </si>
  <si>
    <t>Charges HAO</t>
  </si>
  <si>
    <t>XB</t>
  </si>
  <si>
    <t>CHARGES DE FONCTIONNEMENT (Somme TA à TN)</t>
  </si>
  <si>
    <t>XC</t>
  </si>
  <si>
    <t>SOLDE DES OPERATIONS DE L'EXERCICE (+excédent, -déficit) (XA+XB)</t>
  </si>
  <si>
    <t>TABLEAU EMPLOIS RESSOURCES</t>
  </si>
  <si>
    <t>DESIGNATION</t>
  </si>
  <si>
    <t>SOLDE CUMULE DEBUT EXERCICE 2023</t>
  </si>
  <si>
    <t>EXERCICE 2023</t>
  </si>
  <si>
    <t>SOLDE CUMULE FIN EXERCICE 2023</t>
  </si>
  <si>
    <t>FA</t>
  </si>
  <si>
    <t>Fonds reçus, Bailleurs</t>
  </si>
  <si>
    <t>FB</t>
  </si>
  <si>
    <t>FC</t>
  </si>
  <si>
    <t>Fonds contrepartie Etat</t>
  </si>
  <si>
    <t>FD</t>
  </si>
  <si>
    <t>Autres fonds reçus</t>
  </si>
  <si>
    <t>GR</t>
  </si>
  <si>
    <t>I. RESSOURCES</t>
  </si>
  <si>
    <t>FE</t>
  </si>
  <si>
    <t>Immobilisations corporelles</t>
  </si>
  <si>
    <t>FF</t>
  </si>
  <si>
    <t>Terrains</t>
  </si>
  <si>
    <t>FG</t>
  </si>
  <si>
    <t>Bâtiments</t>
  </si>
  <si>
    <t>FH</t>
  </si>
  <si>
    <t>FI</t>
  </si>
  <si>
    <t>FJ</t>
  </si>
  <si>
    <t>FK</t>
  </si>
  <si>
    <t>Avances et acomptes sur immobilisations</t>
  </si>
  <si>
    <t>FL</t>
  </si>
  <si>
    <t>Immobilisations financières</t>
  </si>
  <si>
    <t>GS</t>
  </si>
  <si>
    <t>A - TOTAL DES IMMOBILISATIONS</t>
  </si>
  <si>
    <t>FM</t>
  </si>
  <si>
    <t>Achats de biens et services</t>
  </si>
  <si>
    <t>FN</t>
  </si>
  <si>
    <t>FO</t>
  </si>
  <si>
    <t>FP</t>
  </si>
  <si>
    <t>FQ</t>
  </si>
  <si>
    <t>FR</t>
  </si>
  <si>
    <t>FS</t>
  </si>
  <si>
    <t>Charges financières</t>
  </si>
  <si>
    <t>FT</t>
  </si>
  <si>
    <t>Avances sur charges (à justifier)</t>
  </si>
  <si>
    <t>GT</t>
  </si>
  <si>
    <t>B - TOTAL DES CHARGES DE FONCTIONNEMENT</t>
  </si>
  <si>
    <t>GU</t>
  </si>
  <si>
    <t>II. EMPLOIS (A+B)</t>
  </si>
  <si>
    <t>GV</t>
  </si>
  <si>
    <t>III. EXCEDENT / DEFICIT DES FONDS RECUS SUR LES EMPLOIS (I-II)</t>
  </si>
  <si>
    <t>FU</t>
  </si>
  <si>
    <t>Fonds Bailleur en début exercice N</t>
  </si>
  <si>
    <t>FV</t>
  </si>
  <si>
    <t>Fonds de contrepartie Etat en début exercice N</t>
  </si>
  <si>
    <t>FW</t>
  </si>
  <si>
    <t>Autres fonds en début exercice N</t>
  </si>
  <si>
    <t>GW</t>
  </si>
  <si>
    <t>IV. FONDS DISPONIBLE EN DEBUT EXERCICE</t>
  </si>
  <si>
    <t>GX</t>
  </si>
  <si>
    <t>V. MONTANT NET DE L'ENCAISSE DISPONIBLE (III+IV)</t>
  </si>
  <si>
    <t>FX</t>
  </si>
  <si>
    <t>Fonds Bailleur en fin exercice N</t>
  </si>
  <si>
    <t>FY</t>
  </si>
  <si>
    <t>Fonds de contrepartie Etat en fin exercice N</t>
  </si>
  <si>
    <t>FZ</t>
  </si>
  <si>
    <t>Autres fonds en fin exercice N</t>
  </si>
  <si>
    <t>GY</t>
  </si>
  <si>
    <t>VI. FONDS DISPONIBLE EN FIN EXERCICE</t>
  </si>
  <si>
    <t>GZ</t>
  </si>
  <si>
    <t>VII. CONTRÔLE : TOTAL V = TOTAL VI</t>
  </si>
  <si>
    <t>TABLEAU D'EXECUTION BUDGETAIRE</t>
  </si>
  <si>
    <t>Code(1)</t>
  </si>
  <si>
    <t>Libellé (1)</t>
  </si>
  <si>
    <t>Budget de l'exercice</t>
  </si>
  <si>
    <t>Décaissement</t>
  </si>
  <si>
    <t>Engagement</t>
  </si>
  <si>
    <t>Réalisation</t>
  </si>
  <si>
    <t>Crédit Disponible</t>
  </si>
  <si>
    <t>Exécution budget (%)</t>
  </si>
  <si>
    <t>4=2+3</t>
  </si>
  <si>
    <t>5=1-4</t>
  </si>
  <si>
    <t>4/1</t>
  </si>
  <si>
    <t>(1) Remplir, code et libellé, suivant la nomenclature budgétaire du projet</t>
  </si>
  <si>
    <t>TABLEAU DE RECONCILIATION DE LA TRESORERIE</t>
  </si>
  <si>
    <t>LIBELLE</t>
  </si>
  <si>
    <t>MONTANT</t>
  </si>
  <si>
    <t>TRESORERIE EN DEBUT EXERCICE N</t>
  </si>
  <si>
    <t>A</t>
  </si>
  <si>
    <t>FONDS RECUS DES BAILLEURS AU COURS DE L'EXERCICE N</t>
  </si>
  <si>
    <t>B</t>
  </si>
  <si>
    <t>INTERETS RECUS AU COURS DE L'EXERCICE N</t>
  </si>
  <si>
    <t>C</t>
  </si>
  <si>
    <t>AUTRES FONDS RECUS AU COURS DE L'EXERCICE N</t>
  </si>
  <si>
    <t>D</t>
  </si>
  <si>
    <t>VIREMENTS SUR COMPTES OPERATIONNELS</t>
  </si>
  <si>
    <t>E</t>
  </si>
  <si>
    <t>DPENSES DE L'EXERCICE N</t>
  </si>
  <si>
    <t>F</t>
  </si>
  <si>
    <t>TRESORERIE EN FIN D'EXERCICE N (A+B+C+D-E-G)</t>
  </si>
  <si>
    <t>G</t>
  </si>
  <si>
    <t>PAIEMENTS EN INSTANCE</t>
  </si>
  <si>
    <t>H</t>
  </si>
  <si>
    <t>TRESORERIE NET DES PAIEMENTS EN INSTANCE (G-H)</t>
  </si>
  <si>
    <t>I</t>
  </si>
  <si>
    <t>OUAGA</t>
  </si>
  <si>
    <t>NOTES</t>
  </si>
  <si>
    <t>NOTES ANNEXES</t>
  </si>
  <si>
    <t>INTITULES</t>
  </si>
  <si>
    <t>N/A</t>
  </si>
  <si>
    <t>Partie 1 : Information générales</t>
  </si>
  <si>
    <t>Note 1</t>
  </si>
  <si>
    <t>Informations obligatoires</t>
  </si>
  <si>
    <t>X</t>
  </si>
  <si>
    <t/>
  </si>
  <si>
    <t>Partie 2 : Informations spécifiques</t>
  </si>
  <si>
    <t>Note 2</t>
  </si>
  <si>
    <t>Informations spécifiques</t>
  </si>
  <si>
    <t>Partie 3 : Notes sur Bilan</t>
  </si>
  <si>
    <t>Note 3A</t>
  </si>
  <si>
    <t>Immobilisations brutes</t>
  </si>
  <si>
    <t>Note 3B</t>
  </si>
  <si>
    <t>Biens pris en location-acquisition</t>
  </si>
  <si>
    <t>Note 4</t>
  </si>
  <si>
    <t>Actif circulant et dettes circulantes HAO</t>
  </si>
  <si>
    <t>Note 5</t>
  </si>
  <si>
    <t>Note 6</t>
  </si>
  <si>
    <t>Clients - usagers et autres créances</t>
  </si>
  <si>
    <t>Note 7</t>
  </si>
  <si>
    <t>Disponibilités</t>
  </si>
  <si>
    <t>Note 8</t>
  </si>
  <si>
    <t>Ecarts de conversion</t>
  </si>
  <si>
    <t>Note 9</t>
  </si>
  <si>
    <t>Fonds du bailleur</t>
  </si>
  <si>
    <t>Note 10</t>
  </si>
  <si>
    <t>Subventions</t>
  </si>
  <si>
    <t>Note 11</t>
  </si>
  <si>
    <t>Dettes financières et ressources assimilées</t>
  </si>
  <si>
    <t>Note 12</t>
  </si>
  <si>
    <t>Dettes fournisseurs et assimilées, fiscales et sociales</t>
  </si>
  <si>
    <t>Note 13</t>
  </si>
  <si>
    <t>Banques, crédit d'escompte et trésorerie</t>
  </si>
  <si>
    <t>Partie 4 : Notes sur le Compte d'exploitation</t>
  </si>
  <si>
    <t>Note 14</t>
  </si>
  <si>
    <t>Revenus et autres produits</t>
  </si>
  <si>
    <t>Note 15</t>
  </si>
  <si>
    <t>Achats</t>
  </si>
  <si>
    <t>Note 16</t>
  </si>
  <si>
    <t>Note 17</t>
  </si>
  <si>
    <t>Note 18</t>
  </si>
  <si>
    <t>Impots et taxes</t>
  </si>
  <si>
    <t>Note 19</t>
  </si>
  <si>
    <t>Note 20A</t>
  </si>
  <si>
    <t>Note 20B</t>
  </si>
  <si>
    <t>Effectifs, masse salariale et personnel extérieur</t>
  </si>
  <si>
    <t>Note 21</t>
  </si>
  <si>
    <t>Charges et revenus financiers</t>
  </si>
  <si>
    <t>Note 22</t>
  </si>
  <si>
    <t>Dotations et charges pour provisions</t>
  </si>
  <si>
    <t>Note 23</t>
  </si>
  <si>
    <t>Autres charges et produits HAO</t>
  </si>
  <si>
    <r>
      <rPr>
        <vertAlign val="superscript"/>
        <sz val="9"/>
        <color theme="1"/>
        <rFont val="Cambria"/>
        <family val="1"/>
      </rPr>
      <t xml:space="preserve">(1) </t>
    </r>
    <r>
      <rPr>
        <sz val="9"/>
        <color theme="1"/>
        <rFont val="Cambria"/>
        <family val="1"/>
      </rPr>
      <t>les Notes non documentées ne doivent pas être jointes aux états financiers. Leur contenu peut être amélioré par les entités. Par ailleurs, dans une note, les lignes non chriffrées doivent être supprimées. Par exemple, dans la Note 16 Services extérieurs, lorsque la ligne sous-traitance générale n'est pas chiffrée, elle ne doit pas figurer dans cette note.</t>
    </r>
  </si>
  <si>
    <t>A : Applicable               N/A: Non applicable.</t>
  </si>
  <si>
    <t>Par exemple pour une entité qui n'a pas de stocks et en-cours, elle doit cocher à l'intersection ('ligne "Note 5" &amp; "colonne N/A")</t>
  </si>
  <si>
    <t>NOTE 1</t>
  </si>
  <si>
    <t>INFORMATIONS OBLIGATOIRES</t>
  </si>
  <si>
    <t>A - IDENTITE, ORGANISATION</t>
  </si>
  <si>
    <t>L'entité doit : 
- décrire brièvement l'identité de l'entité (date de création, nature du projet associatif, activité ou mission réalisée)
- décrire brièvement l'organisation de l'entité avec des données chiffrées (effectifs, nombre de bénévoles, total des revenus, moyens utilisés)</t>
  </si>
  <si>
    <t>B- DECLARATION DE CONFORMITE AU SYSTÈME COMPTABLE DES ENTITES A BUT NON LUCRATIF ET FAITS MARQUANTS DE L'EXERCICE</t>
  </si>
  <si>
    <t>C - REGLES, METHODES COMPTABLES ET DEROGATION AUX PRINCIPES COMPTABLES</t>
  </si>
  <si>
    <t>D - INFORMATIONS COMPLEMENTAIRES RELATIVES AU BILAN ET AU COMPTE D'EXPLOITATION</t>
  </si>
  <si>
    <t>NOTE 2</t>
  </si>
  <si>
    <t>INFORMATIONS SPECIFIQUES</t>
  </si>
  <si>
    <t>A - TABLEAU EMPLOIS RESSOURCES</t>
  </si>
  <si>
    <t>B - TABLEAU D'EXECUTION BUDGETAIRE</t>
  </si>
  <si>
    <t>C - TABLEAU DE RECONCILIATION DE TRESORERIE</t>
  </si>
  <si>
    <t>NOTE 3A</t>
  </si>
  <si>
    <t>IMMOBILISATIONS BRUTES</t>
  </si>
  <si>
    <t xml:space="preserve">                      SITUATIONS ET MOUVEMENTS
RUBRIQUES</t>
  </si>
  <si>
    <t>AUGMENTATIONS B</t>
  </si>
  <si>
    <t>DIMINUTIONS C</t>
  </si>
  <si>
    <t>D = A + B - C</t>
  </si>
  <si>
    <t>MONTANT BRUT A L'OUVERTURE DE L'EXERCICE</t>
  </si>
  <si>
    <t>Acquisitions
Apports
Créations</t>
  </si>
  <si>
    <t>Virements de poste à poste</t>
  </si>
  <si>
    <t>Suite à une réévaluation pratiquée au cours de l'exercice</t>
  </si>
  <si>
    <t>Cessions
Scissions
Hors service</t>
  </si>
  <si>
    <t>MONTANT BRUT A LA CLOTURE DE L'EXERCICE</t>
  </si>
  <si>
    <t xml:space="preserve"> IMMOBILISATIONS INCORPORELLES</t>
  </si>
  <si>
    <t>Brevets, licences, logiciels, et droits similaires</t>
  </si>
  <si>
    <t>Avances et acomptes sur immobilisations incorporelles</t>
  </si>
  <si>
    <t>Autres immobilisations incorporelles</t>
  </si>
  <si>
    <t xml:space="preserve"> IMMOBILISATIONS CORPORELLES</t>
  </si>
  <si>
    <t>Terrains hors immeuble de placement</t>
  </si>
  <si>
    <t>Terrains - immeuble de placement</t>
  </si>
  <si>
    <t>Bâtiments hors immeuble de placement</t>
  </si>
  <si>
    <t>Bâtiments - immeuble de placement</t>
  </si>
  <si>
    <t>Avances et acomptes sur immobilisations corporelles</t>
  </si>
  <si>
    <t xml:space="preserve"> IMMOBILISATIONS FINANCIERES</t>
  </si>
  <si>
    <t>Dépôts et cautionnement</t>
  </si>
  <si>
    <t>Autres immobilisations financières</t>
  </si>
  <si>
    <t xml:space="preserve"> TOTAL GENERAL</t>
  </si>
  <si>
    <t>Commentaires :</t>
  </si>
  <si>
    <t>NOTE 3B</t>
  </si>
  <si>
    <t>BIENS PRIS EN LOCATION-ACQUISITION</t>
  </si>
  <si>
    <t xml:space="preserve">                    SITUATIONS ET MOUVEMENTS
RUBRIQUES</t>
  </si>
  <si>
    <r>
      <t>NATURE DU CONTRAT
(I ; M ; A)</t>
    </r>
    <r>
      <rPr>
        <vertAlign val="superscript"/>
        <sz val="10"/>
        <rFont val="Cambria"/>
        <family val="1"/>
      </rPr>
      <t>(1)</t>
    </r>
  </si>
  <si>
    <r>
      <t xml:space="preserve">AUGMENTATIONS  </t>
    </r>
    <r>
      <rPr>
        <b/>
        <sz val="10"/>
        <rFont val="Cambria"/>
        <family val="1"/>
      </rPr>
      <t>B</t>
    </r>
  </si>
  <si>
    <r>
      <t xml:space="preserve">DIMINUTIONS </t>
    </r>
    <r>
      <rPr>
        <b/>
        <sz val="10"/>
        <rFont val="Cambria"/>
        <family val="1"/>
      </rPr>
      <t xml:space="preserve"> C</t>
    </r>
  </si>
  <si>
    <t xml:space="preserve"> Terrains</t>
  </si>
  <si>
    <t xml:space="preserve"> Bâtiments</t>
  </si>
  <si>
    <t xml:space="preserve"> Matériel, mobilier</t>
  </si>
  <si>
    <t xml:space="preserve"> Matériel de transport</t>
  </si>
  <si>
    <t>TOTAL  IMMOBILISATIONS EN LOCATION-ACQUISITION</t>
  </si>
  <si>
    <r>
      <rPr>
        <i/>
        <vertAlign val="superscript"/>
        <sz val="9"/>
        <rFont val="Cambria"/>
        <family val="1"/>
      </rPr>
      <t xml:space="preserve"> (1)</t>
    </r>
    <r>
      <rPr>
        <i/>
        <sz val="9"/>
        <rFont val="Cambria"/>
        <family val="1"/>
      </rPr>
      <t xml:space="preserve"> I : Crédit-bail immobilier ; M : Crédit-bail mobilier ; A : Autres contrats (dédoubler le poste si montants significatifs).</t>
    </r>
  </si>
  <si>
    <t>NOTE 4</t>
  </si>
  <si>
    <t>ACTIF CIRCULANT ET DETTES CIRCULANTES HAO</t>
  </si>
  <si>
    <t>ACTIF CIRCULANT HAO</t>
  </si>
  <si>
    <t>Libellés</t>
  </si>
  <si>
    <t>Exercice</t>
  </si>
  <si>
    <t>Variation en</t>
  </si>
  <si>
    <t>valeur</t>
  </si>
  <si>
    <t xml:space="preserve"> %</t>
  </si>
  <si>
    <t>Créances sur cessions d'immobilisations</t>
  </si>
  <si>
    <t>Autres créances hors activités ordinaires</t>
  </si>
  <si>
    <t>TOTAL BRUT</t>
  </si>
  <si>
    <t>Dépréciations des créances HAO</t>
  </si>
  <si>
    <t>TOTAL NET DE DEPRECIATION</t>
  </si>
  <si>
    <t>DETTES CIRCULANTES HAO</t>
  </si>
  <si>
    <t>Fournisseurs d'investissements</t>
  </si>
  <si>
    <t>Autres dettes hors activités ordinaires</t>
  </si>
  <si>
    <t>TOTAL</t>
  </si>
  <si>
    <t>NOTE 5</t>
  </si>
  <si>
    <r>
      <t xml:space="preserve">STOCKS ET ENCOURS </t>
    </r>
    <r>
      <rPr>
        <vertAlign val="superscript"/>
        <sz val="10"/>
        <color theme="1"/>
        <rFont val="Cambria"/>
        <family val="1"/>
      </rPr>
      <t>(1)</t>
    </r>
  </si>
  <si>
    <t>Variation de stock
en valeur absolue</t>
  </si>
  <si>
    <t>Biens liés à l'activité</t>
  </si>
  <si>
    <t>Marchandises</t>
  </si>
  <si>
    <t>Matières premières et fournitures liées</t>
  </si>
  <si>
    <t>Autres approvisionnements</t>
  </si>
  <si>
    <t>Produits et services encours</t>
  </si>
  <si>
    <t>Produits finis</t>
  </si>
  <si>
    <t>Produits intermédiaires</t>
  </si>
  <si>
    <t>Stocks encours de route, en consignation ou en dépôt</t>
  </si>
  <si>
    <t>TOTAL STOCKS ET ENCOURS</t>
  </si>
  <si>
    <t>Dépréciations des stocks</t>
  </si>
  <si>
    <t>TOTAL NET DE DEPRECIATIONS</t>
  </si>
  <si>
    <r>
      <rPr>
        <i/>
        <vertAlign val="superscript"/>
        <sz val="9"/>
        <color theme="1"/>
        <rFont val="Cambria"/>
        <family val="1"/>
      </rPr>
      <t>(1)</t>
    </r>
    <r>
      <rPr>
        <i/>
        <sz val="9"/>
        <color theme="1"/>
        <rFont val="Cambria"/>
        <family val="1"/>
      </rPr>
      <t xml:space="preserve"> Les stocks H.A.O. ne doivent être inscrits dans l'actifs circulant H.A.O. que lorsque leur montant total est significatif (supérieur à 5% du total de l'actif circulant).</t>
    </r>
  </si>
  <si>
    <t>NOTE 6</t>
  </si>
  <si>
    <t>CLIENTS-USAGERS ET AUTRES CREANCES</t>
  </si>
  <si>
    <t>Créances à un an au plus</t>
  </si>
  <si>
    <t>Créances à plus d'un an et à deux ans au plus</t>
  </si>
  <si>
    <t>Créances à plus de deux ans</t>
  </si>
  <si>
    <t>%</t>
  </si>
  <si>
    <t>Fournisseurs, débiteurs</t>
  </si>
  <si>
    <t>Personnel</t>
  </si>
  <si>
    <t>Organismes sociaux</t>
  </si>
  <si>
    <t>Etat et Collectivités publiques</t>
  </si>
  <si>
    <t>Autres débiteurs divers</t>
  </si>
  <si>
    <t>Dépréciations des créances</t>
  </si>
  <si>
    <t>NOTE 7</t>
  </si>
  <si>
    <t>DISPONIBILITES</t>
  </si>
  <si>
    <t xml:space="preserve">Variation en </t>
  </si>
  <si>
    <t>Chèques à encaisser</t>
  </si>
  <si>
    <t>Chèques à l'encaissement</t>
  </si>
  <si>
    <t>Cartes de crédit à encaisser</t>
  </si>
  <si>
    <t>Autres valeurs à encaisser</t>
  </si>
  <si>
    <t>TOTAL VALEURS A ENCAISSER</t>
  </si>
  <si>
    <t>Banques locales</t>
  </si>
  <si>
    <t>Banques autres Etats région</t>
  </si>
  <si>
    <t>Banques, dépôt à terme et assimilés</t>
  </si>
  <si>
    <t>Autres banques</t>
  </si>
  <si>
    <t>Banques intérêts courus</t>
  </si>
  <si>
    <t>Banques Postales</t>
  </si>
  <si>
    <t>Autres établissements financiers</t>
  </si>
  <si>
    <t>Etablissements financiers interêts courus</t>
  </si>
  <si>
    <t>Instruments de monnaie électronique</t>
  </si>
  <si>
    <t>Caisse</t>
  </si>
  <si>
    <t>TOTAL BRUT DISPONIBILITES</t>
  </si>
  <si>
    <t>Dépréciations</t>
  </si>
  <si>
    <t>NB : Banques et intérêts courus et Etablissements financiers intérêts courus figurent dans cette rubrique en négatif si le compte principal attaché est débiteur.</t>
  </si>
  <si>
    <t>NOTE 8</t>
  </si>
  <si>
    <t>ECARTS DE CONVERSION</t>
  </si>
  <si>
    <t>Dévises</t>
  </si>
  <si>
    <t>Montant 
en 
dévises</t>
  </si>
  <si>
    <t>Cours UML Année d'acquisition</t>
  </si>
  <si>
    <t>Cours UML</t>
  </si>
  <si>
    <t>Variation 
en valeur absolue</t>
  </si>
  <si>
    <r>
      <t>Ecarts de conversion actif : (</t>
    </r>
    <r>
      <rPr>
        <i/>
        <sz val="10"/>
        <color theme="1"/>
        <rFont val="Cambria"/>
        <family val="1"/>
      </rPr>
      <t>détailler les créances et dettes concernée)</t>
    </r>
  </si>
  <si>
    <t>Ecarts de conversion passif : (détailler les créances et dettes concernées)</t>
  </si>
  <si>
    <t>UML : Unités Monétaires légales</t>
  </si>
  <si>
    <t>NOTE 9</t>
  </si>
  <si>
    <t>FONDS DU BAILLEUR</t>
  </si>
  <si>
    <t>FONDS D'INVESTISSEMENT</t>
  </si>
  <si>
    <t>Date des décaissements</t>
  </si>
  <si>
    <t>Bailleur</t>
  </si>
  <si>
    <t>Sous Projet</t>
  </si>
  <si>
    <t>Montant décaissé</t>
  </si>
  <si>
    <t>Montant consommé</t>
  </si>
  <si>
    <t>Solde restant</t>
  </si>
  <si>
    <t>TOTAL FONDS D'INVESTISSEMENT</t>
  </si>
  <si>
    <t>FONDS D'ADMINISTRATION (1)</t>
  </si>
  <si>
    <t>TOTAL FONDS D'ADMINISTRATION</t>
  </si>
  <si>
    <t>(1) Le montant consommé au titre d'un exercice représente le solde du compte 702 Quote-part de fonds d'administration transférés qu'il convient de subdiviser par nature de projet</t>
  </si>
  <si>
    <t>NOTE 10</t>
  </si>
  <si>
    <t>SUBVENTIONS</t>
  </si>
  <si>
    <t>Régime 
fiscal</t>
  </si>
  <si>
    <t>Échéances</t>
  </si>
  <si>
    <t>Etat</t>
  </si>
  <si>
    <t>Région</t>
  </si>
  <si>
    <t>Département</t>
  </si>
  <si>
    <t>Communes et collectivités publiques décentralisées</t>
  </si>
  <si>
    <t>Entités publiques ou mixtes</t>
  </si>
  <si>
    <t>Entités et organismes privés</t>
  </si>
  <si>
    <t>Organismes internationaux</t>
  </si>
  <si>
    <t>Autres</t>
  </si>
  <si>
    <t>TOTAL SUBVENTIONS</t>
  </si>
  <si>
    <t>NOTE 11</t>
  </si>
  <si>
    <t>DETTES FINANCIERES ET RESSOURCES ASSIMILES</t>
  </si>
  <si>
    <t>Dettes à un an au plus</t>
  </si>
  <si>
    <t>Dettes à plus d'un an et à deux ans au plus</t>
  </si>
  <si>
    <t>Dettes à plus de deux ans</t>
  </si>
  <si>
    <t>Emprunts et dettes auprès des établissements de crédit</t>
  </si>
  <si>
    <t>Avances reçues de l'Etat</t>
  </si>
  <si>
    <t>Dépôts et cautionnements reçus</t>
  </si>
  <si>
    <t xml:space="preserve">Intérêts courus </t>
  </si>
  <si>
    <t>Autres emprunts et dettes</t>
  </si>
  <si>
    <t>TOTAL EMPRUNTS ET DETTES FINANCIERES</t>
  </si>
  <si>
    <t>Crédit bail immobilier</t>
  </si>
  <si>
    <t>Crédit bail mobilier</t>
  </si>
  <si>
    <t>Location-vente</t>
  </si>
  <si>
    <t>Autres dettes de location-acquisition</t>
  </si>
  <si>
    <t>TOTAL DETTES DE LOCATION ACQUISITION</t>
  </si>
  <si>
    <t>Provisions pour litiges</t>
  </si>
  <si>
    <t>Provisions pour pertes de change</t>
  </si>
  <si>
    <t>Provisions pour pensions et obligations similaires</t>
  </si>
  <si>
    <t>Provisions pour amendes et pénalités</t>
  </si>
  <si>
    <t>Autres provisions pour risques et charges</t>
  </si>
  <si>
    <t>TOTAL PROVISIONS FINANCIERES POUR RISQUES ET CHARGES</t>
  </si>
  <si>
    <t>NOTE 12</t>
  </si>
  <si>
    <t>DETTES FOURNISSEURS ET ASSIMILEES, FISCALES ET SOCIALES</t>
  </si>
  <si>
    <t>Clients-usagers créditeurs</t>
  </si>
  <si>
    <t>DETTES FOURNISSEURS ET ASSIMILEES</t>
  </si>
  <si>
    <t>Personnel, rémunérations dues</t>
  </si>
  <si>
    <t>Personnel, congés à payer</t>
  </si>
  <si>
    <t>Charges sociales sur congés à payer</t>
  </si>
  <si>
    <t>Autres personnel</t>
  </si>
  <si>
    <t>Caisse de sécurité sociale</t>
  </si>
  <si>
    <t>Caisse de retraite</t>
  </si>
  <si>
    <t>Mutuelle de santé</t>
  </si>
  <si>
    <t>Assurance retraite</t>
  </si>
  <si>
    <t>Autres charges sociales à payer</t>
  </si>
  <si>
    <t>Autres cotisations et organismes sociaux</t>
  </si>
  <si>
    <t>TOTAL DETTES SOCIALES</t>
  </si>
  <si>
    <t>Etat, autres impôts et taxes</t>
  </si>
  <si>
    <t>Etat, TVA</t>
  </si>
  <si>
    <t>Etat, impôts retenus à la source</t>
  </si>
  <si>
    <t>Autres dettes Etat</t>
  </si>
  <si>
    <t>TOTAL DETTES FISCALES</t>
  </si>
  <si>
    <t>TOTAL DETTES FOURNISSEURS ET ASSIMILEES, FISCALES ET SOCIALES</t>
  </si>
  <si>
    <t>NOTE 13</t>
  </si>
  <si>
    <t>BANQUES, CREDIT D'ESCOMPTE ET DE TRESORERIE</t>
  </si>
  <si>
    <t>Escomptes de crédit de campagne</t>
  </si>
  <si>
    <t>Escomptes de crédit ordinaires</t>
  </si>
  <si>
    <t>Crédit de trésorerie, intérêts courus</t>
  </si>
  <si>
    <t>TOTAL : BANQUES, CREDITS D'ESCOMPTE ET DE TRESORERIE</t>
  </si>
  <si>
    <t>Banques autres Etats régions</t>
  </si>
  <si>
    <t>TOTAL BANQUES, CREDITS DE TRESORERIE</t>
  </si>
  <si>
    <t>NB : Banques et intérêts courus figure dans cette rubrique si le compte principal attaché est créditeur</t>
  </si>
  <si>
    <t>NOTE 14</t>
  </si>
  <si>
    <t>REVENUS ET AUTRES PRODUITS</t>
  </si>
  <si>
    <t>Ventes de marchandises</t>
  </si>
  <si>
    <t>Ventes de produits fabriqués</t>
  </si>
  <si>
    <t>Ventes de travaux et services</t>
  </si>
  <si>
    <t>Produits accessoires</t>
  </si>
  <si>
    <t>Production immobilisée</t>
  </si>
  <si>
    <t>Autres produits et transferts de charges d'exploitation</t>
  </si>
  <si>
    <t>NOTE 15</t>
  </si>
  <si>
    <t>ACHATS</t>
  </si>
  <si>
    <t>Achats de biens et services liés à l'activité</t>
  </si>
  <si>
    <t>Achats de marchandises, matières premières et fournitures liées</t>
  </si>
  <si>
    <t>Matières consommables</t>
  </si>
  <si>
    <t>Matières combustibles</t>
  </si>
  <si>
    <t>Produits d'entretien</t>
  </si>
  <si>
    <t>Fournitures d'atelier, d'usine et de magasin</t>
  </si>
  <si>
    <t>Eau</t>
  </si>
  <si>
    <t>Electricité</t>
  </si>
  <si>
    <t>Autres énergies</t>
  </si>
  <si>
    <t>Fourniture d'entretien</t>
  </si>
  <si>
    <t>Fourniture de bureau</t>
  </si>
  <si>
    <t>Petit matériel et outillages</t>
  </si>
  <si>
    <t>Achats d'études, prestations de services, de travaux , de matériels et d'équipements</t>
  </si>
  <si>
    <t>Achats d'emballages</t>
  </si>
  <si>
    <t>Frais sur achats</t>
  </si>
  <si>
    <t>Rabais, remises et ristournes obtenus</t>
  </si>
  <si>
    <t>TOTAL AUTRES ACHATS</t>
  </si>
  <si>
    <t>NOTE 16</t>
  </si>
  <si>
    <t>TRANSPORTS</t>
  </si>
  <si>
    <t>Transports sur ventes</t>
  </si>
  <si>
    <t>Transports pour le compte de tiers</t>
  </si>
  <si>
    <t>Transports du personnel</t>
  </si>
  <si>
    <t>Transports de plis</t>
  </si>
  <si>
    <t>Voyages et déplacements</t>
  </si>
  <si>
    <t>Transports administratifs</t>
  </si>
  <si>
    <t>NOTE 17</t>
  </si>
  <si>
    <t>SERVICES EXTERIEURS</t>
  </si>
  <si>
    <t>Sous-traitance générale</t>
  </si>
  <si>
    <t>Locations et charges locatives</t>
  </si>
  <si>
    <t>Redevances de location-acquisition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</si>
  <si>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</si>
  <si>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</si>
  <si>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</si>
  <si>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</si>
  <si>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</si>
  <si>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</si>
  <si>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</si>
  <si>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</si>
  <si>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concessions et droits similaires</t>
  </si>
  <si>
    <t>Cotisations</t>
  </si>
  <si>
    <t>Rémunérations de personnel extérieur à l'entité</t>
  </si>
  <si>
    <t>Autres charges externes</t>
  </si>
  <si>
    <t>NOTE 18</t>
  </si>
  <si>
    <t>IMPÔTS ET TAXES</t>
  </si>
  <si>
    <t>Impôts et taxes directs</t>
  </si>
  <si>
    <t>Impôts et taxes indirects</t>
  </si>
  <si>
    <t>Droits d'enregistrement</t>
  </si>
  <si>
    <t>Pénalités et amendes fiscales</t>
  </si>
  <si>
    <t>Autres impôts et taxes</t>
  </si>
  <si>
    <r>
      <t xml:space="preserve">Dégrèvements et annulations des impôts et taxes </t>
    </r>
    <r>
      <rPr>
        <vertAlign val="superscript"/>
        <sz val="10"/>
        <color theme="1"/>
        <rFont val="Cambria"/>
        <family val="1"/>
      </rPr>
      <t>(1)</t>
    </r>
  </si>
  <si>
    <r>
      <rPr>
        <i/>
        <vertAlign val="superscript"/>
        <sz val="9"/>
        <color theme="1"/>
        <rFont val="Cambria"/>
        <family val="1"/>
      </rPr>
      <t xml:space="preserve">(1) </t>
    </r>
    <r>
      <rPr>
        <i/>
        <sz val="9"/>
        <color theme="1"/>
        <rFont val="Cambria"/>
        <family val="1"/>
      </rPr>
      <t>: Ce compte a un solde créditeur, son montant doit être précédé d'un signe (-)</t>
    </r>
  </si>
  <si>
    <t>NOTE 19</t>
  </si>
  <si>
    <t>AUTRES CHARGES</t>
  </si>
  <si>
    <t>Pertes sur créances</t>
  </si>
  <si>
    <t>Pertes sur autres débiteurs</t>
  </si>
  <si>
    <t>Pénalités et amendes pénales</t>
  </si>
  <si>
    <t>Dons et mécénat</t>
  </si>
  <si>
    <t>Autres charges diverses</t>
  </si>
  <si>
    <t>Charges pour provisions pour risques à court terme d'exploitation</t>
  </si>
  <si>
    <t>NOTE 20A</t>
  </si>
  <si>
    <t>CHARGES DE PERSONNEL</t>
  </si>
  <si>
    <t>Rémunérations directes versées au personnel national</t>
  </si>
  <si>
    <t>Rémunérations directes versées au personnel non national</t>
  </si>
  <si>
    <t>Indemnités forfaitaires versées au personnel</t>
  </si>
  <si>
    <t>Charges sociales (personnel national)</t>
  </si>
  <si>
    <t>Charges sociales (personnel non national)</t>
  </si>
  <si>
    <t>Habillement et équipement du personnel</t>
  </si>
  <si>
    <t>Rémunération transférée de personnel extérieur</t>
  </si>
  <si>
    <t>Autres charges sociales</t>
  </si>
  <si>
    <r>
      <t xml:space="preserve">Dégrèvements et annulations des charges sociales </t>
    </r>
    <r>
      <rPr>
        <vertAlign val="superscript"/>
        <sz val="10"/>
        <color theme="1"/>
        <rFont val="Cambria"/>
        <family val="1"/>
      </rPr>
      <t>(1)</t>
    </r>
  </si>
  <si>
    <t>(1) : Ce compte a un solde créditeur, son montant doit être précédé d'un signe (-)</t>
  </si>
  <si>
    <t>NOTE 20B</t>
  </si>
  <si>
    <t>EFFECTIFS, MASSE SALARIALE ET PERSONNEL EXTERIEUR</t>
  </si>
  <si>
    <t>2. Personnel propre</t>
  </si>
  <si>
    <t xml:space="preserve">                            EFFECTIF ET MASSE  SALARIALE</t>
  </si>
  <si>
    <t xml:space="preserve">            EFFECTIFS</t>
  </si>
  <si>
    <t>MASSE SALARIALE</t>
  </si>
  <si>
    <t>NATIONAUX</t>
  </si>
  <si>
    <t>AUTRES ETATS</t>
  </si>
  <si>
    <t>HORS REGION</t>
  </si>
  <si>
    <t>DE LA REGION</t>
  </si>
  <si>
    <t>QUALIFICATIONS</t>
  </si>
  <si>
    <t>M</t>
  </si>
  <si>
    <t>YA</t>
  </si>
  <si>
    <t>1. CADRES SUPERIEURS</t>
  </si>
  <si>
    <t>YB</t>
  </si>
  <si>
    <t>2. TECHNICIENS SUPERIEURS ET CADRES MOYENS</t>
  </si>
  <si>
    <t>YC</t>
  </si>
  <si>
    <t>3. TECHNICIENS, AGENTS DE MAITRISE ET OUVRIERS QUALIFIES</t>
  </si>
  <si>
    <t>YD</t>
  </si>
  <si>
    <t>4. EMPLOYES, MANŒUVRES OUVRIERS ET APPRENTIS</t>
  </si>
  <si>
    <t>YE</t>
  </si>
  <si>
    <t>TOTAL (1)</t>
  </si>
  <si>
    <t>YF</t>
  </si>
  <si>
    <t>PERMANENTS</t>
  </si>
  <si>
    <t>YG</t>
  </si>
  <si>
    <t>SAISONNIERS</t>
  </si>
  <si>
    <t xml:space="preserve">FACTURATION </t>
  </si>
  <si>
    <t>2. Personnel extérieur et bénévole</t>
  </si>
  <si>
    <t>A L'ENTITE</t>
  </si>
  <si>
    <t>YH</t>
  </si>
  <si>
    <t>Commentaires</t>
  </si>
  <si>
    <t>Y I</t>
  </si>
  <si>
    <t>YJ</t>
  </si>
  <si>
    <t>YK</t>
  </si>
  <si>
    <t>YL</t>
  </si>
  <si>
    <t>TOTAL (2)</t>
  </si>
  <si>
    <t>YM</t>
  </si>
  <si>
    <t>YN</t>
  </si>
  <si>
    <t>M : Masculin</t>
  </si>
  <si>
    <t>YO</t>
  </si>
  <si>
    <t>TOTAL (1) + (2)</t>
  </si>
  <si>
    <t>F : Féminin</t>
  </si>
  <si>
    <t>NOTE 21</t>
  </si>
  <si>
    <t>CHARGES ET REVENUS FINANCIERS</t>
  </si>
  <si>
    <t>Intérêts des emprunts</t>
  </si>
  <si>
    <t>Intérêts dans loyers de locations-acquisition</t>
  </si>
  <si>
    <t>Escomptes accordés</t>
  </si>
  <si>
    <t>Autres intérêts</t>
  </si>
  <si>
    <t>Pertes de change financières</t>
  </si>
  <si>
    <t>Pertes sur titres de placement</t>
  </si>
  <si>
    <t>Charges pour provisions à court terme à caractère financier</t>
  </si>
  <si>
    <t>SOUS TOTAL : FRAIS FINANCIERS</t>
  </si>
  <si>
    <t>Intérêts de prêts et créances diverses</t>
  </si>
  <si>
    <t>Revenus de participations et autres titres immobilisés</t>
  </si>
  <si>
    <t>Escomptes obtenus</t>
  </si>
  <si>
    <t>Revenus de placement</t>
  </si>
  <si>
    <t>Gains de change financiers</t>
  </si>
  <si>
    <t>Gains sur cessions de titres de placement</t>
  </si>
  <si>
    <t>Transferts de charges financières</t>
  </si>
  <si>
    <t>Reprises de charges pour provisions à court terme à caractère financier</t>
  </si>
  <si>
    <t>SOUS TOTAL : REVENUS FINANCIERS</t>
  </si>
  <si>
    <t>NOTE 22</t>
  </si>
  <si>
    <t>DOTATIONS ET CHARGES POUR PROVISIONS</t>
  </si>
  <si>
    <t xml:space="preserve">                         SITUATIONS ET MOUVEMENTS 
NATURE</t>
  </si>
  <si>
    <t>PROVISIONS A L'OUVERTURE DE L'EXERCICE</t>
  </si>
  <si>
    <t>AUGMENTATIONS : DOTATIONS</t>
  </si>
  <si>
    <t>DIMINUTIONS : REPRISES</t>
  </si>
  <si>
    <t>PROVISIONS</t>
  </si>
  <si>
    <t>D'EXPLOITATION</t>
  </si>
  <si>
    <t>FINANCIERES</t>
  </si>
  <si>
    <t>HORS ACTIVITES ORDINAIRES</t>
  </si>
  <si>
    <t>A LA CLOTURE DE L'EXERCICE</t>
  </si>
  <si>
    <t>Dotations de fonds affectés à un projet non consommés</t>
  </si>
  <si>
    <t>Dotations Fonds reportés</t>
  </si>
  <si>
    <t xml:space="preserve"> TOTAL : DOTATIONS</t>
  </si>
  <si>
    <t>Provisions pour risques et charges à court terme</t>
  </si>
  <si>
    <t>TOTAL : CHARGES POUR DEPRECIATIONS ET PROVISIONS A COURT TERME</t>
  </si>
  <si>
    <t xml:space="preserve"> TOTAL</t>
  </si>
  <si>
    <t xml:space="preserve">Commentaires : </t>
  </si>
  <si>
    <t>NOTE 23</t>
  </si>
  <si>
    <t>AUTRES CHARGES ET PRODUITS HAO</t>
  </si>
  <si>
    <t>Valeurs comptables des cessions d'immobilisations incorporelles</t>
  </si>
  <si>
    <t>Valeurs comptables des cessions d'immobilisations corporelles</t>
  </si>
  <si>
    <t>Charges HAO constatées</t>
  </si>
  <si>
    <t>Pertes sur créances HAO</t>
  </si>
  <si>
    <t>Abandons de créances consentis</t>
  </si>
  <si>
    <t>Transferts de charges HAO</t>
  </si>
  <si>
    <t>Charges pour provisions pour risques à court terme  HAO</t>
  </si>
  <si>
    <t>Dotations aux provisions réglementées</t>
  </si>
  <si>
    <t>Dotations aux provisions pour risques et charges HAO</t>
  </si>
  <si>
    <t>Autres dotations HAO</t>
  </si>
  <si>
    <t>Variations de stocks de dons en nature HAO</t>
  </si>
  <si>
    <t>TOTAL : AUTRES CHARGES HAO</t>
  </si>
  <si>
    <t>Produits des cessions d'immobilisations incorporelles</t>
  </si>
  <si>
    <t>Produits des cessions d'immobilisations corporelles</t>
  </si>
  <si>
    <t>Produits HAO constatés</t>
  </si>
  <si>
    <t>Abandons de créances obtenus</t>
  </si>
  <si>
    <t>Transferts de produits HAO</t>
  </si>
  <si>
    <t>Reprises des charges pour provisions à court terme HAO</t>
  </si>
  <si>
    <t>Reprises des charges pour provisions réglementées</t>
  </si>
  <si>
    <t>Reprise des charges pour provisions pour risques et charges  HAO</t>
  </si>
  <si>
    <t>Autres reprises HAO</t>
  </si>
  <si>
    <t>Subventions d'équilibre</t>
  </si>
  <si>
    <t>TOTAL : AUTRES PRODUITS HAO</t>
  </si>
  <si>
    <t>ETATS SUPPLEMENTAIRES
SYCEBNL
DIRECTION GENERALE DES IMPOTS</t>
  </si>
  <si>
    <t>FICHE RECAPITULATIVE DES ETATS SUPPLEMENTAIRES  DGI  PRESENTES (1)</t>
  </si>
  <si>
    <t xml:space="preserve">ETATS </t>
  </si>
  <si>
    <t>Etat supplémentaire 1</t>
  </si>
  <si>
    <t>DETAIL DES CHARGES 1</t>
  </si>
  <si>
    <t>DETAIL DES CHARGES 2</t>
  </si>
  <si>
    <t>DETAIL DES CHARGES 3</t>
  </si>
  <si>
    <t>DETAIL DES CHARGES 4</t>
  </si>
  <si>
    <t>Etat supplémentaire 2</t>
  </si>
  <si>
    <t>DETAIL DES PRODUITS 1</t>
  </si>
  <si>
    <t>DETAIL DES PRODUITS 2</t>
  </si>
  <si>
    <t>Etat supplémentaire 3</t>
  </si>
  <si>
    <t>TVA</t>
  </si>
  <si>
    <t>Etat supplémentaire 4</t>
  </si>
  <si>
    <t>ELEMENTS STATISTIQUES UEMOA</t>
  </si>
  <si>
    <t>Etat supplémentaire 5</t>
  </si>
  <si>
    <t xml:space="preserve">TABLEAU DES IMMOBILISATIONS ET DES AMORTISSEMENTS </t>
  </si>
  <si>
    <t>Etat supplémentaire 6</t>
  </si>
  <si>
    <t>DETAIL DES FRAIS ACCESSOIRES SUR ACHATS</t>
  </si>
  <si>
    <t>Etat supplémentaire 7</t>
  </si>
  <si>
    <t>DETAIL DES AVANTAGES EN NATURE  ALLOUES  AU PERSONNEL</t>
  </si>
  <si>
    <t>Etat supplémentaire 8</t>
  </si>
  <si>
    <t>CREANCES DE L'EXERCICE</t>
  </si>
  <si>
    <t>Etat supplémentaire 9</t>
  </si>
  <si>
    <t>DEBITEURS DIVERS-MOBILIERS ET MATERIELS DE LOGEMENT-VEHICULES AFFECTES AU PERSONNEL</t>
  </si>
  <si>
    <t>Etat supplémentaire 10</t>
  </si>
  <si>
    <t>DETTES  DE L'EXERCICE</t>
  </si>
  <si>
    <t>Etat supplémentaire 11</t>
  </si>
  <si>
    <t>CREDITEURS DIVERS- CHARGES D'IMPOTS ET TAXES</t>
  </si>
  <si>
    <t>Etat supplémentaire 12</t>
  </si>
  <si>
    <t>ETAT ANNUEL DES SALAIRES</t>
  </si>
  <si>
    <t>Etat supplémentaire 13</t>
  </si>
  <si>
    <t>ETAT ANNUEL des commissions, courtages, ristournes, honoraires, droits d'auteurs et autres rémunérations versées à des tiers</t>
  </si>
  <si>
    <t>Etat supplémentaire 14</t>
  </si>
  <si>
    <t>Relevé détaillé des loyers d'immeubles passés en charges avec indication de l'identité et de l'adresse des bailleurs</t>
  </si>
  <si>
    <t>Etat supplémentaire 15</t>
  </si>
  <si>
    <t xml:space="preserve">Liste des principaux clients </t>
  </si>
  <si>
    <t>Etat supplémentaire 16</t>
  </si>
  <si>
    <t>Liste des principaux fournisseurs</t>
  </si>
  <si>
    <t>Etat supplémentaire 17</t>
  </si>
  <si>
    <t>LISTE DES PRINCIPAUX DONATEURS ET/OU BAILLEURS DE FONDS</t>
  </si>
  <si>
    <t>Etat supplémentaire 18</t>
  </si>
  <si>
    <t>ETAT ANNUEL DES REMUNERATIONS VERSEES AUX MEMBRES DU CONSEIL D'ADMINISTRATION OU ASSIMILES</t>
  </si>
  <si>
    <t>A : Applicable       N/A : Non applicable.</t>
  </si>
  <si>
    <t>ETAT DETAILLE DES CHARGES</t>
  </si>
  <si>
    <t>DETAIL DES CHARGES EN FCFA (1/4)</t>
  </si>
  <si>
    <t>Exercice 2025</t>
  </si>
  <si>
    <t>Exercice 2024</t>
  </si>
  <si>
    <t>Variation 2025/2024</t>
  </si>
  <si>
    <t>En valeur</t>
  </si>
  <si>
    <t>En %</t>
  </si>
  <si>
    <t>Achats de biens et services liés à l'activité dans l'Etat partie</t>
  </si>
  <si>
    <t>Achats de biens et services liés à l'activité dans la Région</t>
  </si>
  <si>
    <t>Achats de biens et services liés à l'activité hors Région</t>
  </si>
  <si>
    <t>frais sur achats de biens et services liés à l'activité</t>
  </si>
  <si>
    <t>Rabais, Remises et Ristournes obtenus (non ventilés)</t>
  </si>
  <si>
    <t>Variations des stocks de biens et services liés à l'activité</t>
  </si>
  <si>
    <t>Achats de marchandises et matières premières dans l'Etat partie</t>
  </si>
  <si>
    <t>Achats de marchandises et matières premières dans la Région</t>
  </si>
  <si>
    <t>Achats de marchandises et matières premières hors Région</t>
  </si>
  <si>
    <t>frais sur achats de marchandises et matières</t>
  </si>
  <si>
    <t>Achats de marchandises, de matières premières et fournitures liées</t>
  </si>
  <si>
    <t>Variations des stocks de marchandises</t>
  </si>
  <si>
    <t>Variations des stocks de matières premières et fournitures liées</t>
  </si>
  <si>
    <t>Variation de stocks de marchandises, matières premières et fournitures liées</t>
  </si>
  <si>
    <t>Frais sur achats matières et fournitures consommables</t>
  </si>
  <si>
    <t>Fournitures de magasin</t>
  </si>
  <si>
    <t>Fournitures de bureau</t>
  </si>
  <si>
    <t>Fournitures non stockables-Eau</t>
  </si>
  <si>
    <t>Fournitures non stockables-Electricité</t>
  </si>
  <si>
    <t>Fournitures non stockables -Autres énergies</t>
  </si>
  <si>
    <t>Fournitures d'entretien non stockables</t>
  </si>
  <si>
    <t>Fournitures de bureau non stockables</t>
  </si>
  <si>
    <t>Achats de petit matériel et outillage</t>
  </si>
  <si>
    <t>Achats d'études et prestations de services</t>
  </si>
  <si>
    <t>Achats de travaux, matériels et equipements</t>
  </si>
  <si>
    <t>Billetteries</t>
  </si>
  <si>
    <t>Tombola et autres jeux</t>
  </si>
  <si>
    <t>Bons d'achats</t>
  </si>
  <si>
    <t>Voyages et sorties</t>
  </si>
  <si>
    <t>Autres activités</t>
  </si>
  <si>
    <t>Emballages perdus</t>
  </si>
  <si>
    <t>Emballages récupérables non identifiables</t>
  </si>
  <si>
    <t>Emballages à usage mixte</t>
  </si>
  <si>
    <t>Frais sur achats d'emballages</t>
  </si>
  <si>
    <t>Variations des stocks d'autres approvisionnements</t>
  </si>
  <si>
    <t>Variations de stocks de dons en nature à distribuer</t>
  </si>
  <si>
    <t>RF</t>
  </si>
  <si>
    <t>Variation de stocks d'autres approvisionnements</t>
  </si>
  <si>
    <t>Autres frais de transport</t>
  </si>
  <si>
    <t>Rabais, Remises et Ristournes Obtenus (non ventilés)</t>
  </si>
  <si>
    <t>RG</t>
  </si>
  <si>
    <t>Locations de terrains</t>
  </si>
  <si>
    <t>Locations de bâtiments</t>
  </si>
  <si>
    <t>Locations de matériels et outillages</t>
  </si>
  <si>
    <t>Malis sur emballages</t>
  </si>
  <si>
    <t>Locations d'emballages</t>
  </si>
  <si>
    <t>Fermages et loyers du foncier</t>
  </si>
  <si>
    <t>Locations et charges locatives diverses</t>
  </si>
  <si>
    <t>Crédit-bail immobilier</t>
  </si>
  <si>
    <t>Crédit-bail mobilier</t>
  </si>
  <si>
    <t>Autres contrats de location-acquisition</t>
  </si>
  <si>
    <t>DETAIL DES CHARGES EN FCFA (2/4)</t>
  </si>
  <si>
    <t>Entretien et réparation des biens immobiliers</t>
  </si>
  <si>
    <t>Entretien et réparation des biens mobiliers</t>
  </si>
  <si>
    <t>Maintenance</t>
  </si>
  <si>
    <t>Charges de démantèlement et remise en état</t>
  </si>
  <si>
    <t>Autres entretiens et réparation</t>
  </si>
  <si>
    <t>Assurances multirisques</t>
  </si>
  <si>
    <t>Assurances matériel de transport</t>
  </si>
  <si>
    <t>Assurances risques d'exploitation</t>
  </si>
  <si>
    <t>Autres primes d'assurances</t>
  </si>
  <si>
    <t>Etudes et recherches</t>
  </si>
  <si>
    <t>Documentation général</t>
  </si>
  <si>
    <t>Documentation technique</t>
  </si>
  <si>
    <t>Annonces, insertions</t>
  </si>
  <si>
    <t>Catalogues, imprimés publicitaires</t>
  </si>
  <si>
    <t>Congrès, universités et assimilés</t>
  </si>
  <si>
    <t>Manifestations</t>
  </si>
  <si>
    <t>Publications</t>
  </si>
  <si>
    <t>Frais de colloques, séminaires, conférences</t>
  </si>
  <si>
    <t>Autres charges de publicité et relations publiques</t>
  </si>
  <si>
    <t>Frais de téléphone</t>
  </si>
  <si>
    <t>Frais de télécopie</t>
  </si>
  <si>
    <t>Frais d'internet</t>
  </si>
  <si>
    <t>Autres frais de télécommunications</t>
  </si>
  <si>
    <t>Frais sur titres (vente, garde)</t>
  </si>
  <si>
    <t>Frais sur effets</t>
  </si>
  <si>
    <t>Location de coffres</t>
  </si>
  <si>
    <t>Commissions sur cartes de crédit</t>
  </si>
  <si>
    <t>Frais d'émission d'emprunts</t>
  </si>
  <si>
    <t>Frais sur instruments de monnaie électronique</t>
  </si>
  <si>
    <t>Autres frais bancaires</t>
  </si>
  <si>
    <t>Commissions</t>
  </si>
  <si>
    <t>Honoraires des professions règlementées</t>
  </si>
  <si>
    <t>Frais d'actes et de contentieux</t>
  </si>
  <si>
    <t>Rémunérations des autres prestataires de services</t>
  </si>
  <si>
    <t>Divers frais</t>
  </si>
  <si>
    <t>Frais de formation</t>
  </si>
  <si>
    <t>Redevances pour brevets, licences</t>
  </si>
  <si>
    <t>Redevances pour logiciels</t>
  </si>
  <si>
    <t>Redevances pour sites internet</t>
  </si>
  <si>
    <t>Redevances pour concessions, droits et valeurs similaires</t>
  </si>
  <si>
    <t>Autres redevances</t>
  </si>
  <si>
    <t>Concours divers</t>
  </si>
  <si>
    <t>Frais de recherche de fonds</t>
  </si>
  <si>
    <t>Personnel intérimaire</t>
  </si>
  <si>
    <t>Personnel détaché ou prêté à l'entité</t>
  </si>
  <si>
    <t>Frais de recrutement du personnel</t>
  </si>
  <si>
    <t>Frais de déménagement</t>
  </si>
  <si>
    <t>Réceptions</t>
  </si>
  <si>
    <t>Missions</t>
  </si>
  <si>
    <t>Charges de copropriété</t>
  </si>
  <si>
    <t>Charges externes diverses</t>
  </si>
  <si>
    <t>RH</t>
  </si>
  <si>
    <t>Impôts fonciers et taxes annexes</t>
  </si>
  <si>
    <t>Licences et taxes annexes</t>
  </si>
  <si>
    <t>Taxes sur appointements et salaires</t>
  </si>
  <si>
    <t>Taxes d'apprentissage</t>
  </si>
  <si>
    <t>Formation professionnelle continue</t>
  </si>
  <si>
    <t>Patente ou contribution économique locale</t>
  </si>
  <si>
    <t>Autres impôts et taxes directs</t>
  </si>
  <si>
    <t>Droits de mutation</t>
  </si>
  <si>
    <t>Droits de timbre</t>
  </si>
  <si>
    <t>Vignettes</t>
  </si>
  <si>
    <t>DETAIL DES CHARGES EN FCFA (3/4)</t>
  </si>
  <si>
    <t>Autres droits d'enregistrement</t>
  </si>
  <si>
    <t>Pénalités d'assiette, impôts directs</t>
  </si>
  <si>
    <t>Pénalités d'assiette, impôts indirects</t>
  </si>
  <si>
    <t>Pénalités de recouvrement, impôts directs</t>
  </si>
  <si>
    <t>Pénalités de recouvrement, impôts indirects</t>
  </si>
  <si>
    <t>Autres pénalités et amendes fiscales</t>
  </si>
  <si>
    <t>Dégrèvements et annulations des impôts et taxes</t>
  </si>
  <si>
    <t>RI</t>
  </si>
  <si>
    <t>Adhérents</t>
  </si>
  <si>
    <t>Autres débiteurs</t>
  </si>
  <si>
    <t>Subventions accordées par l'entité</t>
  </si>
  <si>
    <t>Dons en nature courants à distribuer non affectés</t>
  </si>
  <si>
    <t>Dons en nature courants à distribuer affectés</t>
  </si>
  <si>
    <t>Charges diverses</t>
  </si>
  <si>
    <t>Provisions sur risques à court terme</t>
  </si>
  <si>
    <t>Charges pour dépréciations sur stocks</t>
  </si>
  <si>
    <t>Charges pour dépréciations sur créances</t>
  </si>
  <si>
    <t>Autres charges pour dépréciations et provisions pour risques à court terme</t>
  </si>
  <si>
    <t>RJ</t>
  </si>
  <si>
    <t>Appointements salaires et commissions</t>
  </si>
  <si>
    <t>Primes et gratifications</t>
  </si>
  <si>
    <t>Congés payés</t>
  </si>
  <si>
    <t>Indemnités de préavis et de licenciement</t>
  </si>
  <si>
    <t>Indemnités de maladie versées aux travailleurs</t>
  </si>
  <si>
    <t>Supplément familial</t>
  </si>
  <si>
    <t>Avantages en nature</t>
  </si>
  <si>
    <t>Autres rémunérations directes</t>
  </si>
  <si>
    <t>Indemnités de logement</t>
  </si>
  <si>
    <t>Indemnités de représentation</t>
  </si>
  <si>
    <t>Indemnités d'expatriation</t>
  </si>
  <si>
    <t>Indemnités de transport</t>
  </si>
  <si>
    <t>Autres indemnités et avantages divers</t>
  </si>
  <si>
    <t>Charges sociales sur rémunération du personnel national</t>
  </si>
  <si>
    <t>Charges sociales sur rémunération du personnel non national</t>
  </si>
  <si>
    <t>Versements aux syndicats et assimilés</t>
  </si>
  <si>
    <t>Versements aux comités d'hygiène et de sécurité</t>
  </si>
  <si>
    <t>Versements et contributions aux autres oeuvres sociales</t>
  </si>
  <si>
    <t>Médecine du travail et pharmacie</t>
  </si>
  <si>
    <t>DETAIL DES CHARGES EN FCFA (4/4)</t>
  </si>
  <si>
    <t>Assurances et organismes de santé</t>
  </si>
  <si>
    <t>Assurances retraite et fonds de pensions</t>
  </si>
  <si>
    <t>Majorations et pénalités sociales</t>
  </si>
  <si>
    <t>Charges sociales diverses</t>
  </si>
  <si>
    <t>Dégrèvements et annulations des charges sociales</t>
  </si>
  <si>
    <t>RK</t>
  </si>
  <si>
    <t>Emprunts obligataires</t>
  </si>
  <si>
    <t>Emprunts auprès des établissements de crédit</t>
  </si>
  <si>
    <t>Primes de remboursement des obligations</t>
  </si>
  <si>
    <t>Intérêts dans loyers de location- acquisition crédit-bail immobilier</t>
  </si>
  <si>
    <t>Intérêts dans loyers de location­ acquisition crédit-bail mobilier</t>
  </si>
  <si>
    <t>Intérêts dans loyers de location­ acquisition location-vente</t>
  </si>
  <si>
    <t>Intérêts dans loyers des autres locations acquisition</t>
  </si>
  <si>
    <t>Avances reçues et dépôts créditeurs</t>
  </si>
  <si>
    <t>Comptes courants bloqués</t>
  </si>
  <si>
    <t>Intérêts sur dettes commerciales</t>
  </si>
  <si>
    <t>Intérêts bancaires et sur opérations de financement (escompte... )</t>
  </si>
  <si>
    <t>Intérêts sur dettes diverses</t>
  </si>
  <si>
    <t>Pertes sur cessions de titres de placement</t>
  </si>
  <si>
    <t>sur rentes viagères</t>
  </si>
  <si>
    <t>sur opérations financières</t>
  </si>
  <si>
    <t>sur risques financiers</t>
  </si>
  <si>
    <t>sur titres de placement</t>
  </si>
  <si>
    <t>Autres charges poµr dépréciations et provisions pour risques à court terme financières</t>
  </si>
  <si>
    <t>RM</t>
  </si>
  <si>
    <t>Frais financiers et charges assimiliés</t>
  </si>
  <si>
    <t>Dotations aux amortissements des immobilisations incorporelles</t>
  </si>
  <si>
    <t>Dotations aux amortissements des immobilisations corporelles</t>
  </si>
  <si>
    <t>RL</t>
  </si>
  <si>
    <t>Dotations aux amortissements</t>
  </si>
  <si>
    <t>Dotations aux provisions pour risques et charges</t>
  </si>
  <si>
    <t>Dotations aux dépréciations des immobilisations incorporelles</t>
  </si>
  <si>
    <t>Dotations aux dépréciations des immobilisations corporelles</t>
  </si>
  <si>
    <t>Dotations aux dépréciations d'usufruit temporaire</t>
  </si>
  <si>
    <t>Dotations aux dépréciations d'immobilisations destinées à la vente provenant des dons et legs non encore reçus</t>
  </si>
  <si>
    <t>Dotations aux dépréciations des immobilisations financières</t>
  </si>
  <si>
    <t>RN</t>
  </si>
  <si>
    <t>Dotations aux provisions et aux dépréciations financières</t>
  </si>
  <si>
    <t>Valeurs comptables des cessions d'immobilisations financières</t>
  </si>
  <si>
    <t>Valeurs comptables des cessions d'immobilisations reçues destinées à la vente provenant de dons et legs</t>
  </si>
  <si>
    <t>RO</t>
  </si>
  <si>
    <t>Valeur comptable nette des cessions</t>
  </si>
  <si>
    <t>Charges sur donations et legs</t>
  </si>
  <si>
    <t>Dons en nature H.A.O. non affectés</t>
  </si>
  <si>
    <t>Dons en nature H.A.O. affectés</t>
  </si>
  <si>
    <t>Pertes sur créances H.A.O.</t>
  </si>
  <si>
    <t>Transferts de charges H.A.O.</t>
  </si>
  <si>
    <t>Charges pour dépréciations et provisions pour risques à court terme H.A.O.</t>
  </si>
  <si>
    <t>RP</t>
  </si>
  <si>
    <t>Dotations aux amortissements H.A.O.</t>
  </si>
  <si>
    <t>Dotations aux dépréciations H.A.O.</t>
  </si>
  <si>
    <t>Dotations aux provisions pour risques et charges H.A.O.</t>
  </si>
  <si>
    <t>Autres dotations H.A.O</t>
  </si>
  <si>
    <t>RQ</t>
  </si>
  <si>
    <t>Dotations HAO</t>
  </si>
  <si>
    <t>TOTAL DES CHARGES</t>
  </si>
  <si>
    <t>DETAIL DES PRODUITS</t>
  </si>
  <si>
    <t>DETAIL DES PRODUITS EN FCFA (1/2)</t>
  </si>
  <si>
    <t>Cotisations des adhérents</t>
  </si>
  <si>
    <t>Quote-part de fonds d'administration transférés</t>
  </si>
  <si>
    <t>Quote-part de dotation consomptible transférée</t>
  </si>
  <si>
    <t>Dons</t>
  </si>
  <si>
    <t>Legs</t>
  </si>
  <si>
    <t>Deniers du culte</t>
  </si>
  <si>
    <t>Zakat, Dîme, quête et assimilées</t>
  </si>
  <si>
    <t>Célébrations</t>
  </si>
  <si>
    <t>Mécénats</t>
  </si>
  <si>
    <t>Parrainage</t>
  </si>
  <si>
    <t>Autres revenus liés à la générosité</t>
  </si>
  <si>
    <t>Ventes marchandises</t>
  </si>
  <si>
    <t>Services vendus</t>
  </si>
  <si>
    <t>Ventes de produits finis</t>
  </si>
  <si>
    <t>Ventes de produits intermédiaires</t>
  </si>
  <si>
    <t>Ventes de produits résiduels</t>
  </si>
  <si>
    <t>Revenus des manifestations</t>
  </si>
  <si>
    <t>Ventes_de dons en nature</t>
  </si>
  <si>
    <t>Revenus d'usufruit</t>
  </si>
  <si>
    <t>REVENUS</t>
  </si>
  <si>
    <t>Subventions d'exploitation versées par l'Etat et les Collectivités publiques</t>
  </si>
  <si>
    <t>Subventions d'exploitation versées par les organismes nationaux et internationaux</t>
  </si>
  <si>
    <t>Autres subventions d'exploitation</t>
  </si>
  <si>
    <t>SUBVENTION D'EXPLOITATION</t>
  </si>
  <si>
    <t>Production immobilisée, immobilisations incorporelles</t>
  </si>
  <si>
    <t>Production immobilisée, immobilisations corporelles</t>
  </si>
  <si>
    <t>Production auto-consommée</t>
  </si>
  <si>
    <t>Production immobilisée, immobilisations financières</t>
  </si>
  <si>
    <t>PRODUCTION IMMOBILISEE</t>
  </si>
  <si>
    <t>Variations des stocks de produits finis et services en cours</t>
  </si>
  <si>
    <t>Variations des stocks de produits finis, produits intermédiaires et résiduels</t>
  </si>
  <si>
    <t>VARIATION DES STOCKS DE BIENS PRODUITS</t>
  </si>
  <si>
    <t>Profits sur créances Adhérents, clients­ usagers, et autres débiteurs</t>
  </si>
  <si>
    <t>Contribution du fondateur</t>
  </si>
  <si>
    <t>Dons en nature courants reçus à distribuer</t>
  </si>
  <si>
    <t>Indemnités d'assurances reçues</t>
  </si>
  <si>
    <t>Abandons de frais par les bénévoles</t>
  </si>
  <si>
    <t>Autres produits divers</t>
  </si>
  <si>
    <t>Reprises provisions sur risques à court terme</t>
  </si>
  <si>
    <t>Reprises de charges pour dépréciations sur stocks</t>
  </si>
  <si>
    <t>Reprises de charges pour dépréciations sur créances</t>
  </si>
  <si>
    <t>Autres reprises de charges pour dépréciations et provisions pour risques à court terme d'exploitation</t>
  </si>
  <si>
    <t>AUTRES PRODUITS</t>
  </si>
  <si>
    <t>Intérêts de prêts</t>
  </si>
  <si>
    <t>Intérêts sur créances diverses</t>
  </si>
  <si>
    <t>Revenus des titres de participation</t>
  </si>
  <si>
    <t>Revenus autres titres immobilisés</t>
  </si>
  <si>
    <t>Revenus des obligations</t>
  </si>
  <si>
    <t>Revenus des titres de placement</t>
  </si>
  <si>
    <t>Revenus des dépôts à terme et opérations assimilées</t>
  </si>
  <si>
    <t>Autres revenus de placement</t>
  </si>
  <si>
    <t>Gains sur rentes viagères</t>
  </si>
  <si>
    <t>Gains sur opérations financières</t>
  </si>
  <si>
    <t>Reprises de provisions sur risques financiers</t>
  </si>
  <si>
    <t>Reprises de charges pour dépréciations sur titres de placement</t>
  </si>
  <si>
    <t>Autre reprises de charges pour dépréciations et provisions pour risques à court terme financières</t>
  </si>
  <si>
    <t>REVENUS FINANCIERS ET PRODUITS ASSIMILES</t>
  </si>
  <si>
    <t>DETAIL DES PRODUITS EN FCFA (2/2)</t>
  </si>
  <si>
    <t>Transferts de charges d'exploitation</t>
  </si>
  <si>
    <t>TRANSFERTS DE CHARGES</t>
  </si>
  <si>
    <t>Reprises de provisions pour risques et charges</t>
  </si>
  <si>
    <t>Reprises de dépréciations des immobilisations incorporelles</t>
  </si>
  <si>
    <t>Reprises de dépréciati9ns des immobilisations corporelles</t>
  </si>
  <si>
    <t>Reprises de fonds affectés aux immobilisations</t>
  </si>
  <si>
    <t>Reprises de fonds affectés provenant de dons et legs d'immobilisations</t>
  </si>
  <si>
    <t>Reprises de fonds affectés à un projet spécifique</t>
  </si>
  <si>
    <t>Autres reprises de fonds affectés</t>
  </si>
  <si>
    <t>Reprises des dépréciations d'usufruit temporaire</t>
  </si>
  <si>
    <t>Reprises des dépréciations d'immobilisations reçues destinées à la vente provenant des dons et legs</t>
  </si>
  <si>
    <t>Reprises de fonds reportés provenant de la donation temporaire d'usufruit</t>
  </si>
  <si>
    <t>Reprises de fonds reportés provenant de dons et legs d'immobilisations reçues destinées à la vente</t>
  </si>
  <si>
    <t>Autres reprises de fonds reportés</t>
  </si>
  <si>
    <t>Reprises de dépréciations des immobilisations financières</t>
  </si>
  <si>
    <t>Reprises d'amortissements</t>
  </si>
  <si>
    <t>Reprises de subventions d'investissement</t>
  </si>
  <si>
    <t xml:space="preserve">REPRISES DE PROVISIONS, DE DEPRECIATIONS ET AUTRES </t>
  </si>
  <si>
    <t>Produits des cessions d'immobilisations financières</t>
  </si>
  <si>
    <t>Produits des cessions d'immobilisations reçues destinées à la vente provenant de dons et legs</t>
  </si>
  <si>
    <t>PRODUITS DES CESSIONS D'IMMOBILISATIONS</t>
  </si>
  <si>
    <t>Produits sur donations et legs</t>
  </si>
  <si>
    <t>Dons en nature HAO vendus</t>
  </si>
  <si>
    <t>Prestations de services en nature HAO</t>
  </si>
  <si>
    <t>Dons en nature HAO à distribuer</t>
  </si>
  <si>
    <t>Contributions volontaires en numéraire</t>
  </si>
  <si>
    <t>Transferts de produits H.A.O</t>
  </si>
  <si>
    <t>Reprises de charges pour dépréciations et provisions pour risques à court terme H.A.O.</t>
  </si>
  <si>
    <t>REVENUS HORS ACTIVITES ORDINAIRES</t>
  </si>
  <si>
    <t>Reprises de provisions réglementées</t>
  </si>
  <si>
    <t>Reprises d'amortissements H.A.O.</t>
  </si>
  <si>
    <t>Reprises de dépréciations H.A.O.</t>
  </si>
  <si>
    <t>Reprises de provisions pour risques et charges H.A.O.</t>
  </si>
  <si>
    <t>Autres reprises H.A.O.</t>
  </si>
  <si>
    <t>REPRISES D'AMORTISSEMENTS, PROVISIONS ET DEPRECIATIONS H.A.O</t>
  </si>
  <si>
    <t>Subventions d'équilibre, Etat</t>
  </si>
  <si>
    <t>Subventions d'équilibre, Collectivités publiques</t>
  </si>
  <si>
    <t>Autres subventions d'équilibre</t>
  </si>
  <si>
    <t>SUBVENTIONS D'EQUILIBRE</t>
  </si>
  <si>
    <t>TOTAL DES PRODUITS</t>
  </si>
  <si>
    <t>ETAT DETAILLE DE LA TVA</t>
  </si>
  <si>
    <t>ETAT TVA 
(Inscrire les mouvements de la période et non les soldes des comptes)</t>
  </si>
  <si>
    <t>Mouvement Débit</t>
  </si>
  <si>
    <t>Mouvement Crédit</t>
  </si>
  <si>
    <t>SOLDE</t>
  </si>
  <si>
    <t>T.V.A. facturée sur ventes de la période</t>
  </si>
  <si>
    <t>T.V.A. facturée sur prestations de services de la période</t>
  </si>
  <si>
    <t>T.V.A. facturée sur travaux de la période</t>
  </si>
  <si>
    <t>T.V.A. facturée sur production livrée à soi-même de la période</t>
  </si>
  <si>
    <t>T.V.A. sur factures à établir de la période</t>
  </si>
  <si>
    <t>T.V.A. facturée de la période</t>
  </si>
  <si>
    <t>T.V.A. exigible de la période</t>
  </si>
  <si>
    <t>T.V.A. récupérable sur immobilisations de la période</t>
  </si>
  <si>
    <t>T.V.A. récupérable sur achats de la période</t>
  </si>
  <si>
    <t>T.V.A. récupérable sur transport de la période</t>
  </si>
  <si>
    <t>T.V.A. récupérable sur services extérieurs et autres charges de la période</t>
  </si>
  <si>
    <t>T.V.A. récupérable sur factures non parvenues de la période</t>
  </si>
  <si>
    <t>T.V.A. transférée par d'autres entités de la période</t>
  </si>
  <si>
    <t>T.V.A. Récupérable de la période</t>
  </si>
  <si>
    <t>T.V.A. Récupérée de la période</t>
  </si>
  <si>
    <t>Prorata de déduction</t>
  </si>
  <si>
    <t>État, T.V.A. due</t>
  </si>
  <si>
    <t>État, crédit de T.V.A. à reporter</t>
  </si>
  <si>
    <t xml:space="preserve">T.V.A. Due ou crédit de T.V.A.        </t>
  </si>
  <si>
    <t>TVA supportée et demandée en remboursement</t>
  </si>
  <si>
    <t>ETAT SUPPLEMENTAIRE : ELEMENTS STATISTIQUES UEMOA</t>
  </si>
  <si>
    <r>
      <t>COMPLEMENT NOTE ANNEXE (Valeur en</t>
    </r>
    <r>
      <rPr>
        <b/>
        <sz val="8"/>
        <rFont val="Cambria"/>
        <family val="1"/>
      </rPr>
      <t xml:space="preserve"> francs CFA)</t>
    </r>
  </si>
  <si>
    <r>
      <t>COMPLEMENT NOTE 32 (Valeurs en</t>
    </r>
    <r>
      <rPr>
        <b/>
        <sz val="8"/>
        <rFont val="Cambria"/>
        <family val="1"/>
      </rPr>
      <t xml:space="preserve"> francs CFA</t>
    </r>
    <r>
      <rPr>
        <sz val="8"/>
        <rFont val="Cambria"/>
        <family val="1"/>
      </rPr>
      <t>)</t>
    </r>
  </si>
  <si>
    <t>COMPLEMENT ETAT ANNEXE</t>
  </si>
  <si>
    <t>Montant
autres Etats
de l'UEMOA</t>
  </si>
  <si>
    <t>Montant autres
Etats de la
Région hors de
l'UEMOA</t>
  </si>
  <si>
    <t>DESIGNATION DU PRODUIT</t>
  </si>
  <si>
    <t>UNITE DE QUANTITE CHOISIE</t>
  </si>
  <si>
    <t>PRODUCTION VENDUE
DANS LES AUTRES ETATS
DE L'UEMOA</t>
  </si>
  <si>
    <t>PRODUCTION VENDUE
AUTRES ETATS DE LA
REGION HORS
DE L'UEMOA</t>
  </si>
  <si>
    <t>Quantité</t>
  </si>
  <si>
    <t>Valeur</t>
  </si>
  <si>
    <t>I - B12 - 1 DETAIL DE PRODUITS :</t>
  </si>
  <si>
    <t xml:space="preserve">Redevances pour brevets, concessions, </t>
  </si>
  <si>
    <t>licences, marques et droits similaires :</t>
  </si>
  <si>
    <t>Redevances pour location de terrains agricoles :</t>
  </si>
  <si>
    <t>I - C1 - BIENS ACQUIS D'OCCASION :</t>
  </si>
  <si>
    <t>NON VENTILE</t>
  </si>
  <si>
    <t>COMPLEMENT NOTE ANNEXE</t>
  </si>
  <si>
    <t>AUTRE ETATS DE L'UEMOA</t>
  </si>
  <si>
    <t>COMPLEMENT NOTE ANNEXE ACHATS DESTINES A LA PRODUCTION EN FCFA</t>
  </si>
  <si>
    <t>Exercice N</t>
  </si>
  <si>
    <t>PERSONNEL PROPRE</t>
  </si>
  <si>
    <t>EFFECTIFS</t>
  </si>
  <si>
    <t>Achats de marchandises dans l'UEMOA</t>
  </si>
  <si>
    <t>Achats de marchandises au groupe dans</t>
  </si>
  <si>
    <t>1. CADRE SUPERIEURS</t>
  </si>
  <si>
    <t>l'UEMOA</t>
  </si>
  <si>
    <t>2. TECHNICIENS SUPERIEURS ET
    CADRES MOYENS</t>
  </si>
  <si>
    <t>Achats de marchandises</t>
  </si>
  <si>
    <t>3. TECHNICIENS, AGENTS DE
    MAITRISE ET OUVRIERS QUALIFIES</t>
  </si>
  <si>
    <t>Achats de matières premières dans l'UEMOA</t>
  </si>
  <si>
    <t>4. EMPLOYES, MANŒUVRES,
    OUVRIERS ET APPRENTIS</t>
  </si>
  <si>
    <t>Achats de matières premières au groupe dans l'UEMOA</t>
  </si>
  <si>
    <t>Achats de matières premières</t>
  </si>
  <si>
    <t>Achats de
matières premières
et fournitures liées</t>
  </si>
  <si>
    <t>Achats stockés
de matières et
fournitures
consommables</t>
  </si>
  <si>
    <t>Achats
d'emballages</t>
  </si>
  <si>
    <t>Total rubriques</t>
  </si>
  <si>
    <t>Immobilisations</t>
  </si>
  <si>
    <t>Droits de douane</t>
  </si>
  <si>
    <t>Frets et transports sur achats</t>
  </si>
  <si>
    <t>Assurances transport sur achats</t>
  </si>
  <si>
    <t>Commissions et courtages sur achats</t>
  </si>
  <si>
    <t>Rémunération du transitaire</t>
  </si>
  <si>
    <t>Autres frais accessoires d'achat</t>
  </si>
  <si>
    <t>Total frais accessoires d'achats</t>
  </si>
  <si>
    <t xml:space="preserve">DETAIL DES AVANTAGES EN NATURE  ALLOUES AU PERSONNEL </t>
  </si>
  <si>
    <t>Montant brut</t>
  </si>
  <si>
    <t>Montant à imposer</t>
  </si>
  <si>
    <t>IMMOBILISATIONS</t>
  </si>
  <si>
    <t>Bâtiment affecté au personnel, y compris le matériel et mobilier</t>
  </si>
  <si>
    <t>Matériels de transport mis à disposition du personnel</t>
  </si>
  <si>
    <t>Autres immobilisations</t>
  </si>
  <si>
    <t>CHARGES</t>
  </si>
  <si>
    <t>Electricité logement du personnel</t>
  </si>
  <si>
    <t>Frais de télécommunication</t>
  </si>
  <si>
    <t>Gardiennage logement du personnel</t>
  </si>
  <si>
    <t>Autres charges de domesticité</t>
  </si>
  <si>
    <t>Voyages congés personnel</t>
  </si>
  <si>
    <t>Loyers supportés pour le logement du personnel</t>
  </si>
  <si>
    <t>Eau logement du personnel</t>
  </si>
  <si>
    <t>Autres avantages en nature</t>
  </si>
  <si>
    <t>Frais de voyage de congé</t>
  </si>
  <si>
    <t>Nom et prénoms</t>
  </si>
  <si>
    <t>Montants</t>
  </si>
  <si>
    <t>Dates des voyages</t>
  </si>
  <si>
    <t>PRETS</t>
  </si>
  <si>
    <t>Nom &amp; adresse des bénéficiaires</t>
  </si>
  <si>
    <t>Montant du prêt</t>
  </si>
  <si>
    <t>Durée</t>
  </si>
  <si>
    <t>Échéances annuelles en principal</t>
  </si>
  <si>
    <t>Taux</t>
  </si>
  <si>
    <t>Montant intérêts annuels</t>
  </si>
  <si>
    <t>ETATS ET COLLECTIVITES PUBLIQUES</t>
  </si>
  <si>
    <t>Désignation du débiteur</t>
  </si>
  <si>
    <r>
      <t>Nature créance</t>
    </r>
    <r>
      <rPr>
        <vertAlign val="superscript"/>
        <sz val="10"/>
        <color theme="1"/>
        <rFont val="Cambria"/>
        <family val="1"/>
      </rPr>
      <t>(1)</t>
    </r>
  </si>
  <si>
    <t>Montant</t>
  </si>
  <si>
    <t>(1) Pour les créances fiscales indiquer la nature de l'impôt ou de la taxe</t>
  </si>
  <si>
    <t>DEBITEURS DIVERS</t>
  </si>
  <si>
    <t>Nature créance</t>
  </si>
  <si>
    <t>MOBILIERS ET MATERIELS DE LOGEMENT AFFECTES AU PERSONNEL ET  AUX DIRIGEANTS</t>
  </si>
  <si>
    <t>Nature</t>
  </si>
  <si>
    <t>Date d'acquisition</t>
  </si>
  <si>
    <t>Valeur d'origine</t>
  </si>
  <si>
    <t>Amortissement annuel</t>
  </si>
  <si>
    <t>Nom &amp; qualité de l'affectataire</t>
  </si>
  <si>
    <t>VEHICULES  AFFECTES AU PERSONNEL ET  AUX DIRIGEANTS</t>
  </si>
  <si>
    <t>Caractéristique, marque et puissance</t>
  </si>
  <si>
    <t>DETTES DE L'EXERCICE</t>
  </si>
  <si>
    <t>EMPRUNTS ET DETTES FINANCIERES</t>
  </si>
  <si>
    <t>Nom &amp; adresse du créancier</t>
  </si>
  <si>
    <t>DETTES FISCALES</t>
  </si>
  <si>
    <t>Nature de l'impôt ou taxe</t>
  </si>
  <si>
    <t>Période d'exigibilité de l'impôt ou de la taxe</t>
  </si>
  <si>
    <t>Montant dû</t>
  </si>
  <si>
    <t>CREDITEURS DIVERS - CHARGES D'IMPOTS ET TAXES</t>
  </si>
  <si>
    <t>CREDITEURS DIVERS ( BILAN PASSIF)</t>
  </si>
  <si>
    <t>Nom et adresse du créancier</t>
  </si>
  <si>
    <t>Nature de la dette</t>
  </si>
  <si>
    <t>IMPOTS-TAXES-PENALITES (COMPTE DE RESULTAT)</t>
  </si>
  <si>
    <t>DESIGNATION DES SALARIES</t>
  </si>
  <si>
    <t>MONTANT des traitements ou Salaires bruts</t>
  </si>
  <si>
    <t>NOMBRE de personnes à charge</t>
  </si>
  <si>
    <t>PERIODE</t>
  </si>
  <si>
    <t>INDEMNITE de fonction</t>
  </si>
  <si>
    <t>INDEMNITE de logement</t>
  </si>
  <si>
    <t>INDEMNITE de transport</t>
  </si>
  <si>
    <t>RETENUES pour pension</t>
  </si>
  <si>
    <t>RETENUES    IUTS</t>
  </si>
  <si>
    <t>NOM ET PRENOMS</t>
  </si>
  <si>
    <t>EMPLOI</t>
  </si>
  <si>
    <t>ETAT ANNUEL DES COMMISSIONS, VACATIONS, COURTAGES, RISTOURNES, HONORAIRES ET DROITS D'AUTEUR</t>
  </si>
  <si>
    <t xml:space="preserve">N° IFU </t>
  </si>
  <si>
    <t>NOM, RAISON SOCIALE</t>
  </si>
  <si>
    <t>Pays de résidence</t>
  </si>
  <si>
    <t>NATURE DE L'OPERATION</t>
  </si>
  <si>
    <t>Montant annuel HTVA</t>
  </si>
  <si>
    <t>TOTAL TTC</t>
  </si>
  <si>
    <t>ETAT DES LOYERS ENREGISTRES EN CHARGES</t>
  </si>
  <si>
    <t>N° IFU du bailleur (éventuellement)</t>
  </si>
  <si>
    <t>NOM DU BAILLEUR</t>
  </si>
  <si>
    <t>Adresse, Téléphone</t>
  </si>
  <si>
    <t>Lieu de situation de l'immeuble loué</t>
  </si>
  <si>
    <t>Loyer mensuel</t>
  </si>
  <si>
    <t>Montant total loyers passés en charges</t>
  </si>
  <si>
    <t>LISTE DES PRINCIPAUX CLIENTS</t>
  </si>
  <si>
    <t>N° IFU</t>
  </si>
  <si>
    <t>SERVICE DES IMPOTS DE RATTACHEMENT</t>
  </si>
  <si>
    <t>LISTE DES PRINCIPAUX FOURNISSEURS</t>
  </si>
  <si>
    <t>NOM &amp; PRENOMS OU RAISON SOCIALE</t>
  </si>
  <si>
    <t>ADRESSE</t>
  </si>
  <si>
    <t>PAYS DE RESIDENCE</t>
  </si>
  <si>
    <t>N° IFU 
(Eventuellement)</t>
  </si>
  <si>
    <t>SERVICE DES IMPOTS DE RATTACHEMENT 
(Eventuellement)</t>
  </si>
  <si>
    <t>NATURE</t>
  </si>
  <si>
    <t>OBJET</t>
  </si>
  <si>
    <t>Valeur en F CFA</t>
  </si>
  <si>
    <t>TELEPHONE</t>
  </si>
  <si>
    <t>Type de rémunération</t>
  </si>
  <si>
    <t>Montant brut perçu</t>
  </si>
  <si>
    <t>Capital souscrit appele verse</t>
  </si>
  <si>
    <t>Resultat de l'exercice (benefice)</t>
  </si>
  <si>
    <t>Batiments</t>
  </si>
  <si>
    <t>Depots</t>
  </si>
  <si>
    <t>Amortiss. immobilisations corpor.</t>
  </si>
  <si>
    <t>Constructions</t>
  </si>
  <si>
    <t>Fournis. factures non parvenues</t>
  </si>
  <si>
    <t>Fournis. avanc. &amp; acompt. sur cdes</t>
  </si>
  <si>
    <t>Clts avanc. &amp; acomp. recus sur cde</t>
  </si>
  <si>
    <t>Personnel : rémunérations dûes</t>
  </si>
  <si>
    <t>Comites d'entreprise, d'etablis.</t>
  </si>
  <si>
    <t>Creances etat suppr. decal. tva</t>
  </si>
  <si>
    <t>Titres sur tva</t>
  </si>
  <si>
    <t>Differences de conversion actif</t>
  </si>
  <si>
    <t>Charges à répartir sur plusieurs ex</t>
  </si>
  <si>
    <t>Banque</t>
  </si>
  <si>
    <t>Frais accessoires d'achat</t>
  </si>
  <si>
    <t>Redevances de credit-bail</t>
  </si>
  <si>
    <t>Charges locatives et de copropriété</t>
  </si>
  <si>
    <t>Documentation generale</t>
  </si>
  <si>
    <t>Commissions &amp; courtages sur achats</t>
  </si>
  <si>
    <t>Commissions &amp; courtages sur ventes</t>
  </si>
  <si>
    <t>Divers</t>
  </si>
  <si>
    <t>Transports biens &amp; collectifs</t>
  </si>
  <si>
    <t>Transports sur achats</t>
  </si>
  <si>
    <t>Transports entre ets ou chantiers</t>
  </si>
  <si>
    <t>Services bancaires et assim.</t>
  </si>
  <si>
    <t>Frais sur titres (achat, vente,.).</t>
  </si>
  <si>
    <t>Commissions &amp; frais sur emprunts</t>
  </si>
  <si>
    <t>Frais sur effets (comm. d'endos,.)</t>
  </si>
  <si>
    <t>Autres frais &amp; comm. prest. serv.</t>
  </si>
  <si>
    <t>Concours divers (cotisations,...)</t>
  </si>
  <si>
    <t>Impots taxes &amp; vers. sur remuner.</t>
  </si>
  <si>
    <t>Taxe sur les salaires</t>
  </si>
  <si>
    <t>Taxe d'apprentissage</t>
  </si>
  <si>
    <t>Taxes percues par org. publics int</t>
  </si>
  <si>
    <t>Rémunération du personnel</t>
  </si>
  <si>
    <t>Conges payes</t>
  </si>
  <si>
    <t>Salaires, appointements</t>
  </si>
  <si>
    <t>Prestations directes</t>
  </si>
  <si>
    <t>Redev. concess. brev, lic, marq,..</t>
  </si>
  <si>
    <t>Charges diverses gestion courante</t>
  </si>
  <si>
    <t>Charges financieres</t>
  </si>
  <si>
    <t>Interets des emprunts et dettes</t>
  </si>
  <si>
    <t>Interets obligations cautionnees</t>
  </si>
  <si>
    <t>Charg. except. sur operat. gestion</t>
  </si>
  <si>
    <t>Penalites sur marches</t>
  </si>
  <si>
    <t>Penalites amendes fisc. &amp; penales</t>
  </si>
  <si>
    <t>Val. compt. des elem. actif cedes</t>
  </si>
  <si>
    <t>Autres charges exceptionnelles</t>
  </si>
  <si>
    <t>Dotat. aux amort. des immob. corpo</t>
  </si>
  <si>
    <t>Produits divers gestion courante</t>
  </si>
  <si>
    <t>Produits exceptionnels</t>
  </si>
  <si>
    <t>Produits except. sur oper. gestion</t>
  </si>
  <si>
    <t>Liberalites percues</t>
  </si>
  <si>
    <t>Lots</t>
  </si>
  <si>
    <t>A-Nouveaux au 01/01/2024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</si>
</sst>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d/mm/yyyy;@"/>
    <numFmt numFmtId="165" formatCode="_(* #,##0.00_);_(* \(#,##0.00\);_(* &quot;-&quot;??_);_(@_)"/>
    <numFmt numFmtId="166" formatCode="_-* #,##0\ _€_-;\-* #,##0\ _€_-;_-* &quot;-&quot;??\ _€_-;_-@_-"/>
    <numFmt numFmtId="167" formatCode="_(* #,##0_);_(* \(#,##0\);_(* &quot;-&quot;??_);_(@_)"/>
  </numFmts>
  <fonts count="72" x14ac:knownFonts="1">
    <font>
      <sz val="11"/>
      <color theme="1"/>
      <name val="Calibri"/>
      <family val="2"/>
      <scheme val="minor"/>
    </font>
    <font>
      <sz val="11"/>
      <color theme="1"/>
      <name val="Calibri"/>
      <family val="2"/>
      <scheme val="minor"/>
    </font>
    <font>
      <b/>
      <sz val="11"/>
      <color theme="1"/>
      <name val="Calibri"/>
      <family val="2"/>
      <scheme val="minor"/>
    </font>
    <font>
      <b/>
      <sz val="14"/>
      <color rgb="FF00B0F0"/>
      <name val="Calibri Light"/>
      <family val="1"/>
      <scheme val="major"/>
    </font>
    <font>
      <b/>
      <sz val="9"/>
      <name val="Calibri Light"/>
      <family val="1"/>
      <scheme val="major"/>
    </font>
    <font>
      <b/>
      <sz val="8"/>
      <name val="Calibri Light"/>
      <family val="1"/>
      <scheme val="major"/>
    </font>
    <font>
      <i/>
      <sz val="8"/>
      <name val="Calibri Light"/>
      <family val="1"/>
      <scheme val="major"/>
    </font>
    <font>
      <b/>
      <sz val="9"/>
      <color theme="1"/>
      <name val="Calibri Light"/>
      <family val="1"/>
      <scheme val="major"/>
    </font>
    <font>
      <sz val="10"/>
      <name val="Arial"/>
      <family val="2"/>
    </font>
    <font>
      <sz val="8"/>
      <name val="Calibri Light"/>
      <family val="1"/>
      <scheme val="major"/>
    </font>
    <font>
      <b/>
      <sz val="11"/>
      <color theme="1"/>
      <name val="Calibri Light"/>
      <family val="1"/>
      <scheme val="major"/>
    </font>
    <font>
      <b/>
      <sz val="10"/>
      <name val="Calibri Light"/>
      <family val="1"/>
      <scheme val="major"/>
    </font>
    <font>
      <b/>
      <sz val="10"/>
      <color theme="1"/>
      <name val="Calibri Light"/>
      <family val="1"/>
      <scheme val="major"/>
    </font>
    <font>
      <sz val="11"/>
      <color theme="1"/>
      <name val="Cambria"/>
      <family val="1"/>
    </font>
    <font>
      <b/>
      <sz val="11"/>
      <color theme="1"/>
      <name val="Cambria"/>
      <family val="1"/>
    </font>
    <font>
      <b/>
      <sz val="10"/>
      <color theme="1"/>
      <name val="Cambria"/>
      <family val="1"/>
    </font>
    <font>
      <b/>
      <sz val="12"/>
      <color theme="1"/>
      <name val="Cambria"/>
      <family val="1"/>
    </font>
    <font>
      <sz val="12"/>
      <color theme="1"/>
      <name val="Cambria"/>
      <family val="1"/>
    </font>
    <font>
      <b/>
      <u/>
      <sz val="12"/>
      <color theme="1"/>
      <name val="Cambria"/>
      <family val="1"/>
    </font>
    <font>
      <b/>
      <sz val="26"/>
      <color theme="1"/>
      <name val="Cambria"/>
      <family val="1"/>
    </font>
    <font>
      <sz val="10"/>
      <color theme="1"/>
      <name val="Cambria"/>
      <family val="1"/>
    </font>
    <font>
      <b/>
      <sz val="14"/>
      <color theme="1"/>
      <name val="Cambria"/>
      <family val="1"/>
    </font>
    <font>
      <b/>
      <sz val="12"/>
      <name val="Cambria"/>
      <family val="1"/>
    </font>
    <font>
      <b/>
      <u/>
      <sz val="12"/>
      <name val="Cambria"/>
      <family val="1"/>
    </font>
    <font>
      <sz val="10"/>
      <name val="Cambria"/>
      <family val="1"/>
    </font>
    <font>
      <b/>
      <sz val="11"/>
      <name val="Cambria"/>
      <family val="1"/>
    </font>
    <font>
      <sz val="8"/>
      <name val="Cambria"/>
      <family val="1"/>
    </font>
    <font>
      <b/>
      <sz val="9"/>
      <name val="Cambria"/>
      <family val="1"/>
    </font>
    <font>
      <vertAlign val="superscript"/>
      <sz val="11"/>
      <color theme="1"/>
      <name val="Cambria"/>
      <family val="1"/>
    </font>
    <font>
      <b/>
      <sz val="8"/>
      <name val="Cambria"/>
      <family val="1"/>
    </font>
    <font>
      <vertAlign val="superscript"/>
      <sz val="10"/>
      <name val="Cambria"/>
      <family val="1"/>
    </font>
    <font>
      <sz val="11"/>
      <name val="Cambria"/>
      <family val="1"/>
    </font>
    <font>
      <b/>
      <sz val="10"/>
      <name val="Cambria"/>
      <family val="1"/>
    </font>
    <font>
      <sz val="9"/>
      <name val="Cambria"/>
      <family val="1"/>
    </font>
    <font>
      <b/>
      <sz val="7"/>
      <name val="Cambria"/>
      <family val="1"/>
    </font>
    <font>
      <sz val="7"/>
      <name val="Cambria"/>
      <family val="1"/>
    </font>
    <font>
      <u/>
      <sz val="11"/>
      <color theme="10"/>
      <name val="Calibri"/>
      <family val="2"/>
      <scheme val="minor"/>
    </font>
    <font>
      <u/>
      <sz val="11"/>
      <color theme="10"/>
      <name val="Cambria"/>
      <family val="1"/>
    </font>
    <font>
      <sz val="6"/>
      <name val="Cambria"/>
      <family val="1"/>
    </font>
    <font>
      <vertAlign val="superscript"/>
      <sz val="10"/>
      <color theme="1"/>
      <name val="Cambria"/>
      <family val="1"/>
    </font>
    <font>
      <b/>
      <vertAlign val="superscript"/>
      <sz val="11"/>
      <name val="Cambria"/>
      <family val="1"/>
    </font>
    <font>
      <vertAlign val="superscript"/>
      <sz val="8"/>
      <name val="Cambria"/>
      <family val="1"/>
    </font>
    <font>
      <vertAlign val="superscript"/>
      <sz val="9"/>
      <color theme="1"/>
      <name val="Cambria"/>
      <family val="1"/>
    </font>
    <font>
      <sz val="9"/>
      <color theme="1"/>
      <name val="Cambria"/>
      <family val="1"/>
    </font>
    <font>
      <vertAlign val="superscript"/>
      <sz val="9"/>
      <name val="Cambria"/>
      <family val="1"/>
    </font>
    <font>
      <b/>
      <sz val="36"/>
      <color theme="1"/>
      <name val="Cambria"/>
      <family val="1"/>
    </font>
    <font>
      <b/>
      <sz val="9"/>
      <color theme="1"/>
      <name val="Cambria"/>
      <family val="1"/>
    </font>
    <font>
      <b/>
      <sz val="12"/>
      <color theme="1"/>
      <name val="Calibri Light"/>
      <family val="1"/>
      <scheme val="major"/>
    </font>
    <font>
      <i/>
      <sz val="9"/>
      <color theme="1"/>
      <name val="Cambria"/>
      <family val="1"/>
    </font>
    <font>
      <sz val="11"/>
      <name val="Calibri Light"/>
      <family val="1"/>
      <scheme val="major"/>
    </font>
    <font>
      <i/>
      <sz val="10"/>
      <name val="Cambria"/>
      <family val="1"/>
    </font>
    <font>
      <u/>
      <sz val="10"/>
      <name val="Cambria"/>
      <family val="1"/>
    </font>
    <font>
      <i/>
      <sz val="9"/>
      <name val="Cambria"/>
      <family val="1"/>
    </font>
    <font>
      <i/>
      <vertAlign val="superscript"/>
      <sz val="9"/>
      <name val="Cambria"/>
      <family val="1"/>
    </font>
    <font>
      <i/>
      <vertAlign val="superscript"/>
      <sz val="9"/>
      <color theme="1"/>
      <name val="Cambria"/>
      <family val="1"/>
    </font>
    <font>
      <i/>
      <sz val="10"/>
      <color theme="1"/>
      <name val="Cambria"/>
      <family val="1"/>
    </font>
    <font>
      <sz val="11"/>
      <color theme="1"/>
      <name val="Calibri Light"/>
      <family val="1"/>
      <scheme val="major"/>
    </font>
    <font>
      <sz val="11"/>
      <color theme="0"/>
      <name val="Cambria"/>
      <family val="1"/>
    </font>
    <font>
      <sz val="8"/>
      <color theme="1"/>
      <name val="Cambria"/>
      <family val="1"/>
    </font>
    <font>
      <b/>
      <i/>
      <sz val="9"/>
      <name val="Cambria"/>
      <family val="1"/>
    </font>
    <font>
      <b/>
      <i/>
      <sz val="9"/>
      <color theme="1"/>
      <name val="Cambria"/>
      <family val="1"/>
    </font>
    <font>
      <sz val="9"/>
      <color rgb="FF000000"/>
      <name val="Cambria"/>
      <family val="1"/>
    </font>
    <font>
      <b/>
      <sz val="10"/>
      <color indexed="8"/>
      <name val="Cambria"/>
      <family val="1"/>
    </font>
    <font>
      <sz val="9"/>
      <color indexed="8"/>
      <name val="Cambria"/>
      <family val="1"/>
    </font>
    <font>
      <b/>
      <i/>
      <sz val="9"/>
      <color indexed="8"/>
      <name val="Cambria"/>
      <family val="1"/>
    </font>
    <font>
      <i/>
      <sz val="8"/>
      <name val="Cambria"/>
      <family val="1"/>
    </font>
    <font>
      <b/>
      <u/>
      <sz val="8"/>
      <name val="Cambria"/>
      <family val="1"/>
    </font>
    <font>
      <b/>
      <i/>
      <sz val="8"/>
      <name val="Cambria"/>
      <family val="1"/>
    </font>
    <font>
      <b/>
      <sz val="8"/>
      <color theme="1"/>
      <name val="Cambria"/>
      <family val="1"/>
    </font>
    <font>
      <i/>
      <sz val="8"/>
      <color theme="1"/>
      <name val="Cambria"/>
      <family val="1"/>
    </font>
    <font>
      <sz val="10"/>
      <color rgb="FF000000"/>
      <name val="Arial"/>
      <family val="2"/>
    </font>
    <font>
      <sz val="10"/>
      <color theme="1"/>
      <name val="Arial"/>
      <family val="2"/>
    </font>
  </fonts>
  <fills count="18">
    <fill>
      <patternFill patternType="none"/>
    </fill>
    <fill>
      <patternFill patternType="gray125"/>
    </fill>
    <fill>
      <patternFill patternType="solid">
        <fgColor rgb="FFFFFF9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22"/>
        <bgColor indexed="64"/>
      </patternFill>
    </fill>
    <fill>
      <patternFill patternType="solid">
        <fgColor theme="4" tint="0.79998168889431442"/>
        <bgColor indexed="64"/>
      </patternFill>
    </fill>
    <fill>
      <patternFill patternType="solid">
        <fgColor indexed="9"/>
        <bgColor indexed="64"/>
      </patternFill>
    </fill>
    <fill>
      <patternFill patternType="solid">
        <fgColor theme="0" tint="-0.14999847407452621"/>
        <bgColor indexed="64"/>
      </patternFill>
    </fill>
    <fill>
      <patternFill patternType="solid">
        <fgColor theme="0" tint="-0.34998626667073579"/>
        <bgColor indexed="64"/>
      </patternFill>
    </fill>
    <fill>
      <patternFill patternType="lightGrid">
        <bgColor auto="1"/>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
      <patternFill patternType="solid">
        <fgColor rgb="FFF1F1FF"/>
        <bgColor indexed="64"/>
      </patternFill>
    </fill>
  </fills>
  <borders count="1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tted">
        <color auto="1"/>
      </bottom>
      <diagonal/>
    </border>
    <border>
      <left/>
      <right/>
      <top style="dotted">
        <color auto="1"/>
      </top>
      <bottom style="dotted">
        <color auto="1"/>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top/>
      <bottom style="hair">
        <color indexed="64"/>
      </bottom>
      <diagonal/>
    </border>
    <border>
      <left/>
      <right/>
      <top style="hair">
        <color indexed="64"/>
      </top>
      <bottom/>
      <diagonal/>
    </border>
    <border>
      <left/>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ashed">
        <color indexed="64"/>
      </top>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bottom style="dotted">
        <color indexed="64"/>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dotted">
        <color auto="1"/>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top style="medium">
        <color indexed="64"/>
      </top>
      <bottom/>
      <diagonal/>
    </border>
    <border>
      <left/>
      <right/>
      <top style="medium">
        <color auto="1"/>
      </top>
      <bottom/>
      <diagonal/>
    </border>
    <border>
      <left/>
      <right style="medium">
        <color auto="1"/>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medium">
        <color auto="1"/>
      </bottom>
      <diagonal/>
    </border>
    <border>
      <left/>
      <right/>
      <top/>
      <bottom style="medium">
        <color auto="1"/>
      </bottom>
      <diagonal/>
    </border>
    <border>
      <left/>
      <right style="medium">
        <color indexed="64"/>
      </right>
      <top/>
      <bottom style="medium">
        <color auto="1"/>
      </bottom>
      <diagonal/>
    </border>
    <border>
      <left style="medium">
        <color indexed="64"/>
      </left>
      <right style="medium">
        <color indexed="64"/>
      </right>
      <top/>
      <bottom style="medium">
        <color indexed="64"/>
      </bottom>
      <diagonal/>
    </border>
    <border>
      <left style="thin">
        <color indexed="64"/>
      </left>
      <right style="thin">
        <color indexed="64"/>
      </right>
      <top style="medium">
        <color auto="1"/>
      </top>
      <bottom/>
      <diagonal/>
    </border>
    <border>
      <left style="medium">
        <color indexed="64"/>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style="medium">
        <color indexed="64"/>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medium">
        <color indexed="64"/>
      </left>
      <right style="thin">
        <color theme="1" tint="0.499984740745262"/>
      </right>
      <top/>
      <bottom/>
      <diagonal/>
    </border>
    <border>
      <left style="thin">
        <color theme="1" tint="0.499984740745262"/>
      </left>
      <right style="thin">
        <color theme="1" tint="0.499984740745262"/>
      </right>
      <top/>
      <bottom/>
      <diagonal/>
    </border>
    <border>
      <left style="thin">
        <color theme="1" tint="0.499984740745262"/>
      </left>
      <right style="medium">
        <color indexed="64"/>
      </right>
      <top/>
      <bottom/>
      <diagonal/>
    </border>
    <border>
      <left style="medium">
        <color indexed="64"/>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style="medium">
        <color auto="1"/>
      </left>
      <right/>
      <top/>
      <bottom/>
      <diagonal/>
    </border>
    <border>
      <left style="medium">
        <color indexed="64"/>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medium">
        <color indexed="64"/>
      </left>
      <right/>
      <top style="thin">
        <color theme="1" tint="0.499984740745262"/>
      </top>
      <bottom style="medium">
        <color indexed="64"/>
      </bottom>
      <diagonal/>
    </border>
    <border>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style="medium">
        <color auto="1"/>
      </right>
      <top/>
      <bottom/>
      <diagonal/>
    </border>
    <border>
      <left style="medium">
        <color indexed="64"/>
      </left>
      <right/>
      <top style="medium">
        <color indexed="64"/>
      </top>
      <bottom style="thin">
        <color theme="1" tint="0.499984740745262"/>
      </bottom>
      <diagonal/>
    </border>
    <border>
      <left style="thin">
        <color theme="1" tint="0.499984740745262"/>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indexed="64"/>
      </right>
      <top style="medium">
        <color indexed="64"/>
      </top>
      <bottom style="thin">
        <color theme="1" tint="0.499984740745262"/>
      </bottom>
      <diagonal/>
    </border>
    <border>
      <left style="medium">
        <color indexed="64"/>
      </left>
      <right style="thin">
        <color theme="1" tint="0.499984740745262"/>
      </right>
      <top style="medium">
        <color indexed="64"/>
      </top>
      <bottom style="thin">
        <color theme="1" tint="0.499984740745262"/>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thin">
        <color theme="1" tint="0.499984740745262"/>
      </right>
      <top style="medium">
        <color indexed="64"/>
      </top>
      <bottom/>
      <diagonal/>
    </border>
    <border>
      <left style="thin">
        <color theme="1" tint="0.499984740745262"/>
      </left>
      <right style="medium">
        <color indexed="64"/>
      </right>
      <top style="medium">
        <color indexed="64"/>
      </top>
      <bottom/>
      <diagonal/>
    </border>
    <border>
      <left style="medium">
        <color indexed="64"/>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right style="medium">
        <color indexed="64"/>
      </right>
      <top style="thin">
        <color theme="1" tint="0.499984740745262"/>
      </top>
      <bottom style="thin">
        <color theme="1" tint="0.499984740745262"/>
      </bottom>
      <diagonal/>
    </border>
    <border>
      <left/>
      <right style="thin">
        <color theme="1" tint="0.499984740745262"/>
      </right>
      <top/>
      <bottom/>
      <diagonal/>
    </border>
    <border>
      <left style="thin">
        <color theme="1" tint="0.499984740745262"/>
      </left>
      <right/>
      <top style="thin">
        <color theme="1" tint="0.499984740745262"/>
      </top>
      <bottom/>
      <diagonal/>
    </border>
    <border>
      <left/>
      <right style="medium">
        <color indexed="64"/>
      </right>
      <top style="thin">
        <color theme="1" tint="0.499984740745262"/>
      </top>
      <bottom/>
      <diagonal/>
    </border>
    <border>
      <left style="thin">
        <color theme="1" tint="0.499984740745262"/>
      </left>
      <right/>
      <top/>
      <bottom style="thin">
        <color theme="1" tint="0.499984740745262"/>
      </bottom>
      <diagonal/>
    </border>
    <border>
      <left/>
      <right style="medium">
        <color indexed="64"/>
      </right>
      <top/>
      <bottom style="thin">
        <color theme="1" tint="0.499984740745262"/>
      </bottom>
      <diagonal/>
    </border>
    <border>
      <left style="thin">
        <color theme="1" tint="0.499984740745262"/>
      </left>
      <right/>
      <top/>
      <bottom/>
      <diagonal/>
    </border>
    <border>
      <left style="medium">
        <color indexed="64"/>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medium">
        <color indexed="64"/>
      </left>
      <right style="thin">
        <color theme="1" tint="0.499984740745262"/>
      </right>
      <top style="thin">
        <color theme="1" tint="0.499984740745262"/>
      </top>
      <bottom style="medium">
        <color indexed="64"/>
      </bottom>
      <diagonal/>
    </border>
    <border>
      <left style="thin">
        <color theme="1" tint="0.499984740745262"/>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xf numFmtId="0" fontId="8" fillId="0" borderId="0"/>
    <xf numFmtId="0" fontId="36" fillId="0" borderId="0" applyNumberFormat="0" applyFill="0" applyBorder="0" applyAlignment="0" applyProtection="0"/>
    <xf numFmtId="0" fontId="8" fillId="0" borderId="0"/>
    <xf numFmtId="165" fontId="1" fillId="0" borderId="0" applyFont="0" applyFill="0" applyBorder="0" applyAlignment="0" applyProtection="0"/>
  </cellStyleXfs>
  <cellXfs count="1475">
    <xf numFmtId="0" fontId="0" fillId="0" borderId="0" xfId="0"/>
    <xf numFmtId="3" fontId="4" fillId="0" borderId="4" xfId="0" applyNumberFormat="1" applyFont="1" applyBorder="1" applyAlignment="1">
      <alignment horizontal="right"/>
    </xf>
    <xf numFmtId="0" fontId="4" fillId="2" borderId="6" xfId="0" applyFont="1" applyFill="1" applyBorder="1" applyAlignment="1" applyProtection="1">
      <alignment horizontal="center" vertical="center"/>
      <protection locked="0"/>
    </xf>
    <xf numFmtId="49" fontId="4" fillId="2" borderId="6" xfId="0" applyNumberFormat="1" applyFont="1" applyFill="1" applyBorder="1" applyAlignment="1" applyProtection="1">
      <alignment horizontal="center" vertical="center"/>
      <protection locked="0"/>
    </xf>
    <xf numFmtId="3" fontId="4" fillId="0" borderId="4" xfId="0" applyNumberFormat="1" applyFont="1" applyBorder="1"/>
    <xf numFmtId="3" fontId="4" fillId="0" borderId="4" xfId="0" applyNumberFormat="1" applyFont="1" applyBorder="1" applyAlignment="1">
      <alignment horizontal="right" vertical="center"/>
    </xf>
    <xf numFmtId="3" fontId="4" fillId="0" borderId="0" xfId="0" applyNumberFormat="1" applyFont="1" applyAlignment="1">
      <alignment horizontal="center" vertical="center"/>
    </xf>
    <xf numFmtId="14" fontId="4" fillId="2" borderId="6" xfId="0" applyNumberFormat="1" applyFont="1" applyFill="1" applyBorder="1" applyAlignment="1" applyProtection="1">
      <alignment horizontal="center" vertical="center"/>
      <protection locked="0"/>
    </xf>
    <xf numFmtId="0" fontId="5" fillId="0" borderId="0" xfId="0" applyFont="1" applyAlignment="1">
      <alignment horizontal="center" vertical="center"/>
    </xf>
    <xf numFmtId="0" fontId="10" fillId="2" borderId="6" xfId="0" applyFont="1" applyFill="1" applyBorder="1" applyAlignment="1" applyProtection="1">
      <alignment horizontal="center" vertical="center"/>
      <protection locked="0"/>
    </xf>
    <xf numFmtId="3" fontId="4" fillId="0" borderId="5" xfId="0" applyNumberFormat="1" applyFont="1" applyBorder="1" applyAlignment="1">
      <alignment horizontal="right" vertical="center"/>
    </xf>
    <xf numFmtId="0" fontId="4" fillId="0" borderId="5" xfId="0" applyFont="1" applyBorder="1" applyAlignment="1">
      <alignment horizontal="right" vertical="center"/>
    </xf>
    <xf numFmtId="3" fontId="4" fillId="0" borderId="6" xfId="0" applyNumberFormat="1" applyFont="1" applyBorder="1" applyAlignment="1">
      <alignment horizontal="right" vertical="center"/>
    </xf>
    <xf numFmtId="49" fontId="4" fillId="0" borderId="6" xfId="3" applyNumberFormat="1" applyFont="1" applyBorder="1" applyAlignment="1">
      <alignment horizontal="right" vertical="center"/>
    </xf>
    <xf numFmtId="0" fontId="12" fillId="2" borderId="6" xfId="0" applyFont="1" applyFill="1" applyBorder="1" applyAlignment="1" applyProtection="1">
      <alignment horizontal="center" vertical="center"/>
      <protection locked="0"/>
    </xf>
    <xf numFmtId="0" fontId="0" fillId="3" borderId="0" xfId="0" applyFill="1"/>
    <xf numFmtId="0" fontId="0" fillId="4" borderId="0" xfId="0" applyFill="1"/>
    <xf numFmtId="0" fontId="2" fillId="4" borderId="6" xfId="0" applyFont="1" applyFill="1" applyBorder="1" applyAlignment="1">
      <alignment vertical="center" wrapText="1"/>
    </xf>
    <xf numFmtId="0" fontId="2" fillId="4" borderId="6" xfId="0" applyFont="1" applyFill="1" applyBorder="1" applyAlignment="1">
      <alignment vertical="center"/>
    </xf>
    <xf numFmtId="0" fontId="2" fillId="4" borderId="5" xfId="0" applyFont="1" applyFill="1" applyBorder="1" applyAlignment="1">
      <alignment vertical="center" wrapText="1"/>
    </xf>
    <xf numFmtId="0" fontId="2" fillId="4" borderId="5" xfId="0" applyFont="1" applyFill="1" applyBorder="1" applyAlignment="1">
      <alignment vertical="center"/>
    </xf>
    <xf numFmtId="0" fontId="2" fillId="4" borderId="5" xfId="0" applyFont="1" applyFill="1" applyBorder="1" applyAlignment="1">
      <alignment horizontal="center" vertical="center"/>
    </xf>
    <xf numFmtId="0" fontId="2" fillId="4" borderId="7" xfId="0" applyFont="1" applyFill="1" applyBorder="1" applyAlignment="1">
      <alignment vertical="center" wrapText="1"/>
    </xf>
    <xf numFmtId="0" fontId="2" fillId="4" borderId="7" xfId="0" applyFont="1" applyFill="1" applyBorder="1" applyAlignment="1">
      <alignment vertical="center"/>
    </xf>
    <xf numFmtId="0" fontId="13" fillId="0" borderId="0" xfId="0" applyFont="1" applyProtection="1">
      <protection hidden="1"/>
    </xf>
    <xf numFmtId="0" fontId="13" fillId="5" borderId="0" xfId="0" applyFont="1" applyFill="1" applyProtection="1">
      <protection hidden="1"/>
    </xf>
    <xf numFmtId="0" fontId="13" fillId="3" borderId="0" xfId="0" applyFont="1" applyFill="1" applyProtection="1">
      <protection hidden="1"/>
    </xf>
    <xf numFmtId="0" fontId="13" fillId="0" borderId="0" xfId="0" applyFont="1" applyAlignment="1" applyProtection="1">
      <alignment horizontal="center" vertical="center"/>
      <protection locked="0"/>
    </xf>
    <xf numFmtId="0" fontId="13" fillId="0" borderId="0" xfId="0" applyFont="1" applyProtection="1">
      <protection locked="0"/>
    </xf>
    <xf numFmtId="3" fontId="14" fillId="0" borderId="0" xfId="0" applyNumberFormat="1" applyFont="1" applyAlignment="1" applyProtection="1">
      <alignment vertical="center"/>
      <protection locked="0"/>
    </xf>
    <xf numFmtId="0" fontId="14" fillId="0" borderId="0" xfId="0" applyFont="1" applyAlignment="1" applyProtection="1">
      <alignment vertical="center"/>
      <protection locked="0"/>
    </xf>
    <xf numFmtId="0" fontId="15" fillId="0" borderId="0" xfId="0" applyFont="1" applyAlignment="1" applyProtection="1">
      <alignment horizontal="center" vertical="center"/>
      <protection locked="0"/>
    </xf>
    <xf numFmtId="0" fontId="16" fillId="0" borderId="0" xfId="0" applyFont="1" applyAlignment="1" applyProtection="1">
      <alignment horizontal="center" vertical="center"/>
      <protection hidden="1"/>
    </xf>
    <xf numFmtId="0" fontId="14" fillId="0" borderId="0" xfId="0" applyFont="1" applyAlignment="1" applyProtection="1">
      <alignment vertical="center"/>
      <protection hidden="1"/>
    </xf>
    <xf numFmtId="0" fontId="17" fillId="0" borderId="0" xfId="0" applyFont="1" applyProtection="1">
      <protection hidden="1"/>
    </xf>
    <xf numFmtId="49" fontId="16" fillId="0" borderId="0" xfId="0" applyNumberFormat="1" applyFont="1" applyAlignment="1" applyProtection="1">
      <alignment horizontal="center" vertical="center"/>
      <protection hidden="1"/>
    </xf>
    <xf numFmtId="49" fontId="16" fillId="0" borderId="0" xfId="0" applyNumberFormat="1" applyFont="1" applyAlignment="1" applyProtection="1">
      <alignment vertical="center"/>
      <protection hidden="1"/>
    </xf>
    <xf numFmtId="0" fontId="17" fillId="0" borderId="0" xfId="0" applyFont="1" applyAlignment="1" applyProtection="1">
      <alignment horizontal="center" vertical="center"/>
      <protection hidden="1"/>
    </xf>
    <xf numFmtId="0" fontId="16" fillId="0" borderId="0" xfId="0" applyFont="1" applyAlignment="1" applyProtection="1">
      <alignment vertical="center"/>
      <protection hidden="1"/>
    </xf>
    <xf numFmtId="0" fontId="13" fillId="0" borderId="0" xfId="0" applyFont="1" applyAlignment="1" applyProtection="1">
      <alignment horizontal="left" vertical="center"/>
      <protection hidden="1"/>
    </xf>
    <xf numFmtId="0" fontId="18" fillId="0" borderId="0" xfId="0" applyFont="1" applyAlignment="1" applyProtection="1">
      <alignment vertical="center"/>
      <protection hidden="1"/>
    </xf>
    <xf numFmtId="0" fontId="13" fillId="0" borderId="0" xfId="0" applyFont="1" applyAlignment="1" applyProtection="1">
      <alignment vertical="center"/>
      <protection hidden="1"/>
    </xf>
    <xf numFmtId="0" fontId="13" fillId="0" borderId="0" xfId="0" applyFont="1" applyAlignment="1" applyProtection="1">
      <alignment horizontal="center" vertical="center"/>
      <protection hidden="1"/>
    </xf>
    <xf numFmtId="0" fontId="16" fillId="0" borderId="14" xfId="0" applyFont="1" applyBorder="1" applyAlignment="1" applyProtection="1">
      <alignment vertical="center"/>
      <protection hidden="1"/>
    </xf>
    <xf numFmtId="0" fontId="13" fillId="0" borderId="14" xfId="0" applyFont="1" applyBorder="1" applyProtection="1">
      <protection hidden="1"/>
    </xf>
    <xf numFmtId="0" fontId="19" fillId="0" borderId="0" xfId="0" applyFont="1" applyAlignment="1" applyProtection="1">
      <alignment vertical="center"/>
      <protection hidden="1"/>
    </xf>
    <xf numFmtId="0" fontId="14" fillId="0" borderId="0" xfId="0" applyFont="1" applyAlignment="1" applyProtection="1">
      <alignment vertical="center" wrapText="1"/>
      <protection hidden="1"/>
    </xf>
    <xf numFmtId="0" fontId="15" fillId="0" borderId="0" xfId="0" applyFont="1" applyAlignment="1" applyProtection="1">
      <alignment horizontal="center" vertical="center"/>
      <protection hidden="1"/>
    </xf>
    <xf numFmtId="0" fontId="19" fillId="0" borderId="7" xfId="0" applyFont="1" applyBorder="1" applyAlignment="1" applyProtection="1">
      <alignment vertical="center"/>
      <protection hidden="1"/>
    </xf>
    <xf numFmtId="0" fontId="13" fillId="0" borderId="4" xfId="0" applyFont="1" applyBorder="1" applyProtection="1">
      <protection hidden="1"/>
    </xf>
    <xf numFmtId="0" fontId="19" fillId="0" borderId="16" xfId="0" applyFont="1" applyBorder="1" applyAlignment="1" applyProtection="1">
      <alignment vertical="center"/>
      <protection hidden="1"/>
    </xf>
    <xf numFmtId="0" fontId="19" fillId="0" borderId="4" xfId="0" applyFont="1" applyBorder="1" applyAlignment="1" applyProtection="1">
      <alignment vertical="center"/>
      <protection hidden="1"/>
    </xf>
    <xf numFmtId="0" fontId="13" fillId="0" borderId="17" xfId="0" applyFont="1" applyBorder="1" applyProtection="1">
      <protection hidden="1"/>
    </xf>
    <xf numFmtId="0" fontId="19" fillId="0" borderId="5" xfId="0" applyFont="1" applyBorder="1" applyAlignment="1" applyProtection="1">
      <alignment vertical="center"/>
      <protection hidden="1"/>
    </xf>
    <xf numFmtId="0" fontId="13" fillId="0" borderId="15" xfId="0" applyFont="1" applyBorder="1" applyProtection="1">
      <protection hidden="1"/>
    </xf>
    <xf numFmtId="0" fontId="13" fillId="0" borderId="8" xfId="0" applyFont="1" applyBorder="1" applyProtection="1">
      <protection hidden="1"/>
    </xf>
    <xf numFmtId="0" fontId="19" fillId="0" borderId="8" xfId="0" applyFont="1" applyBorder="1" applyAlignment="1" applyProtection="1">
      <alignment vertical="center"/>
      <protection hidden="1"/>
    </xf>
    <xf numFmtId="0" fontId="19" fillId="0" borderId="9" xfId="0" applyFont="1" applyBorder="1" applyAlignment="1" applyProtection="1">
      <alignment vertical="center"/>
      <protection hidden="1"/>
    </xf>
    <xf numFmtId="0" fontId="21" fillId="0" borderId="6" xfId="0" applyFont="1" applyBorder="1" applyAlignment="1" applyProtection="1">
      <alignment horizontal="center" vertical="center"/>
      <protection locked="0"/>
    </xf>
    <xf numFmtId="0" fontId="19" fillId="0" borderId="17" xfId="0" applyFont="1" applyBorder="1" applyAlignment="1" applyProtection="1">
      <alignment vertical="center"/>
      <protection hidden="1"/>
    </xf>
    <xf numFmtId="0" fontId="13" fillId="0" borderId="10" xfId="0" applyFont="1" applyBorder="1" applyProtection="1">
      <protection hidden="1"/>
    </xf>
    <xf numFmtId="0" fontId="13" fillId="0" borderId="11" xfId="0" applyFont="1" applyBorder="1" applyProtection="1">
      <protection hidden="1"/>
    </xf>
    <xf numFmtId="0" fontId="19" fillId="0" borderId="11" xfId="0" applyFont="1" applyBorder="1" applyAlignment="1" applyProtection="1">
      <alignment vertical="center"/>
      <protection hidden="1"/>
    </xf>
    <xf numFmtId="0" fontId="19" fillId="0" borderId="12" xfId="0" applyFont="1" applyBorder="1" applyAlignment="1" applyProtection="1">
      <alignment vertical="center"/>
      <protection hidden="1"/>
    </xf>
    <xf numFmtId="0" fontId="22" fillId="0" borderId="0" xfId="4" applyFont="1" applyProtection="1">
      <protection hidden="1"/>
    </xf>
    <xf numFmtId="0" fontId="23" fillId="0" borderId="0" xfId="4" applyFont="1" applyProtection="1">
      <protection hidden="1"/>
    </xf>
    <xf numFmtId="0" fontId="24" fillId="0" borderId="0" xfId="3" applyFont="1" applyProtection="1">
      <protection hidden="1"/>
    </xf>
    <xf numFmtId="0" fontId="25" fillId="0" borderId="0" xfId="3" applyFont="1" applyProtection="1">
      <protection hidden="1"/>
    </xf>
    <xf numFmtId="0" fontId="26" fillId="0" borderId="0" xfId="3" applyFont="1" applyAlignment="1" applyProtection="1">
      <alignment vertical="center"/>
      <protection hidden="1"/>
    </xf>
    <xf numFmtId="0" fontId="25" fillId="0" borderId="15" xfId="3" applyFont="1" applyBorder="1" applyProtection="1">
      <protection hidden="1"/>
    </xf>
    <xf numFmtId="0" fontId="25" fillId="0" borderId="8" xfId="3" applyFont="1" applyBorder="1" applyProtection="1">
      <protection hidden="1"/>
    </xf>
    <xf numFmtId="0" fontId="26" fillId="0" borderId="8" xfId="3" applyFont="1" applyBorder="1" applyAlignment="1" applyProtection="1">
      <alignment horizontal="center" vertical="center"/>
      <protection hidden="1"/>
    </xf>
    <xf numFmtId="0" fontId="26" fillId="0" borderId="9" xfId="3" applyFont="1" applyBorder="1" applyAlignment="1" applyProtection="1">
      <alignment horizontal="center" vertical="center"/>
      <protection hidden="1"/>
    </xf>
    <xf numFmtId="0" fontId="26" fillId="0" borderId="8" xfId="3" applyFont="1" applyBorder="1" applyAlignment="1" applyProtection="1">
      <alignment vertical="center"/>
      <protection hidden="1"/>
    </xf>
    <xf numFmtId="0" fontId="26" fillId="0" borderId="9" xfId="3" applyFont="1" applyBorder="1" applyAlignment="1" applyProtection="1">
      <alignment vertical="center"/>
      <protection hidden="1"/>
    </xf>
    <xf numFmtId="0" fontId="26" fillId="0" borderId="4" xfId="3" applyFont="1" applyBorder="1" applyAlignment="1" applyProtection="1">
      <alignment vertical="center"/>
      <protection hidden="1"/>
    </xf>
    <xf numFmtId="0" fontId="29" fillId="0" borderId="0" xfId="3" applyFont="1" applyAlignment="1" applyProtection="1">
      <alignment vertical="center"/>
      <protection hidden="1"/>
    </xf>
    <xf numFmtId="49" fontId="26" fillId="0" borderId="0" xfId="3" applyNumberFormat="1" applyFont="1" applyAlignment="1" applyProtection="1">
      <alignment horizontal="right" vertical="center"/>
      <protection hidden="1"/>
    </xf>
    <xf numFmtId="49" fontId="26" fillId="0" borderId="17" xfId="3" applyNumberFormat="1" applyFont="1" applyBorder="1" applyAlignment="1" applyProtection="1">
      <alignment horizontal="left" vertical="center"/>
      <protection hidden="1"/>
    </xf>
    <xf numFmtId="0" fontId="26" fillId="0" borderId="17" xfId="3" applyFont="1" applyBorder="1" applyAlignment="1" applyProtection="1">
      <alignment horizontal="left" vertical="center"/>
      <protection hidden="1"/>
    </xf>
    <xf numFmtId="0" fontId="24" fillId="0" borderId="4" xfId="3" applyFont="1" applyBorder="1" applyAlignment="1" applyProtection="1">
      <alignment vertical="center"/>
      <protection hidden="1"/>
    </xf>
    <xf numFmtId="49" fontId="24" fillId="0" borderId="0" xfId="3" applyNumberFormat="1" applyFont="1" applyAlignment="1" applyProtection="1">
      <alignment horizontal="right" vertical="center"/>
      <protection hidden="1"/>
    </xf>
    <xf numFmtId="49" fontId="24" fillId="0" borderId="0" xfId="3" applyNumberFormat="1" applyFont="1" applyAlignment="1" applyProtection="1">
      <alignment horizontal="left" vertical="center"/>
      <protection hidden="1"/>
    </xf>
    <xf numFmtId="0" fontId="26" fillId="0" borderId="17" xfId="3" applyFont="1" applyBorder="1" applyAlignment="1" applyProtection="1">
      <alignment vertical="center"/>
      <protection hidden="1"/>
    </xf>
    <xf numFmtId="0" fontId="31" fillId="0" borderId="0" xfId="3" applyFont="1" applyProtection="1">
      <protection hidden="1"/>
    </xf>
    <xf numFmtId="49" fontId="24" fillId="0" borderId="0" xfId="3" applyNumberFormat="1" applyFont="1" applyAlignment="1" applyProtection="1">
      <alignment horizontal="center" vertical="center"/>
      <protection hidden="1"/>
    </xf>
    <xf numFmtId="0" fontId="26" fillId="0" borderId="0" xfId="3" applyFont="1" applyAlignment="1" applyProtection="1">
      <alignment horizontal="center" vertical="center"/>
      <protection hidden="1"/>
    </xf>
    <xf numFmtId="49" fontId="26" fillId="0" borderId="0" xfId="3" applyNumberFormat="1" applyFont="1" applyAlignment="1" applyProtection="1">
      <alignment horizontal="center" vertical="center"/>
      <protection hidden="1"/>
    </xf>
    <xf numFmtId="0" fontId="24" fillId="0" borderId="0" xfId="3" applyFont="1" applyAlignment="1" applyProtection="1">
      <alignment vertical="center"/>
      <protection hidden="1"/>
    </xf>
    <xf numFmtId="0" fontId="24" fillId="0" borderId="0" xfId="3" applyFont="1" applyAlignment="1" applyProtection="1">
      <alignment horizontal="center" vertical="center"/>
      <protection hidden="1"/>
    </xf>
    <xf numFmtId="0" fontId="24" fillId="0" borderId="0" xfId="3" applyFont="1" applyAlignment="1" applyProtection="1">
      <alignment horizontal="center"/>
      <protection hidden="1"/>
    </xf>
    <xf numFmtId="0" fontId="24" fillId="0" borderId="0" xfId="3" quotePrefix="1" applyFont="1" applyAlignment="1" applyProtection="1">
      <alignment horizontal="center" vertical="center"/>
      <protection hidden="1"/>
    </xf>
    <xf numFmtId="0" fontId="31" fillId="0" borderId="0" xfId="3" applyFont="1" applyAlignment="1" applyProtection="1">
      <alignment vertical="center"/>
      <protection hidden="1"/>
    </xf>
    <xf numFmtId="0" fontId="25" fillId="0" borderId="0" xfId="3" applyFont="1" applyAlignment="1" applyProtection="1">
      <alignment vertical="center"/>
      <protection hidden="1"/>
    </xf>
    <xf numFmtId="0" fontId="29" fillId="0" borderId="10" xfId="3" applyFont="1" applyBorder="1" applyAlignment="1" applyProtection="1">
      <alignment vertical="center"/>
      <protection hidden="1"/>
    </xf>
    <xf numFmtId="0" fontId="29" fillId="0" borderId="11" xfId="3" applyFont="1" applyBorder="1" applyAlignment="1" applyProtection="1">
      <alignment vertical="center"/>
      <protection hidden="1"/>
    </xf>
    <xf numFmtId="0" fontId="26" fillId="0" borderId="11" xfId="3" applyFont="1" applyBorder="1" applyAlignment="1" applyProtection="1">
      <alignment vertical="center"/>
      <protection hidden="1"/>
    </xf>
    <xf numFmtId="0" fontId="26" fillId="0" borderId="12" xfId="3" applyFont="1" applyBorder="1" applyAlignment="1" applyProtection="1">
      <alignment vertical="center"/>
      <protection hidden="1"/>
    </xf>
    <xf numFmtId="0" fontId="26" fillId="0" borderId="10" xfId="3" applyFont="1" applyBorder="1" applyAlignment="1" applyProtection="1">
      <alignment vertical="center"/>
      <protection hidden="1"/>
    </xf>
    <xf numFmtId="0" fontId="25" fillId="0" borderId="11" xfId="3" applyFont="1" applyBorder="1" applyProtection="1">
      <protection hidden="1"/>
    </xf>
    <xf numFmtId="0" fontId="24" fillId="0" borderId="0" xfId="3" applyFont="1" applyAlignment="1" applyProtection="1">
      <alignment vertical="top"/>
      <protection hidden="1"/>
    </xf>
    <xf numFmtId="49" fontId="29" fillId="0" borderId="4" xfId="3" applyNumberFormat="1" applyFont="1" applyBorder="1" applyAlignment="1" applyProtection="1">
      <alignment vertical="center"/>
      <protection hidden="1"/>
    </xf>
    <xf numFmtId="49" fontId="26" fillId="0" borderId="0" xfId="3" applyNumberFormat="1" applyFont="1" applyAlignment="1" applyProtection="1">
      <alignment vertical="center"/>
      <protection hidden="1"/>
    </xf>
    <xf numFmtId="49" fontId="26" fillId="0" borderId="17" xfId="3" applyNumberFormat="1" applyFont="1" applyBorder="1" applyAlignment="1" applyProtection="1">
      <alignment vertical="center"/>
      <protection hidden="1"/>
    </xf>
    <xf numFmtId="49" fontId="26" fillId="0" borderId="4" xfId="3" applyNumberFormat="1" applyFont="1" applyBorder="1" applyAlignment="1" applyProtection="1">
      <alignment vertical="center"/>
      <protection hidden="1"/>
    </xf>
    <xf numFmtId="49" fontId="29" fillId="0" borderId="0" xfId="3" applyNumberFormat="1" applyFont="1" applyAlignment="1" applyProtection="1">
      <alignment vertical="center"/>
      <protection hidden="1"/>
    </xf>
    <xf numFmtId="49" fontId="29" fillId="0" borderId="17" xfId="3" applyNumberFormat="1" applyFont="1" applyBorder="1" applyAlignment="1" applyProtection="1">
      <alignment vertical="center"/>
      <protection hidden="1"/>
    </xf>
    <xf numFmtId="49" fontId="26" fillId="0" borderId="10" xfId="3" applyNumberFormat="1" applyFont="1" applyBorder="1" applyAlignment="1" applyProtection="1">
      <alignment vertical="center"/>
      <protection hidden="1"/>
    </xf>
    <xf numFmtId="49" fontId="26" fillId="0" borderId="11" xfId="3" applyNumberFormat="1" applyFont="1" applyBorder="1" applyAlignment="1" applyProtection="1">
      <alignment vertical="center"/>
      <protection hidden="1"/>
    </xf>
    <xf numFmtId="49" fontId="26" fillId="0" borderId="12" xfId="3" applyNumberFormat="1" applyFont="1" applyBorder="1" applyAlignment="1" applyProtection="1">
      <alignment vertical="center"/>
      <protection hidden="1"/>
    </xf>
    <xf numFmtId="49" fontId="26" fillId="0" borderId="8" xfId="3" applyNumberFormat="1" applyFont="1" applyBorder="1" applyAlignment="1">
      <alignment vertical="center"/>
    </xf>
    <xf numFmtId="49" fontId="26" fillId="0" borderId="0" xfId="3" applyNumberFormat="1" applyFont="1" applyAlignment="1">
      <alignment vertical="center"/>
    </xf>
    <xf numFmtId="0" fontId="31" fillId="0" borderId="0" xfId="3" applyFont="1" applyAlignment="1" applyProtection="1">
      <alignment horizontal="center"/>
      <protection hidden="1"/>
    </xf>
    <xf numFmtId="0" fontId="33" fillId="0" borderId="0" xfId="3" applyFont="1" applyAlignment="1" applyProtection="1">
      <alignment horizontal="center"/>
      <protection hidden="1"/>
    </xf>
    <xf numFmtId="0" fontId="33" fillId="0" borderId="19" xfId="3" applyFont="1" applyBorder="1" applyAlignment="1" applyProtection="1">
      <alignment horizontal="left"/>
      <protection hidden="1"/>
    </xf>
    <xf numFmtId="14" fontId="27" fillId="0" borderId="20" xfId="3" applyNumberFormat="1" applyFont="1" applyBorder="1" applyAlignment="1" applyProtection="1">
      <alignment horizontal="center"/>
      <protection hidden="1"/>
    </xf>
    <xf numFmtId="0" fontId="27" fillId="0" borderId="20" xfId="3" applyFont="1" applyBorder="1" applyAlignment="1" applyProtection="1">
      <alignment horizontal="center"/>
      <protection hidden="1"/>
    </xf>
    <xf numFmtId="0" fontId="34" fillId="6" borderId="6" xfId="3" applyFont="1" applyFill="1" applyBorder="1" applyAlignment="1" applyProtection="1">
      <alignment horizontal="center" vertical="center"/>
      <protection hidden="1"/>
    </xf>
    <xf numFmtId="0" fontId="26" fillId="0" borderId="0" xfId="3" applyFont="1" applyProtection="1">
      <protection hidden="1"/>
    </xf>
    <xf numFmtId="0" fontId="26" fillId="0" borderId="0" xfId="3" applyFont="1" applyAlignment="1" applyProtection="1">
      <alignment horizontal="right"/>
      <protection hidden="1"/>
    </xf>
    <xf numFmtId="0" fontId="26" fillId="0" borderId="0" xfId="3" applyFont="1" applyAlignment="1" applyProtection="1">
      <alignment horizontal="center"/>
      <protection hidden="1"/>
    </xf>
    <xf numFmtId="0" fontId="24" fillId="0" borderId="8" xfId="3" applyFont="1" applyBorder="1" applyAlignment="1" applyProtection="1">
      <alignment horizontal="center"/>
      <protection hidden="1"/>
    </xf>
    <xf numFmtId="0" fontId="32" fillId="0" borderId="5" xfId="3" applyFont="1" applyBorder="1" applyAlignment="1" applyProtection="1">
      <alignment horizontal="center"/>
      <protection hidden="1"/>
    </xf>
    <xf numFmtId="49" fontId="32" fillId="0" borderId="0" xfId="3" applyNumberFormat="1" applyFont="1" applyAlignment="1" applyProtection="1">
      <alignment horizontal="center"/>
      <protection hidden="1"/>
    </xf>
    <xf numFmtId="0" fontId="35" fillId="0" borderId="8" xfId="3" applyFont="1" applyBorder="1" applyAlignment="1" applyProtection="1">
      <alignment horizontal="center" vertical="top"/>
      <protection hidden="1"/>
    </xf>
    <xf numFmtId="0" fontId="35" fillId="0" borderId="0" xfId="3" applyFont="1" applyAlignment="1" applyProtection="1">
      <alignment horizontal="center" vertical="top"/>
      <protection hidden="1"/>
    </xf>
    <xf numFmtId="0" fontId="24" fillId="0" borderId="8" xfId="3" applyFont="1" applyBorder="1" applyProtection="1">
      <protection hidden="1"/>
    </xf>
    <xf numFmtId="49" fontId="35" fillId="0" borderId="0" xfId="3" applyNumberFormat="1" applyFont="1" applyAlignment="1" applyProtection="1">
      <alignment horizontal="center" vertical="top"/>
      <protection hidden="1"/>
    </xf>
    <xf numFmtId="0" fontId="35" fillId="0" borderId="0" xfId="3" applyFont="1" applyAlignment="1" applyProtection="1">
      <alignment horizontal="left" vertical="top"/>
      <protection hidden="1"/>
    </xf>
    <xf numFmtId="0" fontId="24" fillId="7" borderId="11" xfId="3" applyFont="1" applyFill="1" applyBorder="1" applyAlignment="1" applyProtection="1">
      <alignment horizontal="center"/>
      <protection locked="0"/>
    </xf>
    <xf numFmtId="0" fontId="24" fillId="7" borderId="12" xfId="3" applyFont="1" applyFill="1" applyBorder="1" applyAlignment="1" applyProtection="1">
      <alignment horizontal="center"/>
      <protection locked="0"/>
    </xf>
    <xf numFmtId="0" fontId="26" fillId="7" borderId="10" xfId="3" applyFont="1" applyFill="1" applyBorder="1" applyProtection="1">
      <protection locked="0"/>
    </xf>
    <xf numFmtId="0" fontId="32" fillId="0" borderId="0" xfId="3" applyFont="1" applyAlignment="1" applyProtection="1">
      <alignment horizontal="center"/>
      <protection hidden="1"/>
    </xf>
    <xf numFmtId="0" fontId="32" fillId="0" borderId="4" xfId="3" applyFont="1" applyBorder="1" applyAlignment="1" applyProtection="1">
      <alignment horizontal="left"/>
      <protection hidden="1"/>
    </xf>
    <xf numFmtId="0" fontId="32" fillId="0" borderId="4" xfId="3" applyFont="1" applyBorder="1" applyAlignment="1" applyProtection="1">
      <alignment horizontal="center"/>
      <protection hidden="1"/>
    </xf>
    <xf numFmtId="0" fontId="35" fillId="0" borderId="0" xfId="3" applyFont="1" applyAlignment="1" applyProtection="1">
      <alignment horizontal="center" vertical="center"/>
      <protection hidden="1"/>
    </xf>
    <xf numFmtId="0" fontId="34" fillId="0" borderId="0" xfId="3" applyFont="1" applyAlignment="1" applyProtection="1">
      <alignment horizontal="center" vertical="top"/>
      <protection hidden="1"/>
    </xf>
    <xf numFmtId="0" fontId="32" fillId="0" borderId="0" xfId="3" applyFont="1" applyAlignment="1" applyProtection="1">
      <alignment horizontal="left"/>
      <protection hidden="1"/>
    </xf>
    <xf numFmtId="0" fontId="34" fillId="0" borderId="6" xfId="3" applyFont="1" applyBorder="1" applyAlignment="1" applyProtection="1">
      <alignment horizontal="center" vertical="center"/>
      <protection hidden="1"/>
    </xf>
    <xf numFmtId="0" fontId="35" fillId="0" borderId="15" xfId="3" applyFont="1" applyBorder="1" applyAlignment="1" applyProtection="1">
      <alignment vertical="top"/>
      <protection hidden="1"/>
    </xf>
    <xf numFmtId="0" fontId="35" fillId="0" borderId="8" xfId="3" applyFont="1" applyBorder="1" applyAlignment="1" applyProtection="1">
      <alignment vertical="top"/>
      <protection hidden="1"/>
    </xf>
    <xf numFmtId="0" fontId="35" fillId="0" borderId="9" xfId="3" applyFont="1" applyBorder="1" applyAlignment="1" applyProtection="1">
      <alignment vertical="top"/>
      <protection hidden="1"/>
    </xf>
    <xf numFmtId="0" fontId="35" fillId="0" borderId="4" xfId="3" applyFont="1" applyBorder="1" applyAlignment="1" applyProtection="1">
      <alignment vertical="top"/>
      <protection hidden="1"/>
    </xf>
    <xf numFmtId="0" fontId="35" fillId="0" borderId="0" xfId="3" applyFont="1" applyAlignment="1" applyProtection="1">
      <alignment vertical="top"/>
      <protection hidden="1"/>
    </xf>
    <xf numFmtId="0" fontId="35" fillId="0" borderId="17" xfId="3" applyFont="1" applyBorder="1" applyAlignment="1" applyProtection="1">
      <alignment vertical="top"/>
      <protection hidden="1"/>
    </xf>
    <xf numFmtId="0" fontId="35" fillId="0" borderId="4" xfId="3" applyFont="1" applyBorder="1" applyAlignment="1" applyProtection="1">
      <alignment vertical="center"/>
      <protection hidden="1"/>
    </xf>
    <xf numFmtId="0" fontId="35" fillId="0" borderId="0" xfId="3" applyFont="1" applyAlignment="1" applyProtection="1">
      <alignment vertical="center"/>
      <protection hidden="1"/>
    </xf>
    <xf numFmtId="0" fontId="35" fillId="0" borderId="6" xfId="3" applyFont="1" applyBorder="1" applyAlignment="1" applyProtection="1">
      <alignment horizontal="center" vertical="center"/>
      <protection locked="0"/>
    </xf>
    <xf numFmtId="0" fontId="35" fillId="0" borderId="17" xfId="3" applyFont="1" applyBorder="1" applyAlignment="1" applyProtection="1">
      <alignment vertical="center"/>
      <protection hidden="1"/>
    </xf>
    <xf numFmtId="0" fontId="35" fillId="0" borderId="10" xfId="3" applyFont="1" applyBorder="1" applyAlignment="1" applyProtection="1">
      <alignment vertical="top"/>
      <protection hidden="1"/>
    </xf>
    <xf numFmtId="0" fontId="35" fillId="0" borderId="11" xfId="3" applyFont="1" applyBorder="1" applyAlignment="1" applyProtection="1">
      <alignment vertical="top"/>
      <protection hidden="1"/>
    </xf>
    <xf numFmtId="0" fontId="35" fillId="0" borderId="12" xfId="3" applyFont="1" applyBorder="1" applyAlignment="1" applyProtection="1">
      <alignment vertical="top"/>
      <protection hidden="1"/>
    </xf>
    <xf numFmtId="0" fontId="27" fillId="0" borderId="10" xfId="3" applyFont="1" applyBorder="1" applyAlignment="1" applyProtection="1">
      <alignment vertical="center"/>
      <protection hidden="1"/>
    </xf>
    <xf numFmtId="0" fontId="35" fillId="0" borderId="11" xfId="3" applyFont="1" applyBorder="1" applyAlignment="1" applyProtection="1">
      <alignment vertical="center"/>
      <protection hidden="1"/>
    </xf>
    <xf numFmtId="0" fontId="27" fillId="0" borderId="11" xfId="3" applyFont="1" applyBorder="1" applyAlignment="1" applyProtection="1">
      <alignment vertical="center"/>
      <protection hidden="1"/>
    </xf>
    <xf numFmtId="0" fontId="35" fillId="0" borderId="12" xfId="3" applyFont="1" applyBorder="1" applyAlignment="1" applyProtection="1">
      <alignment vertical="center"/>
      <protection hidden="1"/>
    </xf>
    <xf numFmtId="0" fontId="29" fillId="6" borderId="6" xfId="3" applyFont="1" applyFill="1" applyBorder="1" applyAlignment="1" applyProtection="1">
      <alignment horizontal="center" vertical="center"/>
      <protection hidden="1"/>
    </xf>
    <xf numFmtId="0" fontId="24" fillId="7" borderId="15" xfId="3" applyFont="1" applyFill="1" applyBorder="1" applyAlignment="1" applyProtection="1">
      <alignment horizontal="center"/>
      <protection locked="0"/>
    </xf>
    <xf numFmtId="0" fontId="24" fillId="7" borderId="8" xfId="3" applyFont="1" applyFill="1" applyBorder="1" applyAlignment="1" applyProtection="1">
      <alignment horizontal="center"/>
      <protection locked="0"/>
    </xf>
    <xf numFmtId="0" fontId="24" fillId="7" borderId="9" xfId="3" applyFont="1" applyFill="1" applyBorder="1" applyAlignment="1" applyProtection="1">
      <alignment horizontal="center"/>
      <protection locked="0"/>
    </xf>
    <xf numFmtId="0" fontId="24" fillId="7" borderId="4" xfId="3" applyFont="1" applyFill="1" applyBorder="1" applyAlignment="1" applyProtection="1">
      <alignment horizontal="center"/>
      <protection locked="0"/>
    </xf>
    <xf numFmtId="0" fontId="24" fillId="7" borderId="0" xfId="3" applyFont="1" applyFill="1" applyAlignment="1" applyProtection="1">
      <alignment horizontal="center"/>
      <protection locked="0"/>
    </xf>
    <xf numFmtId="0" fontId="24" fillId="7" borderId="17" xfId="3" applyFont="1" applyFill="1" applyBorder="1" applyAlignment="1" applyProtection="1">
      <alignment horizontal="center"/>
      <protection locked="0"/>
    </xf>
    <xf numFmtId="0" fontId="24" fillId="7" borderId="10" xfId="3" applyFont="1" applyFill="1" applyBorder="1" applyAlignment="1" applyProtection="1">
      <alignment horizontal="center"/>
      <protection locked="0"/>
    </xf>
    <xf numFmtId="0" fontId="32" fillId="0" borderId="8" xfId="3" applyFont="1" applyBorder="1" applyAlignment="1" applyProtection="1">
      <alignment horizontal="left" vertical="center"/>
      <protection hidden="1"/>
    </xf>
    <xf numFmtId="0" fontId="38" fillId="0" borderId="0" xfId="3" applyFont="1" applyAlignment="1">
      <alignment horizontal="right"/>
    </xf>
    <xf numFmtId="0" fontId="33" fillId="0" borderId="0" xfId="3" applyFont="1" applyAlignment="1" applyProtection="1">
      <alignment horizontal="left"/>
      <protection hidden="1"/>
    </xf>
    <xf numFmtId="0" fontId="31" fillId="0" borderId="0" xfId="3" applyFont="1" applyAlignment="1" applyProtection="1">
      <alignment horizontal="left"/>
      <protection hidden="1"/>
    </xf>
    <xf numFmtId="0" fontId="33" fillId="0" borderId="19" xfId="3" applyFont="1" applyBorder="1" applyAlignment="1" applyProtection="1">
      <alignment horizontal="center"/>
      <protection hidden="1"/>
    </xf>
    <xf numFmtId="14" fontId="32" fillId="0" borderId="0" xfId="3" applyNumberFormat="1" applyFont="1" applyAlignment="1" applyProtection="1">
      <alignment horizontal="center"/>
      <protection hidden="1"/>
    </xf>
    <xf numFmtId="1" fontId="38" fillId="0" borderId="15" xfId="3" applyNumberFormat="1" applyFont="1" applyBorder="1" applyAlignment="1" applyProtection="1">
      <alignment horizontal="right" vertical="center"/>
      <protection hidden="1"/>
    </xf>
    <xf numFmtId="1" fontId="38" fillId="0" borderId="8" xfId="3" applyNumberFormat="1" applyFont="1" applyBorder="1" applyAlignment="1" applyProtection="1">
      <alignment horizontal="right" vertical="center"/>
      <protection hidden="1"/>
    </xf>
    <xf numFmtId="1" fontId="32" fillId="0" borderId="8" xfId="3" applyNumberFormat="1" applyFont="1" applyBorder="1" applyAlignment="1" applyProtection="1">
      <alignment horizontal="center" vertical="center"/>
      <protection hidden="1"/>
    </xf>
    <xf numFmtId="0" fontId="24" fillId="0" borderId="9" xfId="3" applyFont="1" applyBorder="1" applyProtection="1">
      <protection hidden="1"/>
    </xf>
    <xf numFmtId="0" fontId="33" fillId="0" borderId="17" xfId="3" applyFont="1" applyBorder="1" applyProtection="1">
      <protection hidden="1"/>
    </xf>
    <xf numFmtId="0" fontId="34" fillId="0" borderId="15" xfId="3" applyFont="1" applyBorder="1" applyAlignment="1" applyProtection="1">
      <alignment horizontal="center" vertical="center"/>
      <protection hidden="1"/>
    </xf>
    <xf numFmtId="0" fontId="33" fillId="0" borderId="0" xfId="3" applyFont="1" applyProtection="1">
      <protection hidden="1"/>
    </xf>
    <xf numFmtId="49" fontId="32" fillId="0" borderId="8" xfId="3" applyNumberFormat="1" applyFont="1" applyBorder="1" applyAlignment="1" applyProtection="1">
      <alignment horizontal="center" vertical="center"/>
      <protection hidden="1"/>
    </xf>
    <xf numFmtId="0" fontId="24" fillId="0" borderId="17" xfId="3" applyFont="1" applyBorder="1" applyProtection="1">
      <protection hidden="1"/>
    </xf>
    <xf numFmtId="0" fontId="25" fillId="0" borderId="4" xfId="3" applyFont="1" applyBorder="1" applyProtection="1">
      <protection hidden="1"/>
    </xf>
    <xf numFmtId="0" fontId="24" fillId="0" borderId="4" xfId="3" applyFont="1" applyBorder="1" applyProtection="1">
      <protection hidden="1"/>
    </xf>
    <xf numFmtId="49" fontId="25" fillId="7" borderId="5" xfId="3" applyNumberFormat="1" applyFont="1" applyFill="1" applyBorder="1" applyAlignment="1" applyProtection="1">
      <alignment horizontal="center"/>
      <protection locked="0"/>
    </xf>
    <xf numFmtId="49" fontId="25" fillId="8" borderId="4" xfId="3" applyNumberFormat="1" applyFont="1" applyFill="1" applyBorder="1" applyAlignment="1" applyProtection="1">
      <alignment horizontal="center"/>
      <protection hidden="1"/>
    </xf>
    <xf numFmtId="0" fontId="34" fillId="0" borderId="4" xfId="3" applyFont="1" applyBorder="1" applyAlignment="1" applyProtection="1">
      <alignment horizontal="center" vertical="center"/>
      <protection hidden="1"/>
    </xf>
    <xf numFmtId="49" fontId="32" fillId="0" borderId="0" xfId="3" applyNumberFormat="1" applyFont="1" applyAlignment="1" applyProtection="1">
      <alignment horizontal="center" vertical="center"/>
      <protection hidden="1"/>
    </xf>
    <xf numFmtId="2" fontId="33" fillId="0" borderId="17" xfId="3" applyNumberFormat="1" applyFont="1" applyBorder="1" applyProtection="1">
      <protection hidden="1"/>
    </xf>
    <xf numFmtId="0" fontId="24" fillId="0" borderId="10" xfId="3" applyFont="1" applyBorder="1" applyProtection="1">
      <protection hidden="1"/>
    </xf>
    <xf numFmtId="0" fontId="24" fillId="0" borderId="11" xfId="3" applyFont="1" applyBorder="1" applyProtection="1">
      <protection hidden="1"/>
    </xf>
    <xf numFmtId="0" fontId="24" fillId="0" borderId="12" xfId="3" applyFont="1" applyBorder="1" applyProtection="1">
      <protection hidden="1"/>
    </xf>
    <xf numFmtId="0" fontId="20" fillId="0" borderId="15" xfId="0" applyFont="1" applyBorder="1" applyProtection="1">
      <protection hidden="1"/>
    </xf>
    <xf numFmtId="0" fontId="13" fillId="0" borderId="9" xfId="0" applyFont="1" applyBorder="1" applyProtection="1">
      <protection hidden="1"/>
    </xf>
    <xf numFmtId="0" fontId="13" fillId="0" borderId="12" xfId="0" applyFont="1" applyBorder="1" applyProtection="1">
      <protection hidden="1"/>
    </xf>
    <xf numFmtId="0" fontId="24" fillId="0" borderId="0" xfId="4" applyFont="1" applyProtection="1">
      <protection hidden="1"/>
    </xf>
    <xf numFmtId="0" fontId="29" fillId="0" borderId="20" xfId="3" applyFont="1" applyBorder="1" applyAlignment="1" applyProtection="1">
      <alignment horizontal="center" vertical="center"/>
      <protection hidden="1"/>
    </xf>
    <xf numFmtId="0" fontId="33" fillId="7" borderId="6" xfId="4" applyFont="1" applyFill="1" applyBorder="1" applyProtection="1">
      <protection locked="0"/>
    </xf>
    <xf numFmtId="49" fontId="33" fillId="7" borderId="6" xfId="4" applyNumberFormat="1" applyFont="1" applyFill="1" applyBorder="1" applyAlignment="1" applyProtection="1">
      <alignment horizontal="center"/>
      <protection locked="0"/>
    </xf>
    <xf numFmtId="0" fontId="33" fillId="0" borderId="0" xfId="4" applyFont="1" applyProtection="1">
      <protection hidden="1"/>
    </xf>
    <xf numFmtId="0" fontId="0" fillId="0" borderId="0" xfId="0" applyProtection="1">
      <protection hidden="1"/>
    </xf>
    <xf numFmtId="0" fontId="15" fillId="0" borderId="0" xfId="0" applyFont="1" applyProtection="1">
      <protection hidden="1"/>
    </xf>
    <xf numFmtId="0" fontId="15" fillId="0" borderId="20" xfId="0" applyFont="1" applyBorder="1" applyAlignment="1" applyProtection="1">
      <alignment horizontal="center" vertical="center"/>
      <protection hidden="1"/>
    </xf>
    <xf numFmtId="0" fontId="15" fillId="0" borderId="0" xfId="0" applyFont="1" applyAlignment="1" applyProtection="1">
      <alignment vertical="center"/>
      <protection hidden="1"/>
    </xf>
    <xf numFmtId="14" fontId="15" fillId="0" borderId="0" xfId="0" applyNumberFormat="1" applyFont="1" applyAlignment="1">
      <alignment horizontal="center"/>
    </xf>
    <xf numFmtId="0" fontId="15" fillId="0" borderId="19" xfId="0" applyFont="1" applyBorder="1" applyAlignment="1">
      <alignment horizontal="center" vertical="center"/>
    </xf>
    <xf numFmtId="0" fontId="15" fillId="0" borderId="20" xfId="0" applyFont="1" applyBorder="1"/>
    <xf numFmtId="0" fontId="15" fillId="0" borderId="0" xfId="0" applyFont="1" applyAlignment="1" applyProtection="1">
      <alignment horizontal="left" vertical="center"/>
      <protection hidden="1"/>
    </xf>
    <xf numFmtId="49" fontId="15" fillId="0" borderId="0" xfId="0" applyNumberFormat="1" applyFont="1" applyAlignment="1" applyProtection="1">
      <alignment vertical="center"/>
      <protection hidden="1"/>
    </xf>
    <xf numFmtId="0" fontId="15" fillId="0" borderId="0" xfId="0" applyFont="1"/>
    <xf numFmtId="0" fontId="15" fillId="0" borderId="19" xfId="0" applyFont="1" applyBorder="1" applyAlignment="1" applyProtection="1">
      <alignment vertical="center"/>
      <protection hidden="1"/>
    </xf>
    <xf numFmtId="0" fontId="15" fillId="0" borderId="20" xfId="0" applyFont="1" applyBorder="1" applyAlignment="1">
      <alignment horizontal="center" vertical="center"/>
    </xf>
    <xf numFmtId="14" fontId="15" fillId="0" borderId="18" xfId="0" applyNumberFormat="1" applyFont="1" applyBorder="1" applyAlignment="1" applyProtection="1">
      <alignment horizontal="center" vertical="center"/>
      <protection hidden="1"/>
    </xf>
    <xf numFmtId="14" fontId="15" fillId="0" borderId="0" xfId="0" applyNumberFormat="1" applyFont="1" applyAlignment="1">
      <alignment horizontal="center" vertical="center"/>
    </xf>
    <xf numFmtId="0" fontId="15" fillId="0" borderId="6" xfId="0" applyFont="1" applyBorder="1" applyAlignment="1" applyProtection="1">
      <alignment horizontal="center" vertical="center"/>
      <protection locked="0"/>
    </xf>
    <xf numFmtId="0" fontId="15" fillId="0" borderId="7" xfId="0" applyFont="1" applyBorder="1" applyAlignment="1" applyProtection="1">
      <alignment horizontal="center" vertical="center"/>
      <protection hidden="1"/>
    </xf>
    <xf numFmtId="14" fontId="15" fillId="0" borderId="5" xfId="0" applyNumberFormat="1" applyFont="1" applyBorder="1" applyAlignment="1" applyProtection="1">
      <alignment horizontal="center"/>
      <protection hidden="1"/>
    </xf>
    <xf numFmtId="14" fontId="15" fillId="0" borderId="5" xfId="0" applyNumberFormat="1" applyFont="1" applyBorder="1" applyAlignment="1" applyProtection="1">
      <alignment horizontal="center" vertical="center"/>
      <protection hidden="1"/>
    </xf>
    <xf numFmtId="14" fontId="15" fillId="0" borderId="5" xfId="0" applyNumberFormat="1" applyFont="1" applyBorder="1" applyAlignment="1" applyProtection="1">
      <alignment horizontal="center" vertical="center" wrapText="1"/>
      <protection hidden="1"/>
    </xf>
    <xf numFmtId="0" fontId="20" fillId="0" borderId="29" xfId="0" applyFont="1" applyBorder="1" applyAlignment="1" applyProtection="1">
      <alignment horizontal="center" vertical="center"/>
      <protection locked="0"/>
    </xf>
    <xf numFmtId="0" fontId="20" fillId="0" borderId="29" xfId="0" applyFont="1" applyBorder="1" applyAlignment="1" applyProtection="1">
      <alignment vertical="center" wrapText="1"/>
      <protection locked="0"/>
    </xf>
    <xf numFmtId="166" fontId="43" fillId="0" borderId="29" xfId="1" applyNumberFormat="1" applyFont="1" applyFill="1" applyBorder="1" applyAlignment="1" applyProtection="1">
      <alignment vertical="center"/>
      <protection hidden="1"/>
    </xf>
    <xf numFmtId="0" fontId="20" fillId="0" borderId="29" xfId="0" applyFont="1" applyBorder="1" applyAlignment="1" applyProtection="1">
      <alignment vertical="center"/>
      <protection locked="0"/>
    </xf>
    <xf numFmtId="166" fontId="43" fillId="0" borderId="29" xfId="1" applyNumberFormat="1" applyFont="1" applyBorder="1" applyAlignment="1" applyProtection="1">
      <alignment vertical="center"/>
      <protection hidden="1"/>
    </xf>
    <xf numFmtId="0" fontId="20" fillId="0" borderId="30" xfId="0" applyFont="1" applyBorder="1" applyAlignment="1" applyProtection="1">
      <alignment horizontal="center" vertical="center"/>
      <protection locked="0"/>
    </xf>
    <xf numFmtId="0" fontId="20" fillId="0" borderId="30" xfId="0" applyFont="1" applyBorder="1" applyAlignment="1" applyProtection="1">
      <alignment vertical="center"/>
      <protection locked="0"/>
    </xf>
    <xf numFmtId="166" fontId="43" fillId="0" borderId="30" xfId="1" applyNumberFormat="1" applyFont="1" applyBorder="1" applyAlignment="1" applyProtection="1">
      <alignment vertical="center"/>
      <protection hidden="1"/>
    </xf>
    <xf numFmtId="166" fontId="43" fillId="0" borderId="30" xfId="1" applyNumberFormat="1" applyFont="1" applyFill="1" applyBorder="1" applyAlignment="1" applyProtection="1">
      <alignment vertical="center"/>
      <protection hidden="1"/>
    </xf>
    <xf numFmtId="0" fontId="15" fillId="4" borderId="30" xfId="0" applyFont="1" applyFill="1" applyBorder="1" applyAlignment="1" applyProtection="1">
      <alignment horizontal="center" vertical="center"/>
      <protection locked="0"/>
    </xf>
    <xf numFmtId="0" fontId="15" fillId="4" borderId="30" xfId="0" applyFont="1" applyFill="1" applyBorder="1" applyAlignment="1" applyProtection="1">
      <alignment vertical="center"/>
      <protection locked="0"/>
    </xf>
    <xf numFmtId="166" fontId="46" fillId="4" borderId="30" xfId="1" applyNumberFormat="1" applyFont="1" applyFill="1" applyBorder="1" applyAlignment="1" applyProtection="1">
      <alignment vertical="center"/>
      <protection hidden="1"/>
    </xf>
    <xf numFmtId="0" fontId="20" fillId="0" borderId="30" xfId="0" applyFont="1" applyBorder="1" applyAlignment="1" applyProtection="1">
      <alignment vertical="center" wrapText="1"/>
      <protection locked="0"/>
    </xf>
    <xf numFmtId="0" fontId="20" fillId="0" borderId="31" xfId="0" applyFont="1" applyBorder="1" applyAlignment="1" applyProtection="1">
      <alignment horizontal="center" vertical="center"/>
      <protection locked="0"/>
    </xf>
    <xf numFmtId="0" fontId="20" fillId="0" borderId="31" xfId="0" applyFont="1" applyBorder="1" applyAlignment="1" applyProtection="1">
      <alignment vertical="center"/>
      <protection locked="0"/>
    </xf>
    <xf numFmtId="166" fontId="43" fillId="0" borderId="31" xfId="1" applyNumberFormat="1" applyFont="1" applyBorder="1" applyAlignment="1" applyProtection="1">
      <alignment vertical="center"/>
      <protection hidden="1"/>
    </xf>
    <xf numFmtId="0" fontId="20" fillId="0" borderId="32" xfId="0" applyFont="1" applyBorder="1" applyAlignment="1" applyProtection="1">
      <alignment horizontal="center" vertical="center"/>
      <protection locked="0"/>
    </xf>
    <xf numFmtId="0" fontId="20" fillId="0" borderId="32" xfId="0" applyFont="1" applyBorder="1" applyAlignment="1" applyProtection="1">
      <alignment vertical="center"/>
      <protection locked="0"/>
    </xf>
    <xf numFmtId="166" fontId="43" fillId="0" borderId="32" xfId="1" applyNumberFormat="1" applyFont="1" applyFill="1" applyBorder="1" applyAlignment="1" applyProtection="1">
      <alignment vertical="center"/>
      <protection hidden="1"/>
    </xf>
    <xf numFmtId="166" fontId="43" fillId="0" borderId="32" xfId="1" applyNumberFormat="1" applyFont="1" applyBorder="1" applyAlignment="1" applyProtection="1">
      <alignment vertical="center"/>
      <protection hidden="1"/>
    </xf>
    <xf numFmtId="0" fontId="15" fillId="3" borderId="33" xfId="0" applyFont="1" applyFill="1" applyBorder="1" applyAlignment="1" applyProtection="1">
      <alignment horizontal="center" vertical="center"/>
      <protection locked="0"/>
    </xf>
    <xf numFmtId="0" fontId="15" fillId="3" borderId="33" xfId="0" applyFont="1" applyFill="1" applyBorder="1" applyAlignment="1" applyProtection="1">
      <alignment vertical="center"/>
      <protection locked="0"/>
    </xf>
    <xf numFmtId="166" fontId="46" fillId="3" borderId="33" xfId="1" applyNumberFormat="1" applyFont="1" applyFill="1" applyBorder="1" applyAlignment="1" applyProtection="1">
      <alignment vertical="center"/>
      <protection hidden="1"/>
    </xf>
    <xf numFmtId="166" fontId="15" fillId="3" borderId="33" xfId="0" applyNumberFormat="1" applyFont="1" applyFill="1" applyBorder="1" applyAlignment="1" applyProtection="1">
      <alignment vertical="center"/>
      <protection hidden="1"/>
    </xf>
    <xf numFmtId="14" fontId="15" fillId="0" borderId="20" xfId="0" applyNumberFormat="1" applyFont="1" applyBorder="1" applyAlignment="1" applyProtection="1">
      <alignment horizontal="center" vertical="center"/>
      <protection hidden="1"/>
    </xf>
    <xf numFmtId="0" fontId="15" fillId="0" borderId="20" xfId="0" applyFont="1" applyBorder="1" applyAlignment="1" applyProtection="1">
      <alignment vertical="center"/>
      <protection hidden="1"/>
    </xf>
    <xf numFmtId="14" fontId="15" fillId="0" borderId="0" xfId="0" applyNumberFormat="1" applyFont="1" applyAlignment="1" applyProtection="1">
      <alignment vertical="center"/>
      <protection hidden="1"/>
    </xf>
    <xf numFmtId="0" fontId="15" fillId="0" borderId="0" xfId="0" applyFont="1" applyAlignment="1">
      <alignment vertical="center"/>
    </xf>
    <xf numFmtId="14" fontId="15" fillId="0" borderId="0" xfId="0" applyNumberFormat="1" applyFont="1" applyAlignment="1" applyProtection="1">
      <alignment horizontal="center" vertical="center"/>
      <protection hidden="1"/>
    </xf>
    <xf numFmtId="0" fontId="20" fillId="0" borderId="0" xfId="0" applyFont="1"/>
    <xf numFmtId="0" fontId="47" fillId="0" borderId="0" xfId="0" applyFont="1" applyAlignment="1" applyProtection="1">
      <alignment vertical="center"/>
      <protection hidden="1"/>
    </xf>
    <xf numFmtId="0" fontId="15" fillId="0" borderId="6" xfId="0" applyFont="1" applyBorder="1" applyAlignment="1" applyProtection="1">
      <alignment horizontal="center" vertical="center"/>
      <protection hidden="1"/>
    </xf>
    <xf numFmtId="0" fontId="20" fillId="0" borderId="32" xfId="0" applyFont="1" applyBorder="1" applyAlignment="1">
      <alignment horizontal="center" vertical="center"/>
    </xf>
    <xf numFmtId="0" fontId="20" fillId="0" borderId="30" xfId="0" applyFont="1" applyBorder="1" applyAlignment="1">
      <alignment horizontal="center" vertical="center"/>
    </xf>
    <xf numFmtId="0" fontId="15" fillId="9" borderId="30" xfId="0" applyFont="1" applyFill="1" applyBorder="1" applyAlignment="1">
      <alignment horizontal="center" vertical="center"/>
    </xf>
    <xf numFmtId="0" fontId="15" fillId="3" borderId="33" xfId="0" applyFont="1" applyFill="1" applyBorder="1" applyAlignment="1">
      <alignment horizontal="center" vertical="center"/>
    </xf>
    <xf numFmtId="0" fontId="13" fillId="0" borderId="0" xfId="0" applyFont="1"/>
    <xf numFmtId="0" fontId="15" fillId="3" borderId="6" xfId="0" applyFont="1" applyFill="1" applyBorder="1" applyAlignment="1" applyProtection="1">
      <alignment vertical="center"/>
      <protection locked="0"/>
    </xf>
    <xf numFmtId="0" fontId="15" fillId="3" borderId="6" xfId="0" applyFont="1" applyFill="1" applyBorder="1" applyAlignment="1" applyProtection="1">
      <alignment horizontal="center" vertical="center"/>
      <protection hidden="1"/>
    </xf>
    <xf numFmtId="0" fontId="20" fillId="0" borderId="6" xfId="0" applyFont="1" applyBorder="1" applyAlignment="1" applyProtection="1">
      <alignment vertical="center"/>
      <protection locked="0"/>
    </xf>
    <xf numFmtId="0" fontId="20" fillId="0" borderId="6" xfId="0" applyFont="1" applyBorder="1" applyProtection="1">
      <protection locked="0"/>
    </xf>
    <xf numFmtId="0" fontId="15" fillId="9" borderId="6" xfId="0" applyFont="1" applyFill="1" applyBorder="1" applyAlignment="1" applyProtection="1">
      <alignment vertical="center"/>
      <protection locked="0"/>
    </xf>
    <xf numFmtId="0" fontId="15" fillId="9" borderId="1" xfId="0" applyFont="1" applyFill="1" applyBorder="1" applyAlignment="1" applyProtection="1">
      <alignment vertical="center"/>
      <protection locked="0"/>
    </xf>
    <xf numFmtId="0" fontId="20" fillId="0" borderId="6" xfId="0" applyFont="1" applyBorder="1" applyAlignment="1" applyProtection="1">
      <alignment vertical="center" wrapText="1"/>
      <protection locked="0"/>
    </xf>
    <xf numFmtId="0" fontId="20" fillId="0" borderId="6" xfId="0" quotePrefix="1" applyFont="1" applyBorder="1" applyAlignment="1" applyProtection="1">
      <alignment vertical="center" wrapText="1"/>
      <protection locked="0"/>
    </xf>
    <xf numFmtId="0" fontId="15" fillId="9" borderId="6" xfId="0" applyFont="1" applyFill="1" applyBorder="1" applyAlignment="1" applyProtection="1">
      <alignment vertical="center" wrapText="1"/>
      <protection locked="0"/>
    </xf>
    <xf numFmtId="43" fontId="20" fillId="0" borderId="6" xfId="1" applyFont="1" applyBorder="1" applyAlignment="1" applyProtection="1">
      <alignment horizontal="center" vertical="center"/>
      <protection locked="0"/>
    </xf>
    <xf numFmtId="0" fontId="20" fillId="0" borderId="0" xfId="0" applyFont="1" applyAlignment="1" applyProtection="1">
      <alignment vertical="top"/>
      <protection locked="0"/>
    </xf>
    <xf numFmtId="0" fontId="15" fillId="9" borderId="6" xfId="0" applyFont="1" applyFill="1" applyBorder="1" applyAlignment="1" applyProtection="1">
      <alignment horizontal="center" vertical="center" wrapText="1"/>
      <protection locked="0"/>
    </xf>
    <xf numFmtId="166" fontId="43" fillId="0" borderId="6" xfId="1" applyNumberFormat="1" applyFont="1" applyBorder="1" applyProtection="1">
      <protection locked="0"/>
    </xf>
    <xf numFmtId="0" fontId="20" fillId="0" borderId="0" xfId="0" applyFont="1" applyProtection="1">
      <protection locked="0"/>
    </xf>
    <xf numFmtId="0" fontId="0" fillId="0" borderId="0" xfId="0" applyProtection="1">
      <protection locked="0"/>
    </xf>
    <xf numFmtId="0" fontId="48" fillId="0" borderId="0" xfId="0" applyFont="1" applyProtection="1">
      <protection locked="0"/>
    </xf>
    <xf numFmtId="0" fontId="15" fillId="3" borderId="6" xfId="0" applyFont="1" applyFill="1" applyBorder="1" applyAlignment="1" applyProtection="1">
      <alignment horizontal="center" vertical="center"/>
      <protection locked="0"/>
    </xf>
    <xf numFmtId="0" fontId="20" fillId="0" borderId="6" xfId="0" applyFont="1" applyBorder="1" applyAlignment="1" applyProtection="1">
      <alignment horizontal="center"/>
      <protection locked="0"/>
    </xf>
    <xf numFmtId="167" fontId="20" fillId="0" borderId="6" xfId="1" applyNumberFormat="1" applyFont="1" applyBorder="1" applyAlignment="1" applyProtection="1">
      <alignment horizontal="center" vertical="center"/>
      <protection locked="0"/>
    </xf>
    <xf numFmtId="0" fontId="20" fillId="0" borderId="2" xfId="0" applyFont="1" applyBorder="1" applyAlignment="1" applyProtection="1">
      <alignment vertical="center" wrapText="1"/>
      <protection locked="0"/>
    </xf>
    <xf numFmtId="167" fontId="15" fillId="0" borderId="6" xfId="1" applyNumberFormat="1" applyFont="1" applyBorder="1" applyAlignment="1" applyProtection="1">
      <alignment horizontal="center" vertical="center"/>
      <protection locked="0"/>
    </xf>
    <xf numFmtId="0" fontId="15" fillId="0" borderId="6" xfId="0" quotePrefix="1" applyFont="1" applyBorder="1" applyAlignment="1" applyProtection="1">
      <alignment horizontal="center" vertical="center" wrapText="1"/>
      <protection locked="0"/>
    </xf>
    <xf numFmtId="43" fontId="15" fillId="0" borderId="6" xfId="1" applyFont="1" applyBorder="1" applyAlignment="1" applyProtection="1">
      <alignment horizontal="center" vertical="center"/>
      <protection locked="0"/>
    </xf>
    <xf numFmtId="0" fontId="15" fillId="9" borderId="6" xfId="0" applyFont="1" applyFill="1" applyBorder="1" applyAlignment="1">
      <alignment horizontal="center" vertical="center"/>
    </xf>
    <xf numFmtId="0" fontId="20" fillId="0" borderId="37" xfId="0" applyFont="1" applyBorder="1" applyAlignment="1">
      <alignment vertical="center"/>
    </xf>
    <xf numFmtId="0" fontId="20" fillId="0" borderId="37" xfId="0" applyFont="1" applyBorder="1" applyAlignment="1" applyProtection="1">
      <alignment horizontal="center" vertical="center"/>
      <protection hidden="1"/>
    </xf>
    <xf numFmtId="0" fontId="20" fillId="0" borderId="38" xfId="0" applyFont="1" applyBorder="1" applyAlignment="1">
      <alignment vertical="center"/>
    </xf>
    <xf numFmtId="0" fontId="20" fillId="0" borderId="38" xfId="0" applyFont="1" applyBorder="1" applyAlignment="1" applyProtection="1">
      <alignment horizontal="center" vertical="center"/>
      <protection hidden="1"/>
    </xf>
    <xf numFmtId="0" fontId="20" fillId="0" borderId="33" xfId="0" applyFont="1" applyBorder="1" applyAlignment="1">
      <alignment vertical="center"/>
    </xf>
    <xf numFmtId="0" fontId="20" fillId="0" borderId="33" xfId="0" applyFont="1" applyBorder="1" applyAlignment="1" applyProtection="1">
      <alignment horizontal="center" vertical="center"/>
      <protection hidden="1"/>
    </xf>
    <xf numFmtId="0" fontId="43" fillId="0" borderId="0" xfId="0" applyFont="1"/>
    <xf numFmtId="0" fontId="15" fillId="0" borderId="18" xfId="0" applyFont="1" applyBorder="1" applyAlignment="1" applyProtection="1">
      <alignment vertical="center"/>
      <protection hidden="1"/>
    </xf>
    <xf numFmtId="0" fontId="49" fillId="0" borderId="0" xfId="6" applyFont="1" applyProtection="1">
      <protection hidden="1"/>
    </xf>
    <xf numFmtId="0" fontId="32" fillId="0" borderId="0" xfId="6" applyFont="1" applyAlignment="1" applyProtection="1">
      <alignment horizontal="center" vertical="center"/>
      <protection locked="0"/>
    </xf>
    <xf numFmtId="0" fontId="24" fillId="0" borderId="0" xfId="6" applyFont="1" applyProtection="1">
      <protection locked="0"/>
    </xf>
    <xf numFmtId="0" fontId="32" fillId="0" borderId="6" xfId="6" applyFont="1" applyBorder="1" applyAlignment="1" applyProtection="1">
      <alignment horizontal="center" vertical="center"/>
      <protection locked="0"/>
    </xf>
    <xf numFmtId="0" fontId="32" fillId="9" borderId="16" xfId="6" applyFont="1" applyFill="1" applyBorder="1" applyAlignment="1" applyProtection="1">
      <alignment vertical="center"/>
      <protection locked="0"/>
    </xf>
    <xf numFmtId="43" fontId="33" fillId="9" borderId="6" xfId="1" applyFont="1" applyFill="1" applyBorder="1" applyProtection="1">
      <protection hidden="1"/>
    </xf>
    <xf numFmtId="0" fontId="24" fillId="0" borderId="16" xfId="6" applyFont="1" applyBorder="1" applyAlignment="1" applyProtection="1">
      <alignment vertical="center"/>
      <protection locked="0"/>
    </xf>
    <xf numFmtId="43" fontId="27" fillId="0" borderId="32" xfId="1" applyFont="1" applyBorder="1" applyProtection="1">
      <protection hidden="1"/>
    </xf>
    <xf numFmtId="43" fontId="27" fillId="4" borderId="32" xfId="1" applyFont="1" applyFill="1" applyBorder="1" applyProtection="1">
      <protection locked="0"/>
    </xf>
    <xf numFmtId="43" fontId="27" fillId="4" borderId="32" xfId="1" applyFont="1" applyFill="1" applyBorder="1" applyAlignment="1" applyProtection="1">
      <alignment horizontal="right"/>
      <protection locked="0"/>
    </xf>
    <xf numFmtId="43" fontId="27" fillId="0" borderId="30" xfId="1" applyFont="1" applyBorder="1" applyProtection="1">
      <protection hidden="1"/>
    </xf>
    <xf numFmtId="43" fontId="27" fillId="4" borderId="30" xfId="1" applyFont="1" applyFill="1" applyBorder="1" applyProtection="1">
      <protection locked="0"/>
    </xf>
    <xf numFmtId="43" fontId="27" fillId="4" borderId="30" xfId="1" applyFont="1" applyFill="1" applyBorder="1" applyAlignment="1" applyProtection="1">
      <alignment horizontal="right"/>
      <protection locked="0"/>
    </xf>
    <xf numFmtId="43" fontId="27" fillId="0" borderId="31" xfId="1" applyFont="1" applyBorder="1" applyProtection="1">
      <protection hidden="1"/>
    </xf>
    <xf numFmtId="43" fontId="27" fillId="4" borderId="31" xfId="1" applyFont="1" applyFill="1" applyBorder="1" applyProtection="1">
      <protection locked="0"/>
    </xf>
    <xf numFmtId="43" fontId="27" fillId="4" borderId="31" xfId="1" applyFont="1" applyFill="1" applyBorder="1" applyAlignment="1" applyProtection="1">
      <alignment horizontal="right"/>
      <protection locked="0"/>
    </xf>
    <xf numFmtId="0" fontId="24" fillId="0" borderId="16" xfId="6" applyFont="1" applyBorder="1" applyAlignment="1" applyProtection="1">
      <alignment wrapText="1"/>
      <protection locked="0"/>
    </xf>
    <xf numFmtId="0" fontId="24" fillId="0" borderId="16" xfId="6" applyFont="1" applyBorder="1" applyProtection="1">
      <protection locked="0"/>
    </xf>
    <xf numFmtId="0" fontId="32" fillId="9" borderId="6" xfId="6" applyFont="1" applyFill="1" applyBorder="1" applyAlignment="1" applyProtection="1">
      <alignment vertical="center"/>
      <protection locked="0"/>
    </xf>
    <xf numFmtId="43" fontId="27" fillId="9" borderId="6" xfId="1" applyFont="1" applyFill="1" applyBorder="1" applyProtection="1">
      <protection hidden="1"/>
    </xf>
    <xf numFmtId="0" fontId="24" fillId="0" borderId="0" xfId="6" applyFont="1" applyProtection="1">
      <protection hidden="1"/>
    </xf>
    <xf numFmtId="0" fontId="24" fillId="0" borderId="0" xfId="6" applyFont="1" applyAlignment="1" applyProtection="1">
      <alignment horizontal="right" vertical="justify"/>
      <protection hidden="1"/>
    </xf>
    <xf numFmtId="0" fontId="50" fillId="0" borderId="0" xfId="6" applyFont="1" applyProtection="1">
      <protection hidden="1"/>
    </xf>
    <xf numFmtId="0" fontId="32" fillId="0" borderId="3" xfId="6" applyFont="1" applyBorder="1" applyAlignment="1" applyProtection="1">
      <alignment horizontal="center"/>
      <protection locked="0"/>
    </xf>
    <xf numFmtId="0" fontId="32" fillId="0" borderId="6" xfId="6" applyFont="1" applyBorder="1" applyAlignment="1" applyProtection="1">
      <alignment horizontal="center"/>
      <protection locked="0"/>
    </xf>
    <xf numFmtId="0" fontId="24" fillId="0" borderId="4" xfId="6" applyFont="1" applyBorder="1" applyProtection="1">
      <protection locked="0"/>
    </xf>
    <xf numFmtId="3" fontId="32" fillId="4" borderId="42" xfId="6" applyNumberFormat="1" applyFont="1" applyFill="1" applyBorder="1" applyAlignment="1" applyProtection="1">
      <alignment horizontal="center"/>
      <protection locked="0"/>
    </xf>
    <xf numFmtId="166" fontId="27" fillId="0" borderId="43" xfId="1" applyNumberFormat="1" applyFont="1" applyFill="1" applyBorder="1" applyProtection="1">
      <protection hidden="1"/>
    </xf>
    <xf numFmtId="166" fontId="27" fillId="4" borderId="42" xfId="1" applyNumberFormat="1" applyFont="1" applyFill="1" applyBorder="1" applyProtection="1">
      <protection locked="0"/>
    </xf>
    <xf numFmtId="166" fontId="27" fillId="4" borderId="18" xfId="1" applyNumberFormat="1" applyFont="1" applyFill="1" applyBorder="1" applyProtection="1">
      <protection locked="0"/>
    </xf>
    <xf numFmtId="166" fontId="27" fillId="4" borderId="44" xfId="1" applyNumberFormat="1" applyFont="1" applyFill="1" applyBorder="1" applyProtection="1">
      <protection locked="0"/>
    </xf>
    <xf numFmtId="166" fontId="27" fillId="4" borderId="44" xfId="1" applyNumberFormat="1" applyFont="1" applyFill="1" applyBorder="1" applyAlignment="1" applyProtection="1">
      <alignment horizontal="right"/>
      <protection locked="0"/>
    </xf>
    <xf numFmtId="166" fontId="27" fillId="0" borderId="42" xfId="1" applyNumberFormat="1" applyFont="1" applyFill="1" applyBorder="1" applyProtection="1">
      <protection hidden="1"/>
    </xf>
    <xf numFmtId="166" fontId="27" fillId="4" borderId="24" xfId="1" applyNumberFormat="1" applyFont="1" applyFill="1" applyBorder="1" applyAlignment="1" applyProtection="1">
      <alignment horizontal="right"/>
      <protection locked="0"/>
    </xf>
    <xf numFmtId="3" fontId="32" fillId="4" borderId="45" xfId="6" applyNumberFormat="1" applyFont="1" applyFill="1" applyBorder="1" applyAlignment="1" applyProtection="1">
      <alignment horizontal="center"/>
      <protection locked="0"/>
    </xf>
    <xf numFmtId="166" fontId="27" fillId="0" borderId="17" xfId="1" applyNumberFormat="1" applyFont="1" applyFill="1" applyBorder="1" applyProtection="1">
      <protection hidden="1"/>
    </xf>
    <xf numFmtId="166" fontId="27" fillId="4" borderId="16" xfId="1" applyNumberFormat="1" applyFont="1" applyFill="1" applyBorder="1" applyProtection="1">
      <protection locked="0"/>
    </xf>
    <xf numFmtId="166" fontId="27" fillId="4" borderId="0" xfId="1" applyNumberFormat="1" applyFont="1" applyFill="1" applyProtection="1">
      <protection locked="0"/>
    </xf>
    <xf numFmtId="166" fontId="27" fillId="4" borderId="4" xfId="1" applyNumberFormat="1" applyFont="1" applyFill="1" applyBorder="1" applyProtection="1">
      <protection locked="0"/>
    </xf>
    <xf numFmtId="166" fontId="27" fillId="4" borderId="46" xfId="1" applyNumberFormat="1" applyFont="1" applyFill="1" applyBorder="1" applyAlignment="1" applyProtection="1">
      <alignment horizontal="right"/>
      <protection locked="0"/>
    </xf>
    <xf numFmtId="0" fontId="32" fillId="3" borderId="6" xfId="6" applyFont="1" applyFill="1" applyBorder="1" applyAlignment="1" applyProtection="1">
      <alignment vertical="center" wrapText="1"/>
      <protection locked="0"/>
    </xf>
    <xf numFmtId="3" fontId="32" fillId="3" borderId="6" xfId="6" applyNumberFormat="1" applyFont="1" applyFill="1" applyBorder="1" applyAlignment="1" applyProtection="1">
      <alignment horizontal="center"/>
      <protection locked="0"/>
    </xf>
    <xf numFmtId="166" fontId="27" fillId="3" borderId="3" xfId="1" applyNumberFormat="1" applyFont="1" applyFill="1" applyBorder="1" applyProtection="1">
      <protection hidden="1"/>
    </xf>
    <xf numFmtId="166" fontId="27" fillId="3" borderId="6" xfId="1" applyNumberFormat="1" applyFont="1" applyFill="1" applyBorder="1" applyProtection="1">
      <protection hidden="1"/>
    </xf>
    <xf numFmtId="166" fontId="27" fillId="3" borderId="1" xfId="1" applyNumberFormat="1" applyFont="1" applyFill="1" applyBorder="1" applyProtection="1">
      <protection hidden="1"/>
    </xf>
    <xf numFmtId="166" fontId="27" fillId="3" borderId="1" xfId="1" applyNumberFormat="1" applyFont="1" applyFill="1" applyBorder="1" applyAlignment="1" applyProtection="1">
      <alignment horizontal="right"/>
      <protection hidden="1"/>
    </xf>
    <xf numFmtId="0" fontId="51" fillId="0" borderId="0" xfId="6" applyFont="1" applyProtection="1">
      <protection hidden="1"/>
    </xf>
    <xf numFmtId="0" fontId="24" fillId="0" borderId="8" xfId="6" applyFont="1" applyBorder="1" applyAlignment="1" applyProtection="1">
      <alignment horizontal="right" vertical="justify"/>
      <protection hidden="1"/>
    </xf>
    <xf numFmtId="0" fontId="52" fillId="0" borderId="0" xfId="6" applyFont="1" applyProtection="1">
      <protection hidden="1"/>
    </xf>
    <xf numFmtId="0" fontId="15" fillId="0" borderId="13" xfId="0" applyFont="1" applyBorder="1" applyAlignment="1" applyProtection="1">
      <alignment vertical="center"/>
      <protection hidden="1"/>
    </xf>
    <xf numFmtId="0" fontId="15" fillId="10" borderId="6" xfId="0" applyFont="1" applyFill="1" applyBorder="1" applyAlignment="1" applyProtection="1">
      <alignment horizontal="center" vertical="center"/>
      <protection locked="0"/>
    </xf>
    <xf numFmtId="166" fontId="43" fillId="0" borderId="6" xfId="1" applyNumberFormat="1" applyFont="1" applyBorder="1" applyAlignment="1" applyProtection="1">
      <alignment vertical="center"/>
      <protection hidden="1"/>
    </xf>
    <xf numFmtId="9" fontId="43" fillId="0" borderId="6" xfId="2" applyFont="1" applyBorder="1" applyAlignment="1" applyProtection="1">
      <alignment horizontal="center" vertical="center"/>
      <protection hidden="1"/>
    </xf>
    <xf numFmtId="0" fontId="15" fillId="9" borderId="6" xfId="0" applyFont="1" applyFill="1" applyBorder="1" applyProtection="1">
      <protection locked="0"/>
    </xf>
    <xf numFmtId="166" fontId="46" fillId="9" borderId="6" xfId="1" applyNumberFormat="1" applyFont="1" applyFill="1" applyBorder="1" applyAlignment="1" applyProtection="1">
      <alignment vertical="center"/>
      <protection hidden="1"/>
    </xf>
    <xf numFmtId="166" fontId="43" fillId="9" borderId="6" xfId="1" applyNumberFormat="1" applyFont="1" applyFill="1" applyBorder="1" applyAlignment="1" applyProtection="1">
      <alignment vertical="center"/>
      <protection hidden="1"/>
    </xf>
    <xf numFmtId="9" fontId="46" fillId="9" borderId="6" xfId="2" applyFont="1" applyFill="1" applyBorder="1" applyAlignment="1" applyProtection="1">
      <alignment horizontal="center" vertical="center"/>
      <protection hidden="1"/>
    </xf>
    <xf numFmtId="9" fontId="43" fillId="9" borderId="6" xfId="2" applyFont="1" applyFill="1" applyBorder="1" applyAlignment="1" applyProtection="1">
      <alignment horizontal="center" vertical="center"/>
      <protection hidden="1"/>
    </xf>
    <xf numFmtId="0" fontId="15" fillId="0" borderId="14" xfId="0" applyFont="1" applyBorder="1" applyAlignment="1" applyProtection="1">
      <alignment vertical="center"/>
      <protection hidden="1"/>
    </xf>
    <xf numFmtId="0" fontId="14" fillId="10" borderId="6" xfId="0" applyFont="1" applyFill="1" applyBorder="1" applyAlignment="1" applyProtection="1">
      <alignment horizontal="center" vertical="center"/>
      <protection locked="0"/>
    </xf>
    <xf numFmtId="0" fontId="20" fillId="0" borderId="1" xfId="0" applyFont="1" applyBorder="1" applyProtection="1">
      <protection locked="0"/>
    </xf>
    <xf numFmtId="43" fontId="43" fillId="0" borderId="6" xfId="1" applyFont="1" applyBorder="1" applyAlignment="1" applyProtection="1">
      <alignment vertical="center"/>
      <protection hidden="1"/>
    </xf>
    <xf numFmtId="43" fontId="43" fillId="0" borderId="1" xfId="1" applyFont="1" applyBorder="1" applyAlignment="1" applyProtection="1">
      <alignment vertical="center"/>
      <protection hidden="1"/>
    </xf>
    <xf numFmtId="43" fontId="20" fillId="0" borderId="6" xfId="1" applyFont="1" applyBorder="1" applyAlignment="1" applyProtection="1">
      <alignment horizontal="center" vertical="center"/>
      <protection hidden="1"/>
    </xf>
    <xf numFmtId="9" fontId="20" fillId="0" borderId="6" xfId="2" applyFont="1" applyBorder="1" applyAlignment="1" applyProtection="1">
      <alignment horizontal="center" vertical="center"/>
      <protection hidden="1"/>
    </xf>
    <xf numFmtId="43" fontId="46" fillId="9" borderId="1" xfId="1" applyFont="1" applyFill="1" applyBorder="1" applyAlignment="1" applyProtection="1">
      <alignment vertical="center"/>
      <protection hidden="1"/>
    </xf>
    <xf numFmtId="43" fontId="15" fillId="9" borderId="6" xfId="1" applyFont="1" applyFill="1" applyBorder="1" applyAlignment="1" applyProtection="1">
      <alignment horizontal="center" vertical="center"/>
      <protection hidden="1"/>
    </xf>
    <xf numFmtId="9" fontId="15" fillId="9" borderId="6" xfId="2" applyFont="1" applyFill="1" applyBorder="1" applyAlignment="1" applyProtection="1">
      <alignment horizontal="center" vertical="center"/>
      <protection hidden="1"/>
    </xf>
    <xf numFmtId="0" fontId="15" fillId="10" borderId="7" xfId="0" applyFont="1" applyFill="1" applyBorder="1" applyAlignment="1" applyProtection="1">
      <alignment horizontal="center" vertical="center"/>
      <protection locked="0"/>
    </xf>
    <xf numFmtId="0" fontId="15" fillId="10" borderId="6" xfId="0" applyFont="1" applyFill="1" applyBorder="1" applyAlignment="1" applyProtection="1">
      <alignment horizontal="center" vertical="center" wrapText="1"/>
      <protection locked="0"/>
    </xf>
    <xf numFmtId="0" fontId="15" fillId="10" borderId="7" xfId="0" applyFont="1" applyFill="1" applyBorder="1" applyAlignment="1" applyProtection="1">
      <alignment horizontal="center" vertical="center" wrapText="1"/>
      <protection locked="0"/>
    </xf>
    <xf numFmtId="14" fontId="15" fillId="10" borderId="5" xfId="0" applyNumberFormat="1" applyFont="1" applyFill="1" applyBorder="1" applyAlignment="1" applyProtection="1">
      <alignment horizontal="center" vertical="center"/>
      <protection hidden="1"/>
    </xf>
    <xf numFmtId="0" fontId="15" fillId="10" borderId="6" xfId="0" applyFont="1" applyFill="1" applyBorder="1" applyAlignment="1" applyProtection="1">
      <alignment horizontal="center" vertical="center" wrapText="1"/>
      <protection hidden="1"/>
    </xf>
    <xf numFmtId="166" fontId="43" fillId="0" borderId="6" xfId="1" applyNumberFormat="1" applyFont="1" applyBorder="1" applyAlignment="1" applyProtection="1">
      <alignment horizontal="center" vertical="center"/>
      <protection hidden="1"/>
    </xf>
    <xf numFmtId="166" fontId="20" fillId="0" borderId="6" xfId="1" applyNumberFormat="1" applyFont="1" applyBorder="1" applyAlignment="1" applyProtection="1">
      <alignment vertical="center"/>
      <protection locked="0"/>
    </xf>
    <xf numFmtId="166" fontId="46" fillId="9" borderId="6" xfId="1" applyNumberFormat="1" applyFont="1" applyFill="1" applyBorder="1" applyAlignment="1" applyProtection="1">
      <alignment horizontal="center" vertical="center"/>
      <protection hidden="1"/>
    </xf>
    <xf numFmtId="166" fontId="15" fillId="9" borderId="6" xfId="1" applyNumberFormat="1" applyFont="1" applyFill="1" applyBorder="1" applyAlignment="1" applyProtection="1">
      <alignment vertical="center"/>
      <protection hidden="1"/>
    </xf>
    <xf numFmtId="0" fontId="15" fillId="9" borderId="5" xfId="0" applyFont="1" applyFill="1" applyBorder="1" applyAlignment="1" applyProtection="1">
      <alignment vertical="center"/>
      <protection locked="0"/>
    </xf>
    <xf numFmtId="0" fontId="15" fillId="10" borderId="6" xfId="0" applyFont="1" applyFill="1" applyBorder="1" applyAlignment="1" applyProtection="1">
      <alignment horizontal="center"/>
      <protection locked="0"/>
    </xf>
    <xf numFmtId="9" fontId="20" fillId="0" borderId="6" xfId="2" applyFont="1" applyBorder="1" applyAlignment="1" applyProtection="1">
      <alignment vertical="center"/>
      <protection hidden="1"/>
    </xf>
    <xf numFmtId="43" fontId="43" fillId="9" borderId="6" xfId="1" applyFont="1" applyFill="1" applyBorder="1" applyAlignment="1" applyProtection="1">
      <alignment vertical="center"/>
      <protection hidden="1"/>
    </xf>
    <xf numFmtId="9" fontId="20" fillId="9" borderId="6" xfId="2" applyFont="1" applyFill="1" applyBorder="1" applyAlignment="1" applyProtection="1">
      <alignment vertical="center"/>
      <protection hidden="1"/>
    </xf>
    <xf numFmtId="14" fontId="15" fillId="10" borderId="5" xfId="0" applyNumberFormat="1" applyFont="1" applyFill="1" applyBorder="1" applyAlignment="1" applyProtection="1">
      <alignment horizontal="center" vertical="center" wrapText="1"/>
      <protection locked="0"/>
    </xf>
    <xf numFmtId="167" fontId="43" fillId="0" borderId="6" xfId="1" applyNumberFormat="1" applyFont="1" applyBorder="1" applyProtection="1">
      <protection locked="0"/>
    </xf>
    <xf numFmtId="43" fontId="43" fillId="0" borderId="6" xfId="1" applyFont="1" applyBorder="1" applyProtection="1">
      <protection locked="0"/>
    </xf>
    <xf numFmtId="167" fontId="43" fillId="0" borderId="2" xfId="1" applyNumberFormat="1" applyFont="1" applyBorder="1" applyProtection="1">
      <protection locked="0"/>
    </xf>
    <xf numFmtId="0" fontId="15" fillId="9" borderId="6" xfId="0" applyFont="1" applyFill="1" applyBorder="1" applyAlignment="1">
      <alignment horizontal="center" vertical="center" wrapText="1"/>
    </xf>
    <xf numFmtId="0" fontId="15" fillId="10" borderId="7" xfId="0" applyFont="1" applyFill="1" applyBorder="1" applyAlignment="1" applyProtection="1">
      <alignment horizontal="center" vertical="center"/>
      <protection hidden="1"/>
    </xf>
    <xf numFmtId="1" fontId="15" fillId="10" borderId="5" xfId="0" applyNumberFormat="1" applyFont="1" applyFill="1" applyBorder="1" applyAlignment="1" applyProtection="1">
      <alignment horizontal="center" vertical="center"/>
      <protection hidden="1"/>
    </xf>
    <xf numFmtId="167" fontId="43" fillId="0" borderId="6" xfId="1" applyNumberFormat="1" applyFont="1" applyBorder="1" applyAlignment="1" applyProtection="1">
      <alignment vertical="center"/>
      <protection locked="0"/>
    </xf>
    <xf numFmtId="167" fontId="43" fillId="9" borderId="6" xfId="1" applyNumberFormat="1" applyFont="1" applyFill="1" applyBorder="1" applyAlignment="1" applyProtection="1">
      <alignment vertical="center"/>
      <protection locked="0"/>
    </xf>
    <xf numFmtId="0" fontId="56" fillId="0" borderId="0" xfId="0" applyFont="1"/>
    <xf numFmtId="14" fontId="15" fillId="10" borderId="5" xfId="0" applyNumberFormat="1" applyFont="1" applyFill="1" applyBorder="1" applyAlignment="1">
      <alignment horizontal="center" vertical="center"/>
    </xf>
    <xf numFmtId="43" fontId="43" fillId="0" borderId="6" xfId="1" applyFont="1" applyBorder="1" applyAlignment="1" applyProtection="1">
      <alignment vertical="center"/>
      <protection locked="0"/>
    </xf>
    <xf numFmtId="0" fontId="20" fillId="0" borderId="6" xfId="0" applyFont="1" applyBorder="1" applyAlignment="1" applyProtection="1">
      <alignment wrapText="1"/>
      <protection locked="0"/>
    </xf>
    <xf numFmtId="43" fontId="43" fillId="9" borderId="6" xfId="1" applyFont="1" applyFill="1" applyBorder="1" applyAlignment="1" applyProtection="1">
      <alignment vertical="center"/>
    </xf>
    <xf numFmtId="43" fontId="43" fillId="9" borderId="1" xfId="1" applyFont="1" applyFill="1" applyBorder="1" applyAlignment="1" applyProtection="1">
      <alignment vertical="center"/>
      <protection hidden="1"/>
    </xf>
    <xf numFmtId="0" fontId="48" fillId="0" borderId="0" xfId="0" applyFont="1"/>
    <xf numFmtId="0" fontId="15" fillId="10" borderId="6" xfId="0" applyFont="1" applyFill="1" applyBorder="1" applyAlignment="1" applyProtection="1">
      <alignment horizontal="center" vertical="center"/>
      <protection hidden="1"/>
    </xf>
    <xf numFmtId="1" fontId="15" fillId="10" borderId="6" xfId="0" applyNumberFormat="1" applyFont="1" applyFill="1" applyBorder="1" applyAlignment="1" applyProtection="1">
      <alignment horizontal="center" vertical="center"/>
      <protection hidden="1"/>
    </xf>
    <xf numFmtId="0" fontId="13" fillId="0" borderId="6" xfId="0" applyFont="1" applyBorder="1" applyAlignment="1" applyProtection="1">
      <alignment vertical="center"/>
      <protection hidden="1"/>
    </xf>
    <xf numFmtId="167" fontId="43" fillId="0" borderId="6" xfId="1" applyNumberFormat="1" applyFont="1" applyBorder="1" applyAlignment="1" applyProtection="1">
      <alignment vertical="center"/>
      <protection hidden="1"/>
    </xf>
    <xf numFmtId="167" fontId="43" fillId="0" borderId="6" xfId="2" applyNumberFormat="1" applyFont="1" applyBorder="1" applyAlignment="1" applyProtection="1">
      <alignment horizontal="center" vertical="center"/>
      <protection hidden="1"/>
    </xf>
    <xf numFmtId="0" fontId="14" fillId="9" borderId="6" xfId="0" applyFont="1" applyFill="1" applyBorder="1" applyAlignment="1" applyProtection="1">
      <alignment vertical="center"/>
      <protection hidden="1"/>
    </xf>
    <xf numFmtId="167" fontId="43" fillId="9" borderId="6" xfId="1" applyNumberFormat="1" applyFont="1" applyFill="1" applyBorder="1" applyAlignment="1" applyProtection="1">
      <alignment vertical="center"/>
      <protection hidden="1"/>
    </xf>
    <xf numFmtId="167" fontId="46" fillId="9" borderId="6" xfId="2" applyNumberFormat="1" applyFont="1" applyFill="1" applyBorder="1" applyAlignment="1" applyProtection="1">
      <alignment horizontal="center" vertical="center"/>
      <protection hidden="1"/>
    </xf>
    <xf numFmtId="0" fontId="14" fillId="9" borderId="6" xfId="0" applyFont="1" applyFill="1" applyBorder="1" applyAlignment="1" applyProtection="1">
      <alignment vertical="center" wrapText="1"/>
      <protection hidden="1"/>
    </xf>
    <xf numFmtId="167" fontId="20" fillId="0" borderId="0" xfId="1" applyNumberFormat="1" applyFont="1" applyFill="1" applyBorder="1" applyAlignment="1" applyProtection="1">
      <alignment vertical="center"/>
      <protection hidden="1"/>
    </xf>
    <xf numFmtId="9" fontId="20" fillId="0" borderId="0" xfId="2" applyFont="1" applyFill="1" applyBorder="1" applyAlignment="1" applyProtection="1">
      <alignment vertical="center"/>
      <protection hidden="1"/>
    </xf>
    <xf numFmtId="9" fontId="20" fillId="0" borderId="0" xfId="2" applyFont="1" applyFill="1" applyBorder="1" applyAlignment="1" applyProtection="1">
      <alignment horizontal="center" vertical="center"/>
      <protection hidden="1"/>
    </xf>
    <xf numFmtId="0" fontId="15" fillId="0" borderId="18" xfId="0" applyFont="1" applyBorder="1" applyAlignment="1">
      <alignment horizontal="center" vertical="center"/>
    </xf>
    <xf numFmtId="14" fontId="15" fillId="0" borderId="18" xfId="0" applyNumberFormat="1" applyFont="1" applyBorder="1" applyAlignment="1">
      <alignment horizontal="center" vertical="center"/>
    </xf>
    <xf numFmtId="0" fontId="15" fillId="0" borderId="0" xfId="0" applyFont="1" applyAlignment="1">
      <alignment horizontal="center" vertical="center"/>
    </xf>
    <xf numFmtId="0" fontId="15" fillId="0" borderId="20" xfId="0" applyFont="1" applyBorder="1" applyAlignment="1">
      <alignment vertical="center"/>
    </xf>
    <xf numFmtId="0" fontId="15" fillId="0" borderId="0" xfId="0" applyFont="1" applyAlignment="1">
      <alignment horizontal="left" vertical="center"/>
    </xf>
    <xf numFmtId="0" fontId="15" fillId="0" borderId="19" xfId="0" applyFont="1" applyBorder="1" applyAlignment="1">
      <alignment vertical="center"/>
    </xf>
    <xf numFmtId="14" fontId="15" fillId="0" borderId="20" xfId="0" applyNumberFormat="1" applyFont="1" applyBorder="1" applyAlignment="1">
      <alignment horizontal="center" vertical="center"/>
    </xf>
    <xf numFmtId="14" fontId="15" fillId="0" borderId="0" xfId="0" applyNumberFormat="1" applyFont="1" applyAlignment="1">
      <alignment vertical="center"/>
    </xf>
    <xf numFmtId="9" fontId="20" fillId="9" borderId="6" xfId="2" applyFont="1" applyFill="1" applyBorder="1" applyAlignment="1" applyProtection="1">
      <alignment horizontal="center" vertical="center"/>
      <protection hidden="1"/>
    </xf>
    <xf numFmtId="0" fontId="15" fillId="0" borderId="20" xfId="0" applyFont="1" applyBorder="1" applyProtection="1">
      <protection hidden="1"/>
    </xf>
    <xf numFmtId="0" fontId="15" fillId="0" borderId="19" xfId="0" applyFont="1" applyBorder="1" applyProtection="1">
      <protection hidden="1"/>
    </xf>
    <xf numFmtId="14" fontId="15" fillId="0" borderId="0" xfId="0" applyNumberFormat="1" applyFont="1" applyProtection="1">
      <protection hidden="1"/>
    </xf>
    <xf numFmtId="0" fontId="24" fillId="0" borderId="17" xfId="6" applyFont="1" applyBorder="1" applyProtection="1">
      <protection locked="0"/>
    </xf>
    <xf numFmtId="0" fontId="26" fillId="0" borderId="15" xfId="6" applyFont="1" applyBorder="1" applyProtection="1">
      <protection locked="0"/>
    </xf>
    <xf numFmtId="0" fontId="32" fillId="0" borderId="1" xfId="6" applyFont="1" applyBorder="1" applyProtection="1">
      <protection locked="0"/>
    </xf>
    <xf numFmtId="0" fontId="24" fillId="0" borderId="2" xfId="6" applyFont="1" applyBorder="1" applyProtection="1">
      <protection locked="0"/>
    </xf>
    <xf numFmtId="0" fontId="32" fillId="0" borderId="2" xfId="6" applyFont="1" applyBorder="1" applyProtection="1">
      <protection locked="0"/>
    </xf>
    <xf numFmtId="0" fontId="24" fillId="0" borderId="3" xfId="6" applyFont="1" applyBorder="1" applyProtection="1">
      <protection locked="0"/>
    </xf>
    <xf numFmtId="0" fontId="32" fillId="0" borderId="1" xfId="6" applyFont="1" applyBorder="1" applyAlignment="1" applyProtection="1">
      <alignment horizontal="centerContinuous"/>
      <protection locked="0"/>
    </xf>
    <xf numFmtId="0" fontId="24" fillId="0" borderId="2" xfId="6" applyFont="1" applyBorder="1" applyAlignment="1" applyProtection="1">
      <alignment horizontal="centerContinuous"/>
      <protection locked="0"/>
    </xf>
    <xf numFmtId="0" fontId="24" fillId="0" borderId="3" xfId="6" applyFont="1" applyBorder="1" applyAlignment="1" applyProtection="1">
      <alignment horizontal="centerContinuous"/>
      <protection locked="0"/>
    </xf>
    <xf numFmtId="0" fontId="26" fillId="0" borderId="4" xfId="6" applyFont="1" applyBorder="1" applyProtection="1">
      <protection locked="0"/>
    </xf>
    <xf numFmtId="0" fontId="33" fillId="0" borderId="4" xfId="6" applyFont="1" applyBorder="1" applyAlignment="1" applyProtection="1">
      <alignment horizontal="centerContinuous"/>
      <protection locked="0"/>
    </xf>
    <xf numFmtId="0" fontId="24" fillId="0" borderId="0" xfId="6" applyFont="1" applyAlignment="1" applyProtection="1">
      <alignment horizontal="centerContinuous"/>
      <protection locked="0"/>
    </xf>
    <xf numFmtId="0" fontId="27" fillId="0" borderId="0" xfId="6" applyFont="1" applyAlignment="1" applyProtection="1">
      <alignment horizontal="centerContinuous"/>
      <protection locked="0"/>
    </xf>
    <xf numFmtId="0" fontId="33" fillId="0" borderId="10" xfId="6" applyFont="1" applyBorder="1" applyAlignment="1" applyProtection="1">
      <alignment horizontal="centerContinuous"/>
      <protection locked="0"/>
    </xf>
    <xf numFmtId="0" fontId="24" fillId="0" borderId="11" xfId="6" applyFont="1" applyBorder="1" applyAlignment="1" applyProtection="1">
      <alignment horizontal="centerContinuous"/>
      <protection locked="0"/>
    </xf>
    <xf numFmtId="0" fontId="27" fillId="0" borderId="11" xfId="6" applyFont="1" applyBorder="1" applyAlignment="1" applyProtection="1">
      <alignment horizontal="centerContinuous"/>
      <protection locked="0"/>
    </xf>
    <xf numFmtId="0" fontId="26" fillId="0" borderId="10" xfId="6" applyFont="1" applyBorder="1" applyProtection="1">
      <protection locked="0"/>
    </xf>
    <xf numFmtId="0" fontId="33" fillId="0" borderId="10" xfId="6" applyFont="1" applyBorder="1" applyAlignment="1" applyProtection="1">
      <alignment horizontal="center"/>
      <protection locked="0"/>
    </xf>
    <xf numFmtId="0" fontId="27" fillId="0" borderId="5" xfId="6" applyFont="1" applyBorder="1" applyAlignment="1" applyProtection="1">
      <alignment horizontal="center"/>
      <protection locked="0"/>
    </xf>
    <xf numFmtId="0" fontId="24" fillId="0" borderId="5" xfId="6" applyFont="1" applyBorder="1" applyProtection="1">
      <protection locked="0"/>
    </xf>
    <xf numFmtId="0" fontId="34" fillId="6" borderId="6" xfId="6" applyFont="1" applyFill="1" applyBorder="1" applyAlignment="1" applyProtection="1">
      <alignment horizontal="center"/>
      <protection locked="0"/>
    </xf>
    <xf numFmtId="0" fontId="26" fillId="0" borderId="4" xfId="6" applyFont="1" applyBorder="1" applyAlignment="1" applyProtection="1">
      <alignment wrapText="1"/>
      <protection locked="0"/>
    </xf>
    <xf numFmtId="166" fontId="27" fillId="0" borderId="42" xfId="1" applyNumberFormat="1" applyFont="1" applyBorder="1" applyProtection="1">
      <protection locked="0"/>
    </xf>
    <xf numFmtId="0" fontId="26" fillId="0" borderId="7" xfId="6" applyFont="1" applyBorder="1" applyAlignment="1" applyProtection="1">
      <alignment vertical="center"/>
      <protection locked="0"/>
    </xf>
    <xf numFmtId="166" fontId="27" fillId="0" borderId="21" xfId="1" applyNumberFormat="1" applyFont="1" applyBorder="1" applyProtection="1">
      <protection locked="0"/>
    </xf>
    <xf numFmtId="166" fontId="27" fillId="0" borderId="48" xfId="1" applyNumberFormat="1" applyFont="1" applyBorder="1" applyProtection="1">
      <protection locked="0"/>
    </xf>
    <xf numFmtId="0" fontId="26" fillId="0" borderId="7" xfId="6" applyFont="1" applyBorder="1" applyAlignment="1" applyProtection="1">
      <alignment horizontal="left" vertical="center"/>
      <protection locked="0"/>
    </xf>
    <xf numFmtId="0" fontId="33" fillId="0" borderId="0" xfId="6" applyFont="1" applyProtection="1">
      <protection locked="0"/>
    </xf>
    <xf numFmtId="0" fontId="33" fillId="0" borderId="0" xfId="6" applyFont="1" applyAlignment="1" applyProtection="1">
      <alignment vertical="center"/>
      <protection locked="0"/>
    </xf>
    <xf numFmtId="0" fontId="27" fillId="0" borderId="0" xfId="6" applyFont="1" applyAlignment="1" applyProtection="1">
      <alignment vertical="center"/>
      <protection locked="0"/>
    </xf>
    <xf numFmtId="0" fontId="26" fillId="0" borderId="15" xfId="6" applyFont="1" applyBorder="1" applyAlignment="1" applyProtection="1">
      <alignment wrapText="1"/>
      <protection locked="0"/>
    </xf>
    <xf numFmtId="166" fontId="27" fillId="4" borderId="21" xfId="1" applyNumberFormat="1" applyFont="1" applyFill="1" applyBorder="1" applyProtection="1">
      <protection locked="0"/>
    </xf>
    <xf numFmtId="166" fontId="27" fillId="4" borderId="48" xfId="1" applyNumberFormat="1" applyFont="1" applyFill="1" applyBorder="1" applyProtection="1">
      <protection locked="0"/>
    </xf>
    <xf numFmtId="0" fontId="26" fillId="0" borderId="0" xfId="6" applyFont="1" applyAlignment="1" applyProtection="1">
      <alignment vertical="top" wrapText="1"/>
      <protection locked="0"/>
    </xf>
    <xf numFmtId="43" fontId="43" fillId="0" borderId="0" xfId="1" applyFont="1" applyFill="1" applyBorder="1" applyAlignment="1" applyProtection="1">
      <alignment vertical="center"/>
      <protection locked="0"/>
    </xf>
    <xf numFmtId="0" fontId="24" fillId="0" borderId="0" xfId="6" applyFont="1" applyAlignment="1" applyProtection="1">
      <alignment vertical="center"/>
      <protection locked="0"/>
    </xf>
    <xf numFmtId="166" fontId="27" fillId="0" borderId="4" xfId="1" applyNumberFormat="1" applyFont="1" applyBorder="1" applyProtection="1">
      <protection locked="0"/>
    </xf>
    <xf numFmtId="166" fontId="27" fillId="0" borderId="16" xfId="1" applyNumberFormat="1" applyFont="1" applyBorder="1" applyProtection="1">
      <protection locked="0"/>
    </xf>
    <xf numFmtId="166" fontId="33" fillId="0" borderId="4" xfId="1" applyNumberFormat="1" applyFont="1" applyBorder="1" applyProtection="1">
      <protection locked="0"/>
    </xf>
    <xf numFmtId="166" fontId="33" fillId="0" borderId="16" xfId="1" applyNumberFormat="1" applyFont="1" applyBorder="1" applyProtection="1">
      <protection locked="0"/>
    </xf>
    <xf numFmtId="0" fontId="52" fillId="0" borderId="0" xfId="6" applyFont="1" applyProtection="1">
      <protection locked="0"/>
    </xf>
    <xf numFmtId="0" fontId="24" fillId="0" borderId="0" xfId="6" applyFont="1" applyAlignment="1" applyProtection="1">
      <alignment vertical="top"/>
      <protection locked="0"/>
    </xf>
    <xf numFmtId="0" fontId="29" fillId="0" borderId="6" xfId="6" applyFont="1" applyBorder="1" applyAlignment="1" applyProtection="1">
      <alignment vertical="center"/>
      <protection locked="0"/>
    </xf>
    <xf numFmtId="3" fontId="27" fillId="0" borderId="49" xfId="6" applyNumberFormat="1" applyFont="1" applyBorder="1" applyProtection="1">
      <protection locked="0"/>
    </xf>
    <xf numFmtId="0" fontId="33" fillId="0" borderId="26" xfId="6" applyFont="1" applyBorder="1" applyAlignment="1" applyProtection="1">
      <alignment vertical="center"/>
      <protection locked="0"/>
    </xf>
    <xf numFmtId="0" fontId="33" fillId="0" borderId="28" xfId="6" applyFont="1" applyBorder="1" applyProtection="1">
      <protection locked="0"/>
    </xf>
    <xf numFmtId="0" fontId="24" fillId="8" borderId="0" xfId="6" applyFont="1" applyFill="1" applyProtection="1">
      <protection locked="0"/>
    </xf>
    <xf numFmtId="0" fontId="32" fillId="8" borderId="6" xfId="6" applyFont="1" applyFill="1" applyBorder="1" applyAlignment="1" applyProtection="1">
      <alignment horizontal="center"/>
      <protection locked="0"/>
    </xf>
    <xf numFmtId="0" fontId="32" fillId="8" borderId="1" xfId="6" applyFont="1" applyFill="1" applyBorder="1" applyAlignment="1" applyProtection="1">
      <alignment horizontal="centerContinuous"/>
      <protection locked="0"/>
    </xf>
    <xf numFmtId="0" fontId="32" fillId="8" borderId="2" xfId="6" applyFont="1" applyFill="1" applyBorder="1" applyAlignment="1" applyProtection="1">
      <alignment horizontal="centerContinuous"/>
      <protection locked="0"/>
    </xf>
    <xf numFmtId="0" fontId="24" fillId="8" borderId="3" xfId="6" applyFont="1" applyFill="1" applyBorder="1" applyAlignment="1" applyProtection="1">
      <alignment horizontal="centerContinuous"/>
      <protection locked="0"/>
    </xf>
    <xf numFmtId="0" fontId="24" fillId="8" borderId="2" xfId="6" applyFont="1" applyFill="1" applyBorder="1" applyAlignment="1" applyProtection="1">
      <alignment horizontal="centerContinuous"/>
      <protection locked="0"/>
    </xf>
    <xf numFmtId="0" fontId="24" fillId="8" borderId="10" xfId="6" applyFont="1" applyFill="1" applyBorder="1" applyAlignment="1" applyProtection="1">
      <alignment horizontal="centerContinuous"/>
      <protection locked="0"/>
    </xf>
    <xf numFmtId="0" fontId="24" fillId="8" borderId="11" xfId="6" applyFont="1" applyFill="1" applyBorder="1" applyAlignment="1" applyProtection="1">
      <alignment horizontal="centerContinuous"/>
      <protection locked="0"/>
    </xf>
    <xf numFmtId="0" fontId="24" fillId="8" borderId="12" xfId="6" applyFont="1" applyFill="1" applyBorder="1" applyAlignment="1" applyProtection="1">
      <alignment horizontal="centerContinuous"/>
      <protection locked="0"/>
    </xf>
    <xf numFmtId="0" fontId="24" fillId="8" borderId="6" xfId="6" applyFont="1" applyFill="1" applyBorder="1" applyAlignment="1" applyProtection="1">
      <alignment horizontal="center"/>
      <protection locked="0"/>
    </xf>
    <xf numFmtId="0" fontId="24" fillId="8" borderId="4" xfId="6" applyFont="1" applyFill="1" applyBorder="1" applyProtection="1">
      <protection locked="0"/>
    </xf>
    <xf numFmtId="43" fontId="27" fillId="0" borderId="42" xfId="1" applyFont="1" applyBorder="1" applyProtection="1">
      <protection hidden="1"/>
    </xf>
    <xf numFmtId="43" fontId="27" fillId="4" borderId="44" xfId="1" applyFont="1" applyFill="1" applyBorder="1" applyProtection="1">
      <protection locked="0"/>
    </xf>
    <xf numFmtId="43" fontId="27" fillId="4" borderId="42" xfId="1" applyFont="1" applyFill="1" applyBorder="1" applyProtection="1">
      <protection locked="0"/>
    </xf>
    <xf numFmtId="43" fontId="27" fillId="4" borderId="43" xfId="1" applyFont="1" applyFill="1" applyBorder="1" applyProtection="1">
      <protection locked="0"/>
    </xf>
    <xf numFmtId="43" fontId="27" fillId="4" borderId="44" xfId="1" applyFont="1" applyFill="1" applyBorder="1" applyAlignment="1" applyProtection="1">
      <alignment horizontal="right"/>
      <protection locked="0"/>
    </xf>
    <xf numFmtId="43" fontId="27" fillId="7" borderId="42" xfId="1" applyFont="1" applyFill="1" applyBorder="1" applyProtection="1">
      <protection locked="0"/>
    </xf>
    <xf numFmtId="0" fontId="32" fillId="8" borderId="7" xfId="6" applyFont="1" applyFill="1" applyBorder="1" applyAlignment="1" applyProtection="1">
      <alignment vertical="center"/>
      <protection locked="0"/>
    </xf>
    <xf numFmtId="43" fontId="27" fillId="0" borderId="48" xfId="1" applyFont="1" applyBorder="1" applyProtection="1">
      <protection hidden="1"/>
    </xf>
    <xf numFmtId="0" fontId="24" fillId="0" borderId="4" xfId="6" applyFont="1" applyBorder="1" applyAlignment="1" applyProtection="1">
      <alignment vertical="center" wrapText="1"/>
      <protection locked="0"/>
    </xf>
    <xf numFmtId="43" fontId="27" fillId="4" borderId="24" xfId="1" applyFont="1" applyFill="1" applyBorder="1" applyProtection="1">
      <protection locked="0"/>
    </xf>
    <xf numFmtId="43" fontId="27" fillId="4" borderId="50" xfId="1" applyFont="1" applyFill="1" applyBorder="1" applyProtection="1">
      <protection locked="0"/>
    </xf>
    <xf numFmtId="43" fontId="27" fillId="4" borderId="25" xfId="1" applyFont="1" applyFill="1" applyBorder="1" applyProtection="1">
      <protection locked="0"/>
    </xf>
    <xf numFmtId="43" fontId="27" fillId="4" borderId="50" xfId="1" applyFont="1" applyFill="1" applyBorder="1" applyAlignment="1" applyProtection="1">
      <alignment horizontal="center"/>
      <protection locked="0"/>
    </xf>
    <xf numFmtId="0" fontId="32" fillId="8" borderId="7" xfId="6" applyFont="1" applyFill="1" applyBorder="1" applyAlignment="1" applyProtection="1">
      <alignment horizontal="left" vertical="center" wrapText="1"/>
      <protection locked="0"/>
    </xf>
    <xf numFmtId="43" fontId="27" fillId="0" borderId="6" xfId="1" applyFont="1" applyBorder="1" applyProtection="1">
      <protection hidden="1"/>
    </xf>
    <xf numFmtId="0" fontId="32" fillId="8" borderId="6" xfId="6" applyFont="1" applyFill="1" applyBorder="1" applyAlignment="1" applyProtection="1">
      <alignment vertical="center"/>
      <protection locked="0"/>
    </xf>
    <xf numFmtId="0" fontId="32" fillId="0" borderId="0" xfId="6" applyFont="1" applyProtection="1">
      <protection hidden="1"/>
    </xf>
    <xf numFmtId="9" fontId="43" fillId="0" borderId="6" xfId="2" applyFont="1" applyBorder="1" applyAlignment="1" applyProtection="1">
      <alignment vertical="center"/>
      <protection hidden="1"/>
    </xf>
    <xf numFmtId="9" fontId="43" fillId="12" borderId="6" xfId="2" applyFont="1" applyFill="1" applyBorder="1" applyAlignment="1" applyProtection="1">
      <alignment vertical="center"/>
      <protection hidden="1"/>
    </xf>
    <xf numFmtId="0" fontId="46" fillId="13" borderId="6" xfId="0" applyFont="1" applyFill="1" applyBorder="1" applyAlignment="1" applyProtection="1">
      <alignment horizontal="center" vertical="center"/>
      <protection hidden="1"/>
    </xf>
    <xf numFmtId="0" fontId="43" fillId="0" borderId="6" xfId="0" applyFont="1" applyBorder="1" applyAlignment="1" applyProtection="1">
      <alignment horizontal="left" vertical="center"/>
      <protection hidden="1"/>
    </xf>
    <xf numFmtId="0" fontId="57" fillId="0" borderId="0" xfId="0" applyFont="1" applyProtection="1">
      <protection locked="0"/>
    </xf>
    <xf numFmtId="0" fontId="58" fillId="0" borderId="0" xfId="0" applyFont="1" applyAlignment="1" applyProtection="1">
      <alignment vertical="top"/>
      <protection hidden="1"/>
    </xf>
    <xf numFmtId="0" fontId="13" fillId="0" borderId="0" xfId="0" applyFont="1" applyAlignment="1" applyProtection="1">
      <alignment vertical="top"/>
      <protection hidden="1"/>
    </xf>
    <xf numFmtId="1" fontId="33" fillId="0" borderId="6" xfId="0" applyNumberFormat="1" applyFont="1" applyBorder="1" applyAlignment="1" applyProtection="1">
      <alignment horizontal="center" vertical="center"/>
      <protection hidden="1"/>
    </xf>
    <xf numFmtId="165" fontId="43" fillId="0" borderId="6" xfId="7" applyFont="1" applyBorder="1" applyAlignment="1" applyProtection="1">
      <alignment vertical="center"/>
      <protection hidden="1"/>
    </xf>
    <xf numFmtId="1" fontId="59" fillId="9" borderId="6" xfId="0" applyNumberFormat="1" applyFont="1" applyFill="1" applyBorder="1" applyAlignment="1" applyProtection="1">
      <alignment horizontal="center" vertical="center"/>
      <protection hidden="1"/>
    </xf>
    <xf numFmtId="165" fontId="46" fillId="9" borderId="6" xfId="7" applyFont="1" applyFill="1" applyBorder="1" applyAlignment="1" applyProtection="1">
      <alignment vertical="center"/>
      <protection hidden="1"/>
    </xf>
    <xf numFmtId="165" fontId="43" fillId="0" borderId="6" xfId="7" applyFont="1" applyFill="1" applyBorder="1" applyAlignment="1" applyProtection="1">
      <alignment vertical="center"/>
      <protection hidden="1"/>
    </xf>
    <xf numFmtId="165" fontId="33" fillId="0" borderId="6" xfId="7" applyFont="1" applyBorder="1" applyAlignment="1" applyProtection="1">
      <alignment vertical="center"/>
      <protection hidden="1"/>
    </xf>
    <xf numFmtId="9" fontId="43" fillId="0" borderId="6" xfId="2" applyFont="1" applyFill="1" applyBorder="1" applyAlignment="1" applyProtection="1">
      <alignment horizontal="center" vertical="center"/>
      <protection hidden="1"/>
    </xf>
    <xf numFmtId="49" fontId="33" fillId="0" borderId="6" xfId="0" applyNumberFormat="1" applyFont="1" applyBorder="1" applyAlignment="1" applyProtection="1">
      <alignment horizontal="center" vertical="center"/>
      <protection hidden="1"/>
    </xf>
    <xf numFmtId="165" fontId="43" fillId="0" borderId="3" xfId="7" applyFont="1" applyBorder="1" applyAlignment="1" applyProtection="1">
      <alignment vertical="center"/>
      <protection hidden="1"/>
    </xf>
    <xf numFmtId="165" fontId="33" fillId="0" borderId="6" xfId="7" applyFont="1" applyBorder="1" applyProtection="1">
      <protection hidden="1"/>
    </xf>
    <xf numFmtId="0" fontId="43" fillId="0" borderId="2" xfId="0" applyFont="1" applyBorder="1" applyProtection="1">
      <protection hidden="1"/>
    </xf>
    <xf numFmtId="3" fontId="46" fillId="9" borderId="6" xfId="7" applyNumberFormat="1" applyFont="1" applyFill="1" applyBorder="1" applyAlignment="1" applyProtection="1">
      <alignment vertical="center"/>
      <protection hidden="1"/>
    </xf>
    <xf numFmtId="9" fontId="43" fillId="3" borderId="6" xfId="2" applyFont="1" applyFill="1" applyBorder="1" applyAlignment="1" applyProtection="1">
      <alignment horizontal="center" vertical="center"/>
      <protection hidden="1"/>
    </xf>
    <xf numFmtId="0" fontId="43" fillId="0" borderId="6" xfId="0" applyFont="1" applyBorder="1" applyAlignment="1" applyProtection="1">
      <alignment horizontal="center"/>
      <protection hidden="1"/>
    </xf>
    <xf numFmtId="0" fontId="43" fillId="0" borderId="1" xfId="0" applyFont="1" applyBorder="1" applyProtection="1">
      <protection hidden="1"/>
    </xf>
    <xf numFmtId="0" fontId="43" fillId="0" borderId="3" xfId="0" applyFont="1" applyBorder="1" applyProtection="1">
      <protection hidden="1"/>
    </xf>
    <xf numFmtId="0" fontId="46" fillId="3" borderId="6" xfId="0" applyFont="1" applyFill="1" applyBorder="1" applyAlignment="1" applyProtection="1">
      <alignment horizontal="center"/>
      <protection hidden="1"/>
    </xf>
    <xf numFmtId="165" fontId="46" fillId="3" borderId="6" xfId="7" applyFont="1" applyFill="1" applyBorder="1" applyProtection="1">
      <protection hidden="1"/>
    </xf>
    <xf numFmtId="165" fontId="46" fillId="3" borderId="6" xfId="7" applyFont="1" applyFill="1" applyBorder="1" applyAlignment="1" applyProtection="1">
      <alignment vertical="center"/>
      <protection hidden="1"/>
    </xf>
    <xf numFmtId="9" fontId="46" fillId="3" borderId="6" xfId="2" applyFont="1" applyFill="1" applyBorder="1" applyAlignment="1" applyProtection="1">
      <alignment horizontal="center" vertical="center"/>
      <protection hidden="1"/>
    </xf>
    <xf numFmtId="165" fontId="43" fillId="0" borderId="6" xfId="7" applyFont="1" applyBorder="1" applyProtection="1">
      <protection hidden="1"/>
    </xf>
    <xf numFmtId="0" fontId="43" fillId="0" borderId="6" xfId="0" applyFont="1" applyBorder="1" applyAlignment="1" applyProtection="1">
      <alignment horizontal="center" vertical="center"/>
      <protection hidden="1"/>
    </xf>
    <xf numFmtId="0" fontId="46" fillId="3" borderId="6" xfId="0" applyFont="1" applyFill="1" applyBorder="1" applyAlignment="1" applyProtection="1">
      <alignment horizontal="center" vertical="center"/>
      <protection hidden="1"/>
    </xf>
    <xf numFmtId="165" fontId="43" fillId="3" borderId="6" xfId="7" applyFont="1" applyFill="1" applyBorder="1" applyProtection="1">
      <protection hidden="1"/>
    </xf>
    <xf numFmtId="49" fontId="15" fillId="0" borderId="0" xfId="0" applyNumberFormat="1" applyFont="1" applyAlignment="1" applyProtection="1">
      <alignment horizontal="left" vertical="center"/>
      <protection hidden="1"/>
    </xf>
    <xf numFmtId="0" fontId="62" fillId="13" borderId="63" xfId="0" applyFont="1" applyFill="1" applyBorder="1" applyAlignment="1" applyProtection="1">
      <alignment horizontal="center" vertical="center" wrapText="1"/>
      <protection hidden="1"/>
    </xf>
    <xf numFmtId="165" fontId="33" fillId="0" borderId="5" xfId="7" applyFont="1" applyBorder="1" applyAlignment="1" applyProtection="1">
      <alignment vertical="center"/>
      <protection hidden="1"/>
    </xf>
    <xf numFmtId="0" fontId="63" fillId="0" borderId="4" xfId="0" applyFont="1" applyBorder="1" applyAlignment="1" applyProtection="1">
      <alignment vertical="center"/>
      <protection locked="0"/>
    </xf>
    <xf numFmtId="165" fontId="27" fillId="9" borderId="6" xfId="7" applyFont="1" applyFill="1" applyBorder="1" applyAlignment="1" applyProtection="1">
      <alignment vertical="center"/>
      <protection hidden="1"/>
    </xf>
    <xf numFmtId="3" fontId="27" fillId="9" borderId="6" xfId="7" applyNumberFormat="1" applyFont="1" applyFill="1" applyBorder="1" applyAlignment="1" applyProtection="1">
      <alignment vertical="center"/>
      <protection locked="0"/>
    </xf>
    <xf numFmtId="0" fontId="43" fillId="0" borderId="4" xfId="0" applyFont="1" applyBorder="1" applyProtection="1">
      <protection locked="0"/>
    </xf>
    <xf numFmtId="165" fontId="46" fillId="9" borderId="6" xfId="7" applyFont="1" applyFill="1" applyBorder="1" applyProtection="1">
      <protection hidden="1"/>
    </xf>
    <xf numFmtId="3" fontId="46" fillId="9" borderId="6" xfId="7" applyNumberFormat="1" applyFont="1" applyFill="1" applyBorder="1" applyProtection="1">
      <protection locked="0"/>
    </xf>
    <xf numFmtId="0" fontId="43" fillId="0" borderId="10" xfId="0" applyFont="1" applyBorder="1" applyProtection="1">
      <protection locked="0"/>
    </xf>
    <xf numFmtId="3" fontId="43" fillId="14" borderId="6" xfId="7" applyNumberFormat="1" applyFont="1" applyFill="1" applyBorder="1" applyProtection="1">
      <protection locked="0"/>
    </xf>
    <xf numFmtId="0" fontId="13" fillId="0" borderId="6" xfId="0" applyFont="1" applyBorder="1" applyProtection="1">
      <protection locked="0"/>
    </xf>
    <xf numFmtId="165" fontId="33" fillId="0" borderId="5" xfId="7" applyFont="1" applyBorder="1" applyAlignment="1" applyProtection="1">
      <alignment vertical="center"/>
      <protection locked="0"/>
    </xf>
    <xf numFmtId="0" fontId="14" fillId="0" borderId="18" xfId="0" applyFont="1" applyBorder="1" applyProtection="1">
      <protection hidden="1"/>
    </xf>
    <xf numFmtId="0" fontId="26" fillId="0" borderId="0" xfId="0" applyFont="1" applyAlignment="1" applyProtection="1">
      <alignment vertical="center" wrapText="1"/>
      <protection locked="0"/>
    </xf>
    <xf numFmtId="0" fontId="26" fillId="13" borderId="69" xfId="0" applyFont="1" applyFill="1" applyBorder="1" applyAlignment="1" applyProtection="1">
      <alignment horizontal="center" vertical="center" wrapText="1"/>
      <protection locked="0"/>
    </xf>
    <xf numFmtId="0" fontId="26" fillId="13" borderId="70" xfId="0" applyFont="1" applyFill="1" applyBorder="1" applyAlignment="1" applyProtection="1">
      <alignment horizontal="center" vertical="center" wrapText="1"/>
      <protection locked="0"/>
    </xf>
    <xf numFmtId="0" fontId="26" fillId="0" borderId="77" xfId="0" applyFont="1" applyBorder="1" applyAlignment="1" applyProtection="1">
      <alignment vertical="center" wrapText="1"/>
      <protection locked="0"/>
    </xf>
    <xf numFmtId="0" fontId="65" fillId="0" borderId="68" xfId="0" applyFont="1" applyBorder="1" applyAlignment="1" applyProtection="1">
      <alignment horizontal="left" vertical="center" wrapText="1" indent="1"/>
      <protection locked="0"/>
    </xf>
    <xf numFmtId="3" fontId="65" fillId="0" borderId="69" xfId="0" applyNumberFormat="1" applyFont="1" applyBorder="1" applyAlignment="1" applyProtection="1">
      <alignment horizontal="center" vertical="center" wrapText="1"/>
      <protection locked="0"/>
    </xf>
    <xf numFmtId="3" fontId="26" fillId="0" borderId="69" xfId="0" applyNumberFormat="1" applyFont="1" applyBorder="1" applyAlignment="1" applyProtection="1">
      <alignment horizontal="right" vertical="center" wrapText="1"/>
      <protection locked="0"/>
    </xf>
    <xf numFmtId="3" fontId="26" fillId="0" borderId="70" xfId="0" applyNumberFormat="1" applyFont="1" applyBorder="1" applyAlignment="1" applyProtection="1">
      <alignment horizontal="right" vertical="center" wrapText="1"/>
      <protection locked="0"/>
    </xf>
    <xf numFmtId="0" fontId="58" fillId="0" borderId="77" xfId="0" applyFont="1" applyBorder="1" applyProtection="1">
      <protection locked="0"/>
    </xf>
    <xf numFmtId="0" fontId="58" fillId="0" borderId="0" xfId="0" applyFont="1" applyProtection="1">
      <protection locked="0"/>
    </xf>
    <xf numFmtId="0" fontId="26" fillId="0" borderId="77" xfId="0" applyFont="1" applyBorder="1" applyAlignment="1" applyProtection="1">
      <alignment horizontal="left" vertical="center" wrapText="1" indent="1"/>
      <protection locked="0"/>
    </xf>
    <xf numFmtId="0" fontId="26" fillId="0" borderId="0" xfId="0" applyFont="1" applyAlignment="1" applyProtection="1">
      <alignment horizontal="left" vertical="center" wrapText="1" indent="1"/>
      <protection locked="0"/>
    </xf>
    <xf numFmtId="3" fontId="29" fillId="4" borderId="83" xfId="0" applyNumberFormat="1" applyFont="1" applyFill="1" applyBorder="1" applyAlignment="1" applyProtection="1">
      <alignment horizontal="right" vertical="center" wrapText="1"/>
      <protection locked="0"/>
    </xf>
    <xf numFmtId="3" fontId="29" fillId="4" borderId="84" xfId="0" applyNumberFormat="1" applyFont="1" applyFill="1" applyBorder="1" applyAlignment="1" applyProtection="1">
      <alignment horizontal="right" vertical="center" wrapText="1"/>
      <protection locked="0"/>
    </xf>
    <xf numFmtId="0" fontId="26" fillId="0" borderId="85" xfId="0" applyFont="1" applyBorder="1" applyAlignment="1" applyProtection="1">
      <alignment vertical="center" wrapText="1"/>
      <protection locked="0"/>
    </xf>
    <xf numFmtId="0" fontId="26" fillId="0" borderId="86" xfId="0" applyFont="1" applyBorder="1" applyAlignment="1" applyProtection="1">
      <alignment horizontal="center" vertical="center" wrapText="1"/>
      <protection locked="0"/>
    </xf>
    <xf numFmtId="0" fontId="26" fillId="0" borderId="69" xfId="0" applyFont="1" applyBorder="1" applyAlignment="1" applyProtection="1">
      <alignment horizontal="center" vertical="center" wrapText="1"/>
      <protection locked="0"/>
    </xf>
    <xf numFmtId="0" fontId="26" fillId="0" borderId="99" xfId="0" applyFont="1" applyBorder="1" applyAlignment="1" applyProtection="1">
      <alignment horizontal="left" vertical="center" wrapText="1" indent="1"/>
      <protection locked="0"/>
    </xf>
    <xf numFmtId="3" fontId="26" fillId="0" borderId="69" xfId="0" applyNumberFormat="1" applyFont="1" applyBorder="1" applyAlignment="1" applyProtection="1">
      <alignment vertical="center" wrapText="1"/>
      <protection locked="0"/>
    </xf>
    <xf numFmtId="3" fontId="26" fillId="0" borderId="75" xfId="0" applyNumberFormat="1" applyFont="1" applyBorder="1" applyAlignment="1" applyProtection="1">
      <alignment vertical="center" wrapText="1"/>
      <protection locked="0"/>
    </xf>
    <xf numFmtId="0" fontId="29" fillId="4" borderId="68" xfId="0" applyFont="1" applyFill="1" applyBorder="1" applyAlignment="1" applyProtection="1">
      <alignment horizontal="left" vertical="center" wrapText="1" indent="1"/>
      <protection locked="0"/>
    </xf>
    <xf numFmtId="3" fontId="29" fillId="4" borderId="69" xfId="0" applyNumberFormat="1" applyFont="1" applyFill="1" applyBorder="1" applyAlignment="1" applyProtection="1">
      <alignment vertical="center" wrapText="1"/>
      <protection locked="0"/>
    </xf>
    <xf numFmtId="0" fontId="26" fillId="0" borderId="68" xfId="0" applyFont="1" applyBorder="1" applyAlignment="1" applyProtection="1">
      <alignment horizontal="left" vertical="center" wrapText="1" indent="1"/>
      <protection locked="0"/>
    </xf>
    <xf numFmtId="0" fontId="26" fillId="0" borderId="105" xfId="0" applyFont="1" applyBorder="1" applyAlignment="1" applyProtection="1">
      <alignment vertical="center"/>
      <protection locked="0"/>
    </xf>
    <xf numFmtId="0" fontId="26" fillId="0" borderId="106" xfId="0" applyFont="1" applyBorder="1" applyAlignment="1" applyProtection="1">
      <alignment vertical="center"/>
      <protection locked="0"/>
    </xf>
    <xf numFmtId="0" fontId="26" fillId="0" borderId="107" xfId="0" applyFont="1" applyBorder="1" applyAlignment="1" applyProtection="1">
      <alignment vertical="center"/>
      <protection locked="0"/>
    </xf>
    <xf numFmtId="0" fontId="26" fillId="0" borderId="108" xfId="0" applyFont="1" applyBorder="1" applyAlignment="1" applyProtection="1">
      <alignment horizontal="left" vertical="center" indent="1"/>
      <protection locked="0"/>
    </xf>
    <xf numFmtId="3" fontId="26" fillId="0" borderId="83" xfId="0" applyNumberFormat="1" applyFont="1" applyBorder="1" applyAlignment="1" applyProtection="1">
      <alignment vertical="center"/>
      <protection locked="0"/>
    </xf>
    <xf numFmtId="0" fontId="26" fillId="0" borderId="0" xfId="0" applyFont="1" applyAlignment="1" applyProtection="1">
      <alignment vertical="center"/>
      <protection locked="0"/>
    </xf>
    <xf numFmtId="0" fontId="20" fillId="0" borderId="0" xfId="0" applyFont="1" applyAlignment="1" applyProtection="1">
      <alignment vertical="center"/>
      <protection locked="0"/>
    </xf>
    <xf numFmtId="0" fontId="43" fillId="13" borderId="111" xfId="0" applyFont="1" applyFill="1" applyBorder="1" applyAlignment="1" applyProtection="1">
      <alignment horizontal="center" vertical="center" wrapText="1"/>
      <protection locked="0"/>
    </xf>
    <xf numFmtId="3" fontId="43" fillId="0" borderId="5" xfId="0" applyNumberFormat="1" applyFont="1" applyBorder="1" applyAlignment="1" applyProtection="1">
      <alignment vertical="center"/>
      <protection locked="0"/>
    </xf>
    <xf numFmtId="3" fontId="46" fillId="4" borderId="5" xfId="0" applyNumberFormat="1" applyFont="1" applyFill="1" applyBorder="1" applyAlignment="1" applyProtection="1">
      <alignment vertical="center"/>
      <protection locked="0"/>
    </xf>
    <xf numFmtId="3" fontId="43" fillId="0" borderId="6" xfId="0" applyNumberFormat="1" applyFont="1" applyBorder="1" applyAlignment="1" applyProtection="1">
      <alignment vertical="center"/>
      <protection locked="0"/>
    </xf>
    <xf numFmtId="3" fontId="46" fillId="4" borderId="6" xfId="0" applyNumberFormat="1" applyFont="1" applyFill="1" applyBorder="1" applyAlignment="1" applyProtection="1">
      <alignment vertical="center"/>
      <protection locked="0"/>
    </xf>
    <xf numFmtId="0" fontId="46" fillId="4" borderId="117" xfId="0" applyFont="1" applyFill="1" applyBorder="1" applyAlignment="1" applyProtection="1">
      <alignment vertical="center"/>
      <protection locked="0"/>
    </xf>
    <xf numFmtId="0" fontId="46" fillId="4" borderId="118" xfId="0" applyFont="1" applyFill="1" applyBorder="1" applyAlignment="1" applyProtection="1">
      <alignment vertical="center"/>
      <protection locked="0"/>
    </xf>
    <xf numFmtId="3" fontId="46" fillId="4" borderId="118" xfId="0" applyNumberFormat="1" applyFont="1" applyFill="1" applyBorder="1" applyAlignment="1" applyProtection="1">
      <alignment vertical="center"/>
      <protection locked="0"/>
    </xf>
    <xf numFmtId="0" fontId="27" fillId="13" borderId="121" xfId="4" applyFont="1" applyFill="1" applyBorder="1" applyAlignment="1" applyProtection="1">
      <alignment horizontal="center" vertical="center" wrapText="1"/>
      <protection locked="0"/>
    </xf>
    <xf numFmtId="3" fontId="33" fillId="15" borderId="6" xfId="4" applyNumberFormat="1" applyFont="1" applyFill="1" applyBorder="1" applyAlignment="1" applyProtection="1">
      <alignment horizontal="right" vertical="center"/>
      <protection locked="0"/>
    </xf>
    <xf numFmtId="3" fontId="33" fillId="0" borderId="6" xfId="4" applyNumberFormat="1" applyFont="1" applyBorder="1" applyAlignment="1" applyProtection="1">
      <alignment horizontal="right" vertical="center"/>
      <protection locked="0"/>
    </xf>
    <xf numFmtId="3" fontId="27" fillId="4" borderId="118" xfId="4" applyNumberFormat="1" applyFont="1" applyFill="1" applyBorder="1" applyAlignment="1" applyProtection="1">
      <alignment horizontal="right" vertical="center"/>
      <protection locked="0"/>
    </xf>
    <xf numFmtId="3" fontId="13" fillId="0" borderId="6" xfId="0" applyNumberFormat="1" applyFont="1" applyBorder="1" applyProtection="1">
      <protection locked="0"/>
    </xf>
    <xf numFmtId="0" fontId="20" fillId="4" borderId="6" xfId="0" applyFont="1" applyFill="1" applyBorder="1" applyAlignment="1" applyProtection="1">
      <alignment horizontal="center" vertical="center"/>
      <protection locked="0"/>
    </xf>
    <xf numFmtId="0" fontId="20" fillId="4" borderId="6" xfId="0" applyFont="1" applyFill="1" applyBorder="1" applyAlignment="1" applyProtection="1">
      <alignment horizontal="center" vertical="center" wrapText="1"/>
      <protection locked="0"/>
    </xf>
    <xf numFmtId="3" fontId="20" fillId="0" borderId="6" xfId="0" applyNumberFormat="1" applyFont="1" applyBorder="1" applyProtection="1">
      <protection locked="0"/>
    </xf>
    <xf numFmtId="0" fontId="56" fillId="0" borderId="0" xfId="0" applyFont="1" applyProtection="1">
      <protection locked="0"/>
    </xf>
    <xf numFmtId="0" fontId="29" fillId="0" borderId="117" xfId="0" applyFont="1" applyBorder="1" applyAlignment="1" applyProtection="1">
      <alignment horizontal="center" vertical="center" wrapText="1"/>
      <protection locked="0"/>
    </xf>
    <xf numFmtId="0" fontId="33" fillId="0" borderId="127" xfId="0" applyFont="1" applyBorder="1" applyAlignment="1" applyProtection="1">
      <alignment wrapText="1"/>
      <protection locked="0"/>
    </xf>
    <xf numFmtId="3" fontId="24" fillId="0" borderId="5" xfId="0" applyNumberFormat="1" applyFont="1" applyBorder="1" applyProtection="1">
      <protection locked="0"/>
    </xf>
    <xf numFmtId="0" fontId="24" fillId="0" borderId="5" xfId="0" applyFont="1" applyBorder="1" applyProtection="1">
      <protection locked="0"/>
    </xf>
    <xf numFmtId="3" fontId="24" fillId="0" borderId="6" xfId="0" applyNumberFormat="1" applyFont="1" applyBorder="1" applyProtection="1">
      <protection locked="0"/>
    </xf>
    <xf numFmtId="3" fontId="24" fillId="0" borderId="114" xfId="0" applyNumberFormat="1" applyFont="1" applyBorder="1" applyProtection="1">
      <protection locked="0"/>
    </xf>
    <xf numFmtId="0" fontId="33" fillId="0" borderId="124" xfId="0" applyFont="1" applyBorder="1" applyAlignment="1" applyProtection="1">
      <alignment wrapText="1"/>
      <protection locked="0"/>
    </xf>
    <xf numFmtId="0" fontId="24" fillId="0" borderId="6" xfId="0" applyFont="1" applyBorder="1" applyProtection="1">
      <protection locked="0"/>
    </xf>
    <xf numFmtId="3" fontId="24" fillId="0" borderId="116" xfId="0" applyNumberFormat="1" applyFont="1" applyBorder="1" applyProtection="1">
      <protection locked="0"/>
    </xf>
    <xf numFmtId="0" fontId="33" fillId="0" borderId="124" xfId="0" applyFont="1" applyBorder="1" applyProtection="1">
      <protection locked="0"/>
    </xf>
    <xf numFmtId="0" fontId="24" fillId="0" borderId="124" xfId="0" applyFont="1" applyBorder="1" applyProtection="1">
      <protection locked="0"/>
    </xf>
    <xf numFmtId="0" fontId="24" fillId="0" borderId="117" xfId="0" applyFont="1" applyBorder="1" applyProtection="1">
      <protection locked="0"/>
    </xf>
    <xf numFmtId="3" fontId="24" fillId="0" borderId="118" xfId="0" applyNumberFormat="1" applyFont="1" applyBorder="1" applyProtection="1">
      <protection locked="0"/>
    </xf>
    <xf numFmtId="0" fontId="24" fillId="0" borderId="118" xfId="0" applyFont="1" applyBorder="1" applyProtection="1">
      <protection locked="0"/>
    </xf>
    <xf numFmtId="3" fontId="24" fillId="0" borderId="119" xfId="0" applyNumberFormat="1" applyFont="1" applyBorder="1" applyProtection="1">
      <protection locked="0"/>
    </xf>
    <xf numFmtId="3" fontId="32" fillId="0" borderId="58" xfId="0" applyNumberFormat="1" applyFont="1" applyBorder="1" applyProtection="1">
      <protection locked="0"/>
    </xf>
    <xf numFmtId="0" fontId="32" fillId="0" borderId="58" xfId="0" applyFont="1" applyBorder="1" applyProtection="1">
      <protection locked="0"/>
    </xf>
    <xf numFmtId="3" fontId="32" fillId="0" borderId="59" xfId="0" applyNumberFormat="1" applyFont="1" applyBorder="1" applyProtection="1">
      <protection locked="0"/>
    </xf>
    <xf numFmtId="0" fontId="29" fillId="13" borderId="6" xfId="0" applyFont="1" applyFill="1" applyBorder="1" applyAlignment="1" applyProtection="1">
      <alignment horizontal="center" vertical="center" wrapText="1"/>
      <protection locked="0"/>
    </xf>
    <xf numFmtId="0" fontId="68" fillId="0" borderId="6" xfId="0" applyFont="1" applyBorder="1" applyAlignment="1" applyProtection="1">
      <alignment horizontal="center" vertical="center" wrapText="1"/>
      <protection locked="0"/>
    </xf>
    <xf numFmtId="3" fontId="68" fillId="0" borderId="6" xfId="0" applyNumberFormat="1" applyFont="1" applyBorder="1" applyAlignment="1" applyProtection="1">
      <alignment horizontal="center" vertical="center" wrapText="1"/>
      <protection locked="0"/>
    </xf>
    <xf numFmtId="0" fontId="58" fillId="0" borderId="6" xfId="0" applyFont="1" applyBorder="1" applyAlignment="1" applyProtection="1">
      <alignment wrapText="1"/>
      <protection locked="0"/>
    </xf>
    <xf numFmtId="0" fontId="58" fillId="0" borderId="6" xfId="0" applyFont="1" applyBorder="1" applyProtection="1">
      <protection locked="0"/>
    </xf>
    <xf numFmtId="3" fontId="58" fillId="0" borderId="6" xfId="0" applyNumberFormat="1" applyFont="1" applyBorder="1" applyProtection="1">
      <protection locked="0"/>
    </xf>
    <xf numFmtId="3" fontId="32" fillId="0" borderId="6" xfId="0" applyNumberFormat="1" applyFont="1" applyBorder="1" applyProtection="1">
      <protection locked="0"/>
    </xf>
    <xf numFmtId="3" fontId="12" fillId="0" borderId="0" xfId="0" applyNumberFormat="1" applyFont="1" applyAlignment="1" applyProtection="1">
      <alignment vertical="center"/>
      <protection hidden="1"/>
    </xf>
    <xf numFmtId="0" fontId="12" fillId="0" borderId="0" xfId="0" quotePrefix="1" applyFont="1" applyAlignment="1" applyProtection="1">
      <alignment vertical="center"/>
      <protection hidden="1"/>
    </xf>
    <xf numFmtId="0" fontId="12" fillId="0" borderId="0" xfId="0" applyFont="1" applyAlignment="1" applyProtection="1">
      <alignment vertical="center"/>
      <protection hidden="1"/>
    </xf>
    <xf numFmtId="0" fontId="47" fillId="0" borderId="77" xfId="0" applyFont="1" applyBorder="1" applyAlignment="1" applyProtection="1">
      <alignment vertical="center" wrapText="1"/>
      <protection hidden="1"/>
    </xf>
    <xf numFmtId="0" fontId="69" fillId="0" borderId="6" xfId="0" applyFont="1" applyBorder="1" applyAlignment="1" applyProtection="1">
      <alignment horizontal="left" vertical="center" indent="1"/>
      <protection locked="0"/>
    </xf>
    <xf numFmtId="0" fontId="69" fillId="0" borderId="6" xfId="0" applyFont="1" applyBorder="1" applyAlignment="1" applyProtection="1">
      <alignment horizontal="center" vertical="center"/>
      <protection locked="0"/>
    </xf>
    <xf numFmtId="3" fontId="58" fillId="0" borderId="6" xfId="0" applyNumberFormat="1" applyFont="1" applyBorder="1" applyAlignment="1" applyProtection="1">
      <alignment horizontal="right" vertical="center"/>
      <protection locked="0"/>
    </xf>
    <xf numFmtId="3" fontId="13" fillId="15" borderId="6" xfId="0" applyNumberFormat="1" applyFont="1" applyFill="1" applyBorder="1" applyProtection="1">
      <protection locked="0"/>
    </xf>
    <xf numFmtId="0" fontId="69" fillId="0" borderId="6" xfId="0" applyFont="1" applyBorder="1" applyAlignment="1" applyProtection="1">
      <alignment horizontal="left" vertical="center" indent="1"/>
      <protection locked="0"/>
    </xf>
    <xf numFmtId="0" fontId="15" fillId="15" borderId="1" xfId="0" applyFont="1" applyFill="1" applyBorder="1" applyAlignment="1" applyProtection="1">
      <alignment horizontal="center" vertical="center"/>
      <protection locked="0"/>
    </xf>
    <xf numFmtId="0" fontId="15" fillId="15" borderId="2" xfId="0" applyFont="1" applyFill="1" applyBorder="1" applyAlignment="1" applyProtection="1">
      <alignment horizontal="center" vertical="center"/>
      <protection locked="0"/>
    </xf>
    <xf numFmtId="0" fontId="15" fillId="15" borderId="3" xfId="0" applyFont="1" applyFill="1" applyBorder="1" applyAlignment="1" applyProtection="1">
      <alignment horizontal="center" vertical="center"/>
      <protection locked="0"/>
    </xf>
    <xf numFmtId="14" fontId="15" fillId="0" borderId="0" xfId="0" applyNumberFormat="1"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4" fillId="9" borderId="51" xfId="0" applyFont="1" applyFill="1" applyBorder="1" applyAlignment="1" applyProtection="1">
      <alignment horizontal="center" vertical="center" wrapText="1"/>
      <protection locked="0"/>
    </xf>
    <xf numFmtId="0" fontId="14" fillId="9" borderId="52" xfId="0" applyFont="1" applyFill="1" applyBorder="1" applyAlignment="1" applyProtection="1">
      <alignment horizontal="center" vertical="center" wrapText="1"/>
      <protection locked="0"/>
    </xf>
    <xf numFmtId="0" fontId="29" fillId="13" borderId="6" xfId="0" applyFont="1" applyFill="1" applyBorder="1" applyAlignment="1" applyProtection="1">
      <alignment horizontal="center" vertical="center" wrapText="1"/>
      <protection locked="0"/>
    </xf>
    <xf numFmtId="0" fontId="15" fillId="0" borderId="18" xfId="0" applyFont="1" applyBorder="1" applyAlignment="1" applyProtection="1">
      <alignment horizontal="left" vertical="center"/>
      <protection hidden="1"/>
    </xf>
    <xf numFmtId="0" fontId="15" fillId="0" borderId="19" xfId="0" applyFont="1" applyBorder="1" applyAlignment="1" applyProtection="1">
      <alignment horizontal="center" vertical="center"/>
      <protection hidden="1"/>
    </xf>
    <xf numFmtId="0" fontId="10" fillId="0" borderId="0" xfId="0" quotePrefix="1" applyFont="1" applyAlignment="1" applyProtection="1">
      <alignment horizontal="center" vertical="center"/>
      <protection hidden="1"/>
    </xf>
    <xf numFmtId="0" fontId="10" fillId="0" borderId="0" xfId="0" applyFont="1" applyAlignment="1" applyProtection="1">
      <alignment horizontal="center" vertical="center"/>
      <protection hidden="1"/>
    </xf>
    <xf numFmtId="0" fontId="15" fillId="0" borderId="18" xfId="0" applyFont="1" applyBorder="1" applyAlignment="1" applyProtection="1">
      <alignment horizontal="center" vertical="center"/>
      <protection hidden="1"/>
    </xf>
    <xf numFmtId="0" fontId="15" fillId="0" borderId="20" xfId="0" applyFont="1" applyBorder="1" applyAlignment="1" applyProtection="1">
      <alignment horizontal="center" vertical="center"/>
      <protection hidden="1"/>
    </xf>
    <xf numFmtId="0" fontId="15" fillId="0" borderId="20" xfId="0" quotePrefix="1" applyFont="1" applyBorder="1" applyAlignment="1" applyProtection="1">
      <alignment horizontal="center" vertical="center"/>
      <protection hidden="1"/>
    </xf>
    <xf numFmtId="0" fontId="15" fillId="0" borderId="19" xfId="0" applyFont="1" applyBorder="1" applyAlignment="1" applyProtection="1">
      <alignment horizontal="right" vertical="center"/>
      <protection hidden="1"/>
    </xf>
    <xf numFmtId="3" fontId="3" fillId="0" borderId="1" xfId="0" applyNumberFormat="1" applyFont="1" applyBorder="1" applyAlignment="1">
      <alignment horizontal="center" vertical="center"/>
    </xf>
    <xf numFmtId="3" fontId="3" fillId="0" borderId="2" xfId="0" applyNumberFormat="1" applyFont="1" applyBorder="1" applyAlignment="1">
      <alignment horizontal="center" vertical="center"/>
    </xf>
    <xf numFmtId="3" fontId="3" fillId="0" borderId="3" xfId="0" applyNumberFormat="1" applyFont="1" applyBorder="1" applyAlignment="1">
      <alignment horizontal="center" vertical="center"/>
    </xf>
    <xf numFmtId="0" fontId="4" fillId="2" borderId="5" xfId="0" applyFont="1" applyFill="1" applyBorder="1" applyAlignment="1" applyProtection="1">
      <alignment horizontal="center" vertical="center"/>
      <protection locked="0"/>
    </xf>
    <xf numFmtId="0" fontId="4" fillId="2" borderId="6" xfId="0" applyFont="1" applyFill="1" applyBorder="1" applyAlignment="1" applyProtection="1">
      <alignment horizontal="center" vertical="center"/>
      <protection locked="0"/>
    </xf>
    <xf numFmtId="0" fontId="4" fillId="2" borderId="1" xfId="0" applyFont="1" applyFill="1" applyBorder="1" applyAlignment="1" applyProtection="1">
      <alignment horizontal="center" vertical="center"/>
      <protection locked="0"/>
    </xf>
    <xf numFmtId="0" fontId="4" fillId="2" borderId="2" xfId="0"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protection locked="0"/>
    </xf>
    <xf numFmtId="0" fontId="4" fillId="2" borderId="6" xfId="0" quotePrefix="1" applyFont="1" applyFill="1" applyBorder="1" applyAlignment="1" applyProtection="1">
      <alignment horizontal="center" vertical="center"/>
      <protection locked="0"/>
    </xf>
    <xf numFmtId="164" fontId="4" fillId="2" borderId="6" xfId="0" applyNumberFormat="1" applyFont="1" applyFill="1" applyBorder="1" applyAlignment="1" applyProtection="1">
      <alignment horizontal="center" vertical="center"/>
      <protection locked="0"/>
    </xf>
    <xf numFmtId="3" fontId="4" fillId="0" borderId="4" xfId="0" applyNumberFormat="1" applyFont="1" applyBorder="1" applyAlignment="1">
      <alignment horizontal="right" vertical="center"/>
    </xf>
    <xf numFmtId="3" fontId="4" fillId="0" borderId="0" xfId="0" applyNumberFormat="1" applyFont="1" applyAlignment="1">
      <alignment horizontal="right" vertical="center"/>
    </xf>
    <xf numFmtId="14" fontId="4" fillId="2" borderId="1" xfId="0" applyNumberFormat="1" applyFont="1" applyFill="1" applyBorder="1" applyAlignment="1" applyProtection="1">
      <alignment horizontal="center" vertical="center"/>
      <protection locked="0"/>
    </xf>
    <xf numFmtId="14" fontId="4" fillId="2" borderId="3" xfId="0" applyNumberFormat="1" applyFont="1" applyFill="1" applyBorder="1" applyAlignment="1" applyProtection="1">
      <alignment horizontal="center" vertical="center"/>
      <protection locked="0"/>
    </xf>
    <xf numFmtId="2" fontId="4" fillId="2" borderId="3" xfId="0" applyNumberFormat="1" applyFont="1" applyFill="1" applyBorder="1" applyAlignment="1" applyProtection="1">
      <alignment horizontal="center" vertical="center"/>
      <protection locked="0"/>
    </xf>
    <xf numFmtId="164" fontId="4" fillId="2" borderId="6" xfId="0" quotePrefix="1" applyNumberFormat="1" applyFont="1" applyFill="1" applyBorder="1" applyAlignment="1" applyProtection="1">
      <alignment horizontal="center" vertical="center"/>
      <protection locked="0"/>
    </xf>
    <xf numFmtId="3" fontId="5" fillId="2" borderId="1" xfId="0" applyNumberFormat="1" applyFont="1" applyFill="1" applyBorder="1" applyAlignment="1" applyProtection="1">
      <alignment horizontal="center" vertical="center"/>
      <protection locked="0"/>
    </xf>
    <xf numFmtId="3" fontId="5" fillId="2" borderId="2" xfId="0" applyNumberFormat="1" applyFont="1" applyFill="1" applyBorder="1" applyAlignment="1" applyProtection="1">
      <alignment horizontal="center" vertical="center"/>
      <protection locked="0"/>
    </xf>
    <xf numFmtId="3" fontId="5" fillId="2" borderId="3" xfId="0" applyNumberFormat="1" applyFont="1" applyFill="1" applyBorder="1" applyAlignment="1" applyProtection="1">
      <alignment horizontal="center" vertical="center"/>
      <protection locked="0"/>
    </xf>
    <xf numFmtId="0" fontId="11" fillId="2" borderId="1" xfId="3" applyFont="1" applyFill="1" applyBorder="1" applyAlignment="1" applyProtection="1">
      <alignment horizontal="center" vertical="center"/>
      <protection locked="0"/>
    </xf>
    <xf numFmtId="0" fontId="11" fillId="2" borderId="3" xfId="3" applyFont="1" applyFill="1" applyBorder="1" applyAlignment="1" applyProtection="1">
      <alignment horizontal="center" vertical="center"/>
      <protection locked="0"/>
    </xf>
    <xf numFmtId="0" fontId="10" fillId="2" borderId="6" xfId="0" applyFont="1" applyFill="1" applyBorder="1" applyAlignment="1" applyProtection="1">
      <alignment horizontal="center" vertical="center"/>
      <protection locked="0"/>
    </xf>
    <xf numFmtId="3" fontId="6" fillId="0" borderId="8" xfId="0" applyNumberFormat="1" applyFont="1" applyBorder="1" applyAlignment="1">
      <alignment horizontal="center" vertical="center"/>
    </xf>
    <xf numFmtId="3" fontId="6" fillId="0" borderId="9" xfId="0" applyNumberFormat="1" applyFont="1" applyBorder="1" applyAlignment="1">
      <alignment horizontal="center" vertical="center"/>
    </xf>
    <xf numFmtId="0" fontId="7" fillId="0" borderId="10"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12" xfId="0" applyFont="1" applyBorder="1" applyAlignment="1" applyProtection="1">
      <alignment horizontal="center" vertical="center"/>
      <protection locked="0"/>
    </xf>
    <xf numFmtId="3" fontId="4" fillId="2" borderId="1" xfId="0" applyNumberFormat="1" applyFont="1" applyFill="1" applyBorder="1" applyAlignment="1" applyProtection="1">
      <alignment horizontal="center" vertical="center"/>
      <protection locked="0"/>
    </xf>
    <xf numFmtId="3" fontId="4" fillId="2" borderId="2" xfId="0" applyNumberFormat="1" applyFont="1" applyFill="1" applyBorder="1" applyAlignment="1" applyProtection="1">
      <alignment horizontal="center" vertical="center"/>
      <protection locked="0"/>
    </xf>
    <xf numFmtId="3" fontId="4" fillId="2" borderId="3" xfId="0" applyNumberFormat="1" applyFont="1" applyFill="1" applyBorder="1" applyAlignment="1" applyProtection="1">
      <alignment horizontal="center" vertical="center"/>
      <protection locked="0"/>
    </xf>
    <xf numFmtId="0" fontId="9" fillId="0" borderId="8" xfId="3" applyFont="1" applyBorder="1" applyAlignment="1">
      <alignment horizontal="center" vertical="center"/>
    </xf>
    <xf numFmtId="0" fontId="9" fillId="0" borderId="9" xfId="3" applyFont="1" applyBorder="1" applyAlignment="1">
      <alignment horizontal="center" vertical="center"/>
    </xf>
    <xf numFmtId="0" fontId="4" fillId="2" borderId="7" xfId="0" applyFont="1" applyFill="1" applyBorder="1" applyAlignment="1" applyProtection="1">
      <alignment horizontal="center" vertical="center"/>
      <protection locked="0"/>
    </xf>
    <xf numFmtId="3" fontId="5" fillId="0" borderId="1" xfId="0" applyNumberFormat="1" applyFont="1" applyBorder="1" applyAlignment="1">
      <alignment horizontal="right" vertical="center"/>
    </xf>
    <xf numFmtId="3" fontId="5" fillId="0" borderId="2" xfId="0" applyNumberFormat="1" applyFont="1" applyBorder="1" applyAlignment="1">
      <alignment horizontal="right" vertical="center"/>
    </xf>
    <xf numFmtId="49" fontId="4" fillId="2" borderId="6" xfId="0" applyNumberFormat="1" applyFont="1" applyFill="1" applyBorder="1" applyAlignment="1" applyProtection="1">
      <alignment horizontal="center" vertical="center"/>
      <protection locked="0"/>
    </xf>
    <xf numFmtId="0" fontId="2" fillId="4" borderId="6" xfId="0" applyFont="1" applyFill="1" applyBorder="1" applyAlignment="1">
      <alignment horizontal="center"/>
    </xf>
    <xf numFmtId="0" fontId="2" fillId="4" borderId="6" xfId="0" applyFont="1" applyFill="1" applyBorder="1" applyAlignment="1">
      <alignment horizontal="center" vertical="center"/>
    </xf>
    <xf numFmtId="0" fontId="2" fillId="4" borderId="7" xfId="0" applyFont="1" applyFill="1" applyBorder="1" applyAlignment="1">
      <alignment horizontal="center" vertical="center"/>
    </xf>
    <xf numFmtId="0" fontId="20" fillId="0" borderId="4" xfId="0" applyFont="1" applyBorder="1" applyAlignment="1" applyProtection="1">
      <alignment horizontal="left" vertical="center"/>
      <protection hidden="1"/>
    </xf>
    <xf numFmtId="0" fontId="20" fillId="0" borderId="0" xfId="0" applyFont="1" applyAlignment="1" applyProtection="1">
      <alignment horizontal="left" vertical="center"/>
      <protection hidden="1"/>
    </xf>
    <xf numFmtId="0" fontId="20" fillId="0" borderId="4" xfId="0" applyFont="1" applyBorder="1" applyAlignment="1" applyProtection="1">
      <alignment horizontal="center" vertical="top"/>
      <protection hidden="1"/>
    </xf>
    <xf numFmtId="0" fontId="20" fillId="0" borderId="0" xfId="0" applyFont="1" applyAlignment="1" applyProtection="1">
      <alignment horizontal="center" vertical="top"/>
      <protection hidden="1"/>
    </xf>
    <xf numFmtId="0" fontId="20" fillId="0" borderId="17" xfId="0" applyFont="1" applyBorder="1" applyAlignment="1" applyProtection="1">
      <alignment horizontal="center" vertical="top"/>
      <protection hidden="1"/>
    </xf>
    <xf numFmtId="0" fontId="20" fillId="0" borderId="10" xfId="0" applyFont="1" applyBorder="1" applyAlignment="1" applyProtection="1">
      <alignment horizontal="center" vertical="top"/>
      <protection hidden="1"/>
    </xf>
    <xf numFmtId="0" fontId="20" fillId="0" borderId="11" xfId="0" applyFont="1" applyBorder="1" applyAlignment="1" applyProtection="1">
      <alignment horizontal="center" vertical="top"/>
      <protection hidden="1"/>
    </xf>
    <xf numFmtId="0" fontId="20" fillId="0" borderId="12" xfId="0" applyFont="1" applyBorder="1" applyAlignment="1" applyProtection="1">
      <alignment horizontal="center" vertical="top"/>
      <protection hidden="1"/>
    </xf>
    <xf numFmtId="0" fontId="20" fillId="0" borderId="15" xfId="0" applyFont="1" applyBorder="1" applyAlignment="1" applyProtection="1">
      <alignment horizontal="left" vertical="center"/>
      <protection hidden="1"/>
    </xf>
    <xf numFmtId="0" fontId="20" fillId="0" borderId="8" xfId="0" applyFont="1" applyBorder="1" applyAlignment="1" applyProtection="1">
      <alignment horizontal="left" vertical="center"/>
      <protection hidden="1"/>
    </xf>
    <xf numFmtId="0" fontId="20" fillId="0" borderId="15" xfId="0" applyFont="1" applyBorder="1" applyAlignment="1" applyProtection="1">
      <alignment horizontal="center" vertical="top"/>
      <protection hidden="1"/>
    </xf>
    <xf numFmtId="0" fontId="20" fillId="0" borderId="8" xfId="0" applyFont="1" applyBorder="1" applyAlignment="1" applyProtection="1">
      <alignment horizontal="center" vertical="top"/>
      <protection hidden="1"/>
    </xf>
    <xf numFmtId="0" fontId="20" fillId="0" borderId="9" xfId="0" applyFont="1" applyBorder="1" applyAlignment="1" applyProtection="1">
      <alignment horizontal="center" vertical="top"/>
      <protection hidden="1"/>
    </xf>
    <xf numFmtId="0" fontId="13" fillId="0" borderId="0" xfId="0" applyFont="1" applyAlignment="1" applyProtection="1">
      <alignment horizontal="left" vertical="center"/>
      <protection hidden="1"/>
    </xf>
    <xf numFmtId="14" fontId="14" fillId="0" borderId="14" xfId="0" applyNumberFormat="1" applyFont="1" applyBorder="1" applyAlignment="1" applyProtection="1">
      <alignment horizontal="center" vertical="center"/>
      <protection hidden="1"/>
    </xf>
    <xf numFmtId="0" fontId="13" fillId="0" borderId="0" xfId="0" applyFont="1" applyAlignment="1" applyProtection="1">
      <alignment horizontal="center" vertical="center"/>
      <protection hidden="1"/>
    </xf>
    <xf numFmtId="0" fontId="16" fillId="0" borderId="0" xfId="0" applyFont="1" applyAlignment="1" applyProtection="1">
      <alignment horizontal="center" vertical="center"/>
      <protection hidden="1"/>
    </xf>
    <xf numFmtId="0" fontId="14" fillId="0" borderId="13" xfId="0" applyFont="1" applyBorder="1" applyAlignment="1" applyProtection="1">
      <alignment horizontal="center" vertical="center" wrapText="1"/>
      <protection hidden="1"/>
    </xf>
    <xf numFmtId="0" fontId="14" fillId="0" borderId="14" xfId="0" applyFont="1" applyBorder="1" applyAlignment="1" applyProtection="1">
      <alignment horizontal="center" vertical="center" wrapText="1"/>
      <protection hidden="1"/>
    </xf>
    <xf numFmtId="0" fontId="14" fillId="0" borderId="14" xfId="0" applyFont="1" applyBorder="1" applyAlignment="1" applyProtection="1">
      <alignment horizontal="center" vertical="center"/>
      <protection hidden="1"/>
    </xf>
    <xf numFmtId="0" fontId="14" fillId="0" borderId="13" xfId="0" applyFont="1" applyBorder="1" applyAlignment="1" applyProtection="1">
      <alignment horizontal="center" vertical="center"/>
      <protection hidden="1"/>
    </xf>
    <xf numFmtId="0" fontId="16" fillId="0" borderId="14" xfId="0" applyFont="1" applyBorder="1" applyAlignment="1" applyProtection="1">
      <alignment horizontal="center" vertical="center"/>
      <protection hidden="1"/>
    </xf>
    <xf numFmtId="1" fontId="16" fillId="0" borderId="14" xfId="0" applyNumberFormat="1" applyFont="1" applyBorder="1" applyAlignment="1" applyProtection="1">
      <alignment horizontal="center" vertical="center"/>
      <protection hidden="1"/>
    </xf>
    <xf numFmtId="3" fontId="16" fillId="0" borderId="14" xfId="0" applyNumberFormat="1" applyFont="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14" fontId="16" fillId="0" borderId="0" xfId="0" applyNumberFormat="1" applyFont="1" applyAlignment="1" applyProtection="1">
      <alignment horizontal="center" vertical="center"/>
      <protection hidden="1"/>
    </xf>
    <xf numFmtId="0" fontId="16" fillId="0" borderId="13" xfId="0" applyFont="1" applyBorder="1" applyAlignment="1" applyProtection="1">
      <alignment horizontal="center" vertical="center"/>
      <protection hidden="1"/>
    </xf>
    <xf numFmtId="0" fontId="14" fillId="0" borderId="0" xfId="0" applyFont="1" applyAlignment="1" applyProtection="1">
      <alignment horizontal="center" vertical="center"/>
      <protection locked="0"/>
    </xf>
    <xf numFmtId="0" fontId="15" fillId="0" borderId="0" xfId="0" applyFont="1" applyAlignment="1" applyProtection="1">
      <alignment horizontal="center" vertical="center"/>
      <protection locked="0"/>
    </xf>
    <xf numFmtId="3" fontId="16" fillId="0" borderId="0" xfId="0" applyNumberFormat="1" applyFont="1" applyAlignment="1" applyProtection="1">
      <alignment horizontal="center" vertical="center" wrapText="1"/>
      <protection hidden="1"/>
    </xf>
    <xf numFmtId="0" fontId="22" fillId="0" borderId="0" xfId="4" applyFont="1" applyAlignment="1" applyProtection="1">
      <alignment horizontal="center"/>
      <protection hidden="1"/>
    </xf>
    <xf numFmtId="0" fontId="22" fillId="0" borderId="0" xfId="4" applyFont="1" applyAlignment="1" applyProtection="1">
      <alignment vertical="center" wrapText="1"/>
      <protection hidden="1"/>
    </xf>
    <xf numFmtId="49" fontId="25" fillId="0" borderId="0" xfId="3" applyNumberFormat="1" applyFont="1" applyAlignment="1" applyProtection="1">
      <alignment horizontal="center"/>
      <protection hidden="1"/>
    </xf>
    <xf numFmtId="1" fontId="22" fillId="0" borderId="0" xfId="3" applyNumberFormat="1" applyFont="1" applyAlignment="1" applyProtection="1">
      <alignment horizontal="center" vertical="center"/>
      <protection hidden="1"/>
    </xf>
    <xf numFmtId="0" fontId="22" fillId="0" borderId="0" xfId="3" applyFont="1" applyAlignment="1" applyProtection="1">
      <alignment horizontal="center" vertical="center"/>
      <protection hidden="1"/>
    </xf>
    <xf numFmtId="0" fontId="27" fillId="0" borderId="15" xfId="3" applyFont="1" applyBorder="1" applyAlignment="1" applyProtection="1">
      <alignment horizontal="center" vertical="center"/>
      <protection hidden="1"/>
    </xf>
    <xf numFmtId="0" fontId="27" fillId="0" borderId="8" xfId="3" applyFont="1" applyBorder="1" applyAlignment="1" applyProtection="1">
      <alignment horizontal="center" vertical="center"/>
      <protection hidden="1"/>
    </xf>
    <xf numFmtId="0" fontId="25" fillId="0" borderId="4" xfId="3" applyFont="1" applyBorder="1" applyAlignment="1" applyProtection="1">
      <alignment horizontal="center" vertical="center"/>
      <protection hidden="1"/>
    </xf>
    <xf numFmtId="0" fontId="25" fillId="0" borderId="0" xfId="3" applyFont="1" applyAlignment="1" applyProtection="1">
      <alignment horizontal="center" vertical="center"/>
      <protection hidden="1"/>
    </xf>
    <xf numFmtId="0" fontId="25" fillId="0" borderId="17" xfId="3" applyFont="1" applyBorder="1" applyAlignment="1" applyProtection="1">
      <alignment horizontal="center" vertical="center"/>
      <protection hidden="1"/>
    </xf>
    <xf numFmtId="0" fontId="32" fillId="0" borderId="4" xfId="3" applyFont="1" applyBorder="1" applyAlignment="1" applyProtection="1">
      <alignment horizontal="center" vertical="center"/>
      <protection hidden="1"/>
    </xf>
    <xf numFmtId="0" fontId="32" fillId="0" borderId="0" xfId="3" applyFont="1" applyAlignment="1" applyProtection="1">
      <alignment horizontal="center" vertical="center"/>
      <protection hidden="1"/>
    </xf>
    <xf numFmtId="0" fontId="32" fillId="0" borderId="17" xfId="3" applyFont="1" applyBorder="1" applyAlignment="1" applyProtection="1">
      <alignment horizontal="center" vertical="center"/>
      <protection hidden="1"/>
    </xf>
    <xf numFmtId="0" fontId="24" fillId="0" borderId="0" xfId="3" applyFont="1" applyAlignment="1" applyProtection="1">
      <alignment horizontal="left" vertical="top" wrapText="1"/>
      <protection hidden="1"/>
    </xf>
    <xf numFmtId="49" fontId="29" fillId="7" borderId="26" xfId="3" applyNumberFormat="1" applyFont="1" applyFill="1" applyBorder="1" applyAlignment="1" applyProtection="1">
      <alignment horizontal="left" vertical="center"/>
      <protection locked="0"/>
    </xf>
    <xf numFmtId="49" fontId="29" fillId="7" borderId="27" xfId="3" applyNumberFormat="1" applyFont="1" applyFill="1" applyBorder="1" applyAlignment="1" applyProtection="1">
      <alignment horizontal="left" vertical="center"/>
      <protection locked="0"/>
    </xf>
    <xf numFmtId="49" fontId="29" fillId="7" borderId="28" xfId="3" applyNumberFormat="1" applyFont="1" applyFill="1" applyBorder="1" applyAlignment="1" applyProtection="1">
      <alignment horizontal="left" vertical="center"/>
      <protection locked="0"/>
    </xf>
    <xf numFmtId="0" fontId="29" fillId="7" borderId="26" xfId="3" applyFont="1" applyFill="1" applyBorder="1" applyAlignment="1" applyProtection="1">
      <alignment horizontal="left" vertical="center"/>
      <protection locked="0"/>
    </xf>
    <xf numFmtId="0" fontId="29" fillId="7" borderId="27" xfId="3" applyFont="1" applyFill="1" applyBorder="1" applyAlignment="1" applyProtection="1">
      <alignment horizontal="left" vertical="center"/>
      <protection locked="0"/>
    </xf>
    <xf numFmtId="0" fontId="29" fillId="7" borderId="28" xfId="3" applyFont="1" applyFill="1" applyBorder="1" applyAlignment="1" applyProtection="1">
      <alignment horizontal="left" vertical="center"/>
      <protection locked="0"/>
    </xf>
    <xf numFmtId="0" fontId="35" fillId="0" borderId="8" xfId="3" applyFont="1" applyBorder="1" applyAlignment="1" applyProtection="1">
      <alignment horizontal="center" vertical="top"/>
      <protection hidden="1"/>
    </xf>
    <xf numFmtId="49" fontId="29" fillId="7" borderId="24" xfId="3" applyNumberFormat="1" applyFont="1" applyFill="1" applyBorder="1" applyAlignment="1" applyProtection="1">
      <alignment horizontal="left" vertical="center"/>
      <protection locked="0"/>
    </xf>
    <xf numFmtId="49" fontId="29" fillId="7" borderId="20" xfId="3" applyNumberFormat="1" applyFont="1" applyFill="1" applyBorder="1" applyAlignment="1" applyProtection="1">
      <alignment horizontal="left" vertical="center"/>
      <protection locked="0"/>
    </xf>
    <xf numFmtId="49" fontId="29" fillId="7" borderId="25" xfId="3" applyNumberFormat="1" applyFont="1" applyFill="1" applyBorder="1" applyAlignment="1" applyProtection="1">
      <alignment horizontal="left" vertical="center"/>
      <protection locked="0"/>
    </xf>
    <xf numFmtId="0" fontId="29" fillId="7" borderId="24" xfId="3" applyFont="1" applyFill="1" applyBorder="1" applyAlignment="1" applyProtection="1">
      <alignment horizontal="left" vertical="center"/>
      <protection locked="0"/>
    </xf>
    <xf numFmtId="0" fontId="29" fillId="7" borderId="20" xfId="3" applyFont="1" applyFill="1" applyBorder="1" applyAlignment="1" applyProtection="1">
      <alignment horizontal="left" vertical="center"/>
      <protection locked="0"/>
    </xf>
    <xf numFmtId="0" fontId="29" fillId="7" borderId="25" xfId="3" applyFont="1" applyFill="1" applyBorder="1" applyAlignment="1" applyProtection="1">
      <alignment horizontal="left" vertical="center"/>
      <protection locked="0"/>
    </xf>
    <xf numFmtId="164" fontId="32" fillId="7" borderId="10" xfId="3" applyNumberFormat="1" applyFont="1" applyFill="1" applyBorder="1" applyAlignment="1" applyProtection="1">
      <alignment horizontal="center" vertical="center"/>
      <protection locked="0"/>
    </xf>
    <xf numFmtId="164" fontId="32" fillId="7" borderId="11" xfId="3" applyNumberFormat="1" applyFont="1" applyFill="1" applyBorder="1" applyAlignment="1" applyProtection="1">
      <alignment horizontal="center" vertical="center"/>
      <protection locked="0"/>
    </xf>
    <xf numFmtId="164" fontId="32" fillId="7" borderId="12" xfId="3" applyNumberFormat="1" applyFont="1" applyFill="1" applyBorder="1" applyAlignment="1" applyProtection="1">
      <alignment horizontal="center" vertical="center"/>
      <protection locked="0"/>
    </xf>
    <xf numFmtId="0" fontId="35" fillId="0" borderId="11" xfId="3" applyFont="1" applyBorder="1" applyAlignment="1" applyProtection="1">
      <alignment horizontal="center" vertical="top"/>
      <protection hidden="1"/>
    </xf>
    <xf numFmtId="49" fontId="29" fillId="7" borderId="21" xfId="3" applyNumberFormat="1" applyFont="1" applyFill="1" applyBorder="1" applyAlignment="1" applyProtection="1">
      <alignment horizontal="left" vertical="center"/>
      <protection locked="0"/>
    </xf>
    <xf numFmtId="49" fontId="29" fillId="7" borderId="22" xfId="3" applyNumberFormat="1" applyFont="1" applyFill="1" applyBorder="1" applyAlignment="1" applyProtection="1">
      <alignment horizontal="left" vertical="center"/>
      <protection locked="0"/>
    </xf>
    <xf numFmtId="49" fontId="29" fillId="7" borderId="23" xfId="3" applyNumberFormat="1" applyFont="1" applyFill="1" applyBorder="1" applyAlignment="1" applyProtection="1">
      <alignment horizontal="left" vertical="center"/>
      <protection locked="0"/>
    </xf>
    <xf numFmtId="0" fontId="29" fillId="7" borderId="21" xfId="3" applyFont="1" applyFill="1" applyBorder="1" applyAlignment="1" applyProtection="1">
      <alignment horizontal="left" vertical="center"/>
      <protection locked="0"/>
    </xf>
    <xf numFmtId="0" fontId="29" fillId="7" borderId="22" xfId="3" applyFont="1" applyFill="1" applyBorder="1" applyAlignment="1" applyProtection="1">
      <alignment horizontal="left" vertical="center"/>
      <protection locked="0"/>
    </xf>
    <xf numFmtId="0" fontId="29" fillId="7" borderId="23" xfId="3" applyFont="1" applyFill="1" applyBorder="1" applyAlignment="1" applyProtection="1">
      <alignment horizontal="left" vertical="center"/>
      <protection locked="0"/>
    </xf>
    <xf numFmtId="0" fontId="32" fillId="7" borderId="10" xfId="3" applyFont="1" applyFill="1" applyBorder="1" applyAlignment="1" applyProtection="1">
      <alignment horizontal="center" vertical="center"/>
      <protection locked="0"/>
    </xf>
    <xf numFmtId="0" fontId="32" fillId="7" borderId="11" xfId="3" applyFont="1" applyFill="1" applyBorder="1" applyAlignment="1" applyProtection="1">
      <alignment horizontal="center" vertical="center"/>
      <protection locked="0"/>
    </xf>
    <xf numFmtId="0" fontId="32" fillId="7" borderId="12" xfId="3" applyFont="1" applyFill="1" applyBorder="1" applyAlignment="1" applyProtection="1">
      <alignment horizontal="center" vertical="center"/>
      <protection locked="0"/>
    </xf>
    <xf numFmtId="0" fontId="29" fillId="7" borderId="24" xfId="3" applyFont="1" applyFill="1" applyBorder="1" applyAlignment="1" applyProtection="1">
      <alignment horizontal="left" vertical="center" wrapText="1"/>
      <protection locked="0"/>
    </xf>
    <xf numFmtId="0" fontId="35" fillId="0" borderId="0" xfId="3" applyFont="1" applyAlignment="1" applyProtection="1">
      <alignment horizontal="center" vertical="top"/>
      <protection hidden="1"/>
    </xf>
    <xf numFmtId="0" fontId="35" fillId="0" borderId="8" xfId="3" applyFont="1" applyBorder="1" applyAlignment="1" applyProtection="1">
      <alignment horizontal="center"/>
      <protection hidden="1"/>
    </xf>
    <xf numFmtId="1" fontId="32" fillId="0" borderId="1" xfId="3" applyNumberFormat="1" applyFont="1" applyBorder="1" applyAlignment="1" applyProtection="1">
      <alignment horizontal="center" vertical="center"/>
      <protection hidden="1"/>
    </xf>
    <xf numFmtId="1" fontId="32" fillId="0" borderId="2" xfId="3" applyNumberFormat="1" applyFont="1" applyBorder="1" applyAlignment="1" applyProtection="1">
      <alignment horizontal="center" vertical="center"/>
      <protection hidden="1"/>
    </xf>
    <xf numFmtId="1" fontId="32" fillId="0" borderId="3" xfId="3" applyNumberFormat="1" applyFont="1" applyBorder="1" applyAlignment="1" applyProtection="1">
      <alignment horizontal="center" vertical="center"/>
      <protection hidden="1"/>
    </xf>
    <xf numFmtId="1" fontId="33" fillId="0" borderId="1" xfId="3" applyNumberFormat="1" applyFont="1" applyBorder="1" applyAlignment="1" applyProtection="1">
      <alignment horizontal="center" vertical="center"/>
      <protection hidden="1"/>
    </xf>
    <xf numFmtId="1" fontId="33" fillId="0" borderId="2" xfId="3" applyNumberFormat="1" applyFont="1" applyBorder="1" applyAlignment="1" applyProtection="1">
      <alignment horizontal="center" vertical="center"/>
      <protection hidden="1"/>
    </xf>
    <xf numFmtId="1" fontId="33" fillId="0" borderId="3" xfId="3" applyNumberFormat="1" applyFont="1" applyBorder="1" applyAlignment="1" applyProtection="1">
      <alignment horizontal="center" vertical="center"/>
      <protection hidden="1"/>
    </xf>
    <xf numFmtId="0" fontId="35" fillId="0" borderId="0" xfId="3" applyFont="1" applyAlignment="1" applyProtection="1">
      <alignment horizontal="center" vertical="top" wrapText="1"/>
      <protection hidden="1"/>
    </xf>
    <xf numFmtId="0" fontId="26" fillId="0" borderId="1" xfId="3" applyFont="1" applyBorder="1" applyAlignment="1" applyProtection="1">
      <alignment horizontal="center" vertical="top" wrapText="1"/>
      <protection hidden="1"/>
    </xf>
    <xf numFmtId="0" fontId="26" fillId="0" borderId="2" xfId="3" applyFont="1" applyBorder="1" applyAlignment="1" applyProtection="1">
      <alignment horizontal="center" vertical="top"/>
      <protection hidden="1"/>
    </xf>
    <xf numFmtId="0" fontId="26" fillId="0" borderId="3" xfId="3" applyFont="1" applyBorder="1" applyAlignment="1" applyProtection="1">
      <alignment horizontal="center" vertical="top"/>
      <protection hidden="1"/>
    </xf>
    <xf numFmtId="0" fontId="26" fillId="0" borderId="15" xfId="3" applyFont="1" applyBorder="1" applyAlignment="1" applyProtection="1">
      <alignment horizontal="center" vertical="top"/>
      <protection hidden="1"/>
    </xf>
    <xf numFmtId="0" fontId="26" fillId="0" borderId="8" xfId="3" applyFont="1" applyBorder="1" applyAlignment="1" applyProtection="1">
      <alignment horizontal="center" vertical="top"/>
      <protection hidden="1"/>
    </xf>
    <xf numFmtId="0" fontId="26" fillId="0" borderId="9" xfId="3" applyFont="1" applyBorder="1" applyAlignment="1" applyProtection="1">
      <alignment horizontal="center" vertical="top"/>
      <protection hidden="1"/>
    </xf>
    <xf numFmtId="0" fontId="35" fillId="0" borderId="4" xfId="3" applyFont="1" applyBorder="1" applyAlignment="1" applyProtection="1">
      <alignment horizontal="center" vertical="center"/>
      <protection hidden="1"/>
    </xf>
    <xf numFmtId="0" fontId="35" fillId="0" borderId="0" xfId="3" applyFont="1" applyAlignment="1" applyProtection="1">
      <alignment horizontal="center" vertical="center"/>
      <protection hidden="1"/>
    </xf>
    <xf numFmtId="0" fontId="35" fillId="0" borderId="17" xfId="3" applyFont="1" applyBorder="1" applyAlignment="1" applyProtection="1">
      <alignment horizontal="center" vertical="center"/>
      <protection hidden="1"/>
    </xf>
    <xf numFmtId="0" fontId="35" fillId="0" borderId="0" xfId="3" applyFont="1" applyAlignment="1" applyProtection="1">
      <alignment horizontal="center" vertical="center" wrapText="1"/>
      <protection hidden="1"/>
    </xf>
    <xf numFmtId="0" fontId="37" fillId="7" borderId="10" xfId="5" applyFont="1" applyFill="1" applyBorder="1" applyAlignment="1" applyProtection="1">
      <alignment horizontal="center" vertical="center"/>
      <protection locked="0"/>
    </xf>
    <xf numFmtId="0" fontId="32" fillId="7" borderId="10" xfId="3" applyFont="1" applyFill="1" applyBorder="1" applyAlignment="1" applyProtection="1">
      <alignment vertical="center"/>
      <protection locked="0"/>
    </xf>
    <xf numFmtId="0" fontId="32" fillId="7" borderId="11" xfId="3" applyFont="1" applyFill="1" applyBorder="1" applyAlignment="1" applyProtection="1">
      <alignment vertical="center"/>
      <protection locked="0"/>
    </xf>
    <xf numFmtId="0" fontId="32" fillId="7" borderId="12" xfId="3" applyFont="1" applyFill="1" applyBorder="1" applyAlignment="1" applyProtection="1">
      <alignment vertical="center"/>
      <protection locked="0"/>
    </xf>
    <xf numFmtId="0" fontId="35" fillId="0" borderId="8" xfId="3" applyFont="1" applyBorder="1" applyAlignment="1" applyProtection="1">
      <alignment horizontal="center" vertical="center"/>
      <protection hidden="1"/>
    </xf>
    <xf numFmtId="0" fontId="35" fillId="0" borderId="0" xfId="3" applyFont="1" applyAlignment="1" applyProtection="1">
      <alignment horizontal="center"/>
      <protection hidden="1"/>
    </xf>
    <xf numFmtId="3" fontId="29" fillId="8" borderId="10" xfId="3" applyNumberFormat="1" applyFont="1" applyFill="1" applyBorder="1" applyAlignment="1" applyProtection="1">
      <alignment horizontal="center" vertical="center"/>
      <protection hidden="1"/>
    </xf>
    <xf numFmtId="0" fontId="29" fillId="8" borderId="11" xfId="3" applyFont="1" applyFill="1" applyBorder="1" applyAlignment="1" applyProtection="1">
      <alignment horizontal="center" vertical="center"/>
      <protection hidden="1"/>
    </xf>
    <xf numFmtId="0" fontId="29" fillId="8" borderId="12" xfId="3" applyFont="1" applyFill="1" applyBorder="1" applyAlignment="1" applyProtection="1">
      <alignment horizontal="center" vertical="center"/>
      <protection hidden="1"/>
    </xf>
    <xf numFmtId="0" fontId="29" fillId="8" borderId="10" xfId="3" applyFont="1" applyFill="1" applyBorder="1" applyAlignment="1" applyProtection="1">
      <alignment horizontal="center" vertical="center"/>
      <protection hidden="1"/>
    </xf>
    <xf numFmtId="0" fontId="27" fillId="0" borderId="10" xfId="3" applyFont="1" applyBorder="1" applyAlignment="1" applyProtection="1">
      <alignment horizontal="center" vertical="center"/>
      <protection hidden="1"/>
    </xf>
    <xf numFmtId="0" fontId="27" fillId="0" borderId="11" xfId="3" applyFont="1" applyBorder="1" applyAlignment="1" applyProtection="1">
      <alignment horizontal="center" vertical="center"/>
      <protection hidden="1"/>
    </xf>
    <xf numFmtId="0" fontId="27" fillId="0" borderId="12" xfId="3" applyFont="1" applyBorder="1" applyAlignment="1" applyProtection="1">
      <alignment horizontal="center" vertical="center"/>
      <protection hidden="1"/>
    </xf>
    <xf numFmtId="0" fontId="29" fillId="0" borderId="10" xfId="3" applyFont="1" applyBorder="1" applyAlignment="1" applyProtection="1">
      <alignment horizontal="center" vertical="center"/>
      <protection hidden="1"/>
    </xf>
    <xf numFmtId="0" fontId="29" fillId="0" borderId="11" xfId="3" applyFont="1" applyBorder="1" applyAlignment="1" applyProtection="1">
      <alignment horizontal="center" vertical="center"/>
      <protection hidden="1"/>
    </xf>
    <xf numFmtId="0" fontId="29" fillId="0" borderId="12" xfId="3" applyFont="1" applyBorder="1" applyAlignment="1" applyProtection="1">
      <alignment horizontal="center" vertical="center"/>
      <protection hidden="1"/>
    </xf>
    <xf numFmtId="0" fontId="32" fillId="0" borderId="10" xfId="3" applyFont="1" applyBorder="1" applyAlignment="1" applyProtection="1">
      <alignment horizontal="center"/>
      <protection hidden="1"/>
    </xf>
    <xf numFmtId="0" fontId="32" fillId="0" borderId="11" xfId="3" applyFont="1" applyBorder="1" applyAlignment="1" applyProtection="1">
      <alignment horizontal="center"/>
      <protection hidden="1"/>
    </xf>
    <xf numFmtId="0" fontId="32" fillId="0" borderId="12" xfId="3" applyFont="1" applyBorder="1" applyAlignment="1" applyProtection="1">
      <alignment horizontal="center"/>
      <protection hidden="1"/>
    </xf>
    <xf numFmtId="0" fontId="37" fillId="7" borderId="10" xfId="5" applyFont="1" applyFill="1" applyBorder="1" applyAlignment="1" applyProtection="1">
      <alignment horizontal="center"/>
      <protection locked="0"/>
    </xf>
    <xf numFmtId="0" fontId="24" fillId="7" borderId="11" xfId="3" applyFont="1" applyFill="1" applyBorder="1" applyAlignment="1" applyProtection="1">
      <alignment horizontal="center"/>
      <protection locked="0"/>
    </xf>
    <xf numFmtId="0" fontId="24" fillId="7" borderId="12" xfId="3" applyFont="1" applyFill="1" applyBorder="1" applyAlignment="1" applyProtection="1">
      <alignment horizontal="center"/>
      <protection locked="0"/>
    </xf>
    <xf numFmtId="0" fontId="26" fillId="7" borderId="10" xfId="3" applyFont="1" applyFill="1" applyBorder="1" applyAlignment="1" applyProtection="1">
      <alignment horizontal="center"/>
      <protection locked="0"/>
    </xf>
    <xf numFmtId="0" fontId="26" fillId="7" borderId="12" xfId="3" applyFont="1" applyFill="1" applyBorder="1" applyAlignment="1" applyProtection="1">
      <alignment horizontal="center"/>
      <protection locked="0"/>
    </xf>
    <xf numFmtId="0" fontId="26" fillId="7" borderId="11" xfId="3" applyFont="1" applyFill="1" applyBorder="1" applyAlignment="1" applyProtection="1">
      <alignment horizontal="center"/>
      <protection locked="0"/>
    </xf>
    <xf numFmtId="0" fontId="32" fillId="7" borderId="10" xfId="3" applyFont="1" applyFill="1" applyBorder="1" applyAlignment="1" applyProtection="1">
      <alignment horizontal="center"/>
      <protection locked="0"/>
    </xf>
    <xf numFmtId="0" fontId="32" fillId="7" borderId="11" xfId="3" applyFont="1" applyFill="1" applyBorder="1" applyAlignment="1" applyProtection="1">
      <alignment horizontal="center"/>
      <protection locked="0"/>
    </xf>
    <xf numFmtId="0" fontId="32" fillId="7" borderId="12" xfId="3" applyFont="1" applyFill="1" applyBorder="1" applyAlignment="1" applyProtection="1">
      <alignment horizontal="center"/>
      <protection locked="0"/>
    </xf>
    <xf numFmtId="0" fontId="32" fillId="7" borderId="10" xfId="3" quotePrefix="1" applyFont="1" applyFill="1" applyBorder="1" applyAlignment="1" applyProtection="1">
      <alignment horizontal="center"/>
      <protection locked="0"/>
    </xf>
    <xf numFmtId="49" fontId="35" fillId="0" borderId="8" xfId="3" applyNumberFormat="1" applyFont="1" applyBorder="1" applyAlignment="1" applyProtection="1">
      <alignment horizontal="center" vertical="top"/>
      <protection hidden="1"/>
    </xf>
    <xf numFmtId="0" fontId="32" fillId="0" borderId="10" xfId="3" applyFont="1" applyBorder="1" applyAlignment="1" applyProtection="1">
      <alignment horizontal="center" vertical="center"/>
      <protection hidden="1"/>
    </xf>
    <xf numFmtId="0" fontId="32" fillId="0" borderId="11" xfId="3" applyFont="1" applyBorder="1" applyAlignment="1" applyProtection="1">
      <alignment horizontal="center" vertical="center"/>
      <protection hidden="1"/>
    </xf>
    <xf numFmtId="0" fontId="32" fillId="0" borderId="12" xfId="3" applyFont="1" applyBorder="1" applyAlignment="1" applyProtection="1">
      <alignment horizontal="center" vertical="center"/>
      <protection hidden="1"/>
    </xf>
    <xf numFmtId="49" fontId="32" fillId="7" borderId="10" xfId="3" applyNumberFormat="1" applyFont="1" applyFill="1" applyBorder="1" applyAlignment="1" applyProtection="1">
      <alignment vertical="center"/>
      <protection locked="0"/>
    </xf>
    <xf numFmtId="49" fontId="32" fillId="7" borderId="11" xfId="3" applyNumberFormat="1" applyFont="1" applyFill="1" applyBorder="1" applyAlignment="1" applyProtection="1">
      <alignment vertical="center"/>
      <protection locked="0"/>
    </xf>
    <xf numFmtId="49" fontId="32" fillId="7" borderId="12" xfId="3" applyNumberFormat="1" applyFont="1" applyFill="1" applyBorder="1" applyAlignment="1" applyProtection="1">
      <alignment vertical="center"/>
      <protection locked="0"/>
    </xf>
    <xf numFmtId="0" fontId="24" fillId="0" borderId="0" xfId="3" applyFont="1" applyAlignment="1" applyProtection="1">
      <alignment vertical="center"/>
      <protection hidden="1"/>
    </xf>
    <xf numFmtId="0" fontId="32" fillId="0" borderId="18" xfId="3" applyFont="1" applyBorder="1" applyAlignment="1" applyProtection="1">
      <alignment horizontal="left" vertical="center"/>
      <protection hidden="1"/>
    </xf>
    <xf numFmtId="164" fontId="32" fillId="0" borderId="18" xfId="3" applyNumberFormat="1" applyFont="1" applyBorder="1" applyAlignment="1" applyProtection="1">
      <alignment horizontal="center"/>
      <protection hidden="1"/>
    </xf>
    <xf numFmtId="164" fontId="32" fillId="7" borderId="10" xfId="3" applyNumberFormat="1" applyFont="1" applyFill="1" applyBorder="1" applyAlignment="1" applyProtection="1">
      <alignment horizontal="center"/>
      <protection locked="0"/>
    </xf>
    <xf numFmtId="164" fontId="32" fillId="7" borderId="12" xfId="3" applyNumberFormat="1" applyFont="1" applyFill="1" applyBorder="1" applyAlignment="1" applyProtection="1">
      <alignment horizontal="center"/>
      <protection locked="0"/>
    </xf>
    <xf numFmtId="164" fontId="32" fillId="0" borderId="10" xfId="3" applyNumberFormat="1" applyFont="1" applyBorder="1" applyAlignment="1" applyProtection="1">
      <alignment horizontal="center"/>
      <protection hidden="1"/>
    </xf>
    <xf numFmtId="164" fontId="32" fillId="0" borderId="12" xfId="3" applyNumberFormat="1" applyFont="1" applyBorder="1" applyAlignment="1" applyProtection="1">
      <alignment horizontal="center"/>
      <protection hidden="1"/>
    </xf>
    <xf numFmtId="0" fontId="26" fillId="0" borderId="4" xfId="3" applyFont="1" applyBorder="1" applyAlignment="1" applyProtection="1">
      <alignment horizontal="center"/>
      <protection hidden="1"/>
    </xf>
    <xf numFmtId="0" fontId="26" fillId="0" borderId="0" xfId="3" applyFont="1" applyAlignment="1" applyProtection="1">
      <alignment horizontal="center"/>
      <protection hidden="1"/>
    </xf>
    <xf numFmtId="0" fontId="26" fillId="0" borderId="17" xfId="3" applyFont="1" applyBorder="1" applyAlignment="1" applyProtection="1">
      <alignment horizontal="center"/>
      <protection hidden="1"/>
    </xf>
    <xf numFmtId="0" fontId="33" fillId="0" borderId="19" xfId="3" applyFont="1" applyBorder="1" applyAlignment="1" applyProtection="1">
      <alignment horizontal="left"/>
      <protection hidden="1"/>
    </xf>
    <xf numFmtId="0" fontId="27" fillId="0" borderId="18" xfId="3" applyFont="1" applyBorder="1" applyAlignment="1" applyProtection="1">
      <alignment horizontal="center" vertical="center"/>
      <protection hidden="1"/>
    </xf>
    <xf numFmtId="0" fontId="33" fillId="0" borderId="0" xfId="3" applyFont="1" applyAlignment="1" applyProtection="1">
      <alignment horizontal="left" vertical="center"/>
      <protection hidden="1"/>
    </xf>
    <xf numFmtId="0" fontId="27" fillId="0" borderId="20" xfId="3" applyFont="1" applyBorder="1" applyAlignment="1" applyProtection="1">
      <alignment horizontal="center" vertical="center"/>
      <protection hidden="1"/>
    </xf>
    <xf numFmtId="0" fontId="33" fillId="0" borderId="19" xfId="3" applyFont="1" applyBorder="1" applyAlignment="1" applyProtection="1">
      <alignment horizontal="right"/>
      <protection hidden="1"/>
    </xf>
    <xf numFmtId="14" fontId="27" fillId="0" borderId="20" xfId="3" applyNumberFormat="1" applyFont="1" applyBorder="1" applyAlignment="1" applyProtection="1">
      <alignment horizontal="center"/>
      <protection hidden="1"/>
    </xf>
    <xf numFmtId="0" fontId="27" fillId="0" borderId="20" xfId="3" applyFont="1" applyBorder="1" applyAlignment="1" applyProtection="1">
      <alignment horizontal="center"/>
      <protection hidden="1"/>
    </xf>
    <xf numFmtId="0" fontId="32" fillId="0" borderId="20" xfId="3" applyFont="1" applyBorder="1" applyAlignment="1" applyProtection="1">
      <alignment horizontal="center"/>
      <protection hidden="1"/>
    </xf>
    <xf numFmtId="0" fontId="31" fillId="0" borderId="0" xfId="3" applyFont="1" applyAlignment="1" applyProtection="1">
      <alignment horizontal="center"/>
      <protection hidden="1"/>
    </xf>
    <xf numFmtId="0" fontId="25" fillId="0" borderId="0" xfId="3" applyFont="1" applyAlignment="1" applyProtection="1">
      <alignment horizontal="center" vertical="justify"/>
      <protection hidden="1"/>
    </xf>
    <xf numFmtId="0" fontId="33" fillId="0" borderId="0" xfId="3" applyFont="1" applyAlignment="1" applyProtection="1">
      <alignment horizontal="center"/>
      <protection hidden="1"/>
    </xf>
    <xf numFmtId="49" fontId="25" fillId="7" borderId="10" xfId="3" quotePrefix="1" applyNumberFormat="1" applyFont="1" applyFill="1" applyBorder="1" applyAlignment="1" applyProtection="1">
      <alignment horizontal="center" vertical="center"/>
      <protection locked="0"/>
    </xf>
    <xf numFmtId="49" fontId="25" fillId="7" borderId="12" xfId="3" quotePrefix="1" applyNumberFormat="1" applyFont="1" applyFill="1" applyBorder="1" applyAlignment="1" applyProtection="1">
      <alignment horizontal="center" vertical="center"/>
      <protection locked="0"/>
    </xf>
    <xf numFmtId="49" fontId="25" fillId="7" borderId="10" xfId="3" applyNumberFormat="1" applyFont="1" applyFill="1" applyBorder="1" applyAlignment="1" applyProtection="1">
      <alignment horizontal="center" vertical="center"/>
      <protection locked="0"/>
    </xf>
    <xf numFmtId="49" fontId="25" fillId="7" borderId="11" xfId="3" applyNumberFormat="1" applyFont="1" applyFill="1" applyBorder="1" applyAlignment="1" applyProtection="1">
      <alignment horizontal="center" vertical="center"/>
      <protection locked="0"/>
    </xf>
    <xf numFmtId="49" fontId="25" fillId="7" borderId="12" xfId="3" applyNumberFormat="1" applyFont="1" applyFill="1" applyBorder="1" applyAlignment="1" applyProtection="1">
      <alignment horizontal="center" vertical="center"/>
      <protection locked="0"/>
    </xf>
    <xf numFmtId="0" fontId="27" fillId="0" borderId="18" xfId="3" applyFont="1" applyBorder="1" applyAlignment="1" applyProtection="1">
      <alignment horizontal="left" vertical="center"/>
      <protection hidden="1"/>
    </xf>
    <xf numFmtId="0" fontId="24" fillId="0" borderId="1" xfId="3" applyFont="1" applyBorder="1" applyAlignment="1" applyProtection="1">
      <alignment horizontal="center"/>
      <protection hidden="1"/>
    </xf>
    <xf numFmtId="0" fontId="24" fillId="0" borderId="2" xfId="3" applyFont="1" applyBorder="1" applyAlignment="1" applyProtection="1">
      <alignment horizontal="center"/>
      <protection hidden="1"/>
    </xf>
    <xf numFmtId="0" fontId="24" fillId="0" borderId="3" xfId="3" applyFont="1" applyBorder="1" applyAlignment="1" applyProtection="1">
      <alignment horizontal="center"/>
      <protection hidden="1"/>
    </xf>
    <xf numFmtId="0" fontId="27" fillId="0" borderId="1" xfId="3" applyFont="1" applyBorder="1" applyAlignment="1" applyProtection="1">
      <alignment horizontal="center" vertical="center"/>
      <protection locked="0"/>
    </xf>
    <xf numFmtId="0" fontId="27" fillId="0" borderId="2" xfId="3" applyFont="1" applyBorder="1" applyAlignment="1" applyProtection="1">
      <alignment horizontal="center" vertical="center"/>
      <protection locked="0"/>
    </xf>
    <xf numFmtId="0" fontId="27" fillId="0" borderId="3" xfId="3" applyFont="1" applyBorder="1" applyAlignment="1" applyProtection="1">
      <alignment horizontal="center" vertical="center"/>
      <protection locked="0"/>
    </xf>
    <xf numFmtId="0" fontId="27" fillId="0" borderId="18" xfId="3" applyFont="1" applyBorder="1" applyAlignment="1" applyProtection="1">
      <alignment horizontal="center"/>
      <protection hidden="1"/>
    </xf>
    <xf numFmtId="0" fontId="33" fillId="0" borderId="19" xfId="3" applyFont="1" applyBorder="1" applyAlignment="1" applyProtection="1">
      <alignment horizontal="center"/>
      <protection hidden="1"/>
    </xf>
    <xf numFmtId="0" fontId="22" fillId="0" borderId="0" xfId="3" applyFont="1" applyAlignment="1" applyProtection="1">
      <alignment horizontal="center"/>
      <protection hidden="1"/>
    </xf>
    <xf numFmtId="3" fontId="27" fillId="0" borderId="18" xfId="3" applyNumberFormat="1" applyFont="1" applyBorder="1" applyAlignment="1" applyProtection="1">
      <alignment horizontal="center" vertical="center"/>
      <protection hidden="1"/>
    </xf>
    <xf numFmtId="0" fontId="33" fillId="7" borderId="1" xfId="4" applyFont="1" applyFill="1" applyBorder="1" applyAlignment="1" applyProtection="1">
      <alignment horizontal="left"/>
      <protection locked="0"/>
    </xf>
    <xf numFmtId="0" fontId="33" fillId="7" borderId="3" xfId="4" applyFont="1" applyFill="1" applyBorder="1" applyAlignment="1" applyProtection="1">
      <alignment horizontal="left"/>
      <protection locked="0"/>
    </xf>
    <xf numFmtId="0" fontId="33" fillId="7" borderId="1" xfId="4" applyFont="1" applyFill="1" applyBorder="1" applyProtection="1">
      <protection locked="0"/>
    </xf>
    <xf numFmtId="0" fontId="33" fillId="7" borderId="2" xfId="4" applyFont="1" applyFill="1" applyBorder="1" applyProtection="1">
      <protection locked="0"/>
    </xf>
    <xf numFmtId="0" fontId="33" fillId="7" borderId="3" xfId="4" applyFont="1" applyFill="1" applyBorder="1" applyProtection="1">
      <protection locked="0"/>
    </xf>
    <xf numFmtId="0" fontId="33" fillId="0" borderId="0" xfId="4" applyFont="1" applyProtection="1">
      <protection hidden="1"/>
    </xf>
    <xf numFmtId="0" fontId="33" fillId="7" borderId="6" xfId="4" applyFont="1" applyFill="1" applyBorder="1" applyAlignment="1" applyProtection="1">
      <alignment horizontal="left"/>
      <protection locked="0"/>
    </xf>
    <xf numFmtId="0" fontId="25" fillId="0" borderId="0" xfId="4" applyFont="1" applyAlignment="1" applyProtection="1">
      <alignment horizontal="center"/>
      <protection hidden="1"/>
    </xf>
    <xf numFmtId="0" fontId="24" fillId="0" borderId="1" xfId="4" applyFont="1" applyBorder="1" applyAlignment="1" applyProtection="1">
      <alignment horizontal="center" vertical="center"/>
      <protection hidden="1"/>
    </xf>
    <xf numFmtId="0" fontId="24" fillId="0" borderId="2" xfId="4" applyFont="1" applyBorder="1" applyAlignment="1" applyProtection="1">
      <alignment horizontal="center" vertical="center"/>
      <protection hidden="1"/>
    </xf>
    <xf numFmtId="0" fontId="24" fillId="0" borderId="2" xfId="4" applyFont="1" applyBorder="1" applyAlignment="1" applyProtection="1">
      <alignment horizontal="center" vertical="center" wrapText="1"/>
      <protection hidden="1"/>
    </xf>
    <xf numFmtId="0" fontId="24" fillId="0" borderId="3" xfId="4" applyFont="1" applyBorder="1" applyAlignment="1" applyProtection="1">
      <alignment horizontal="center" vertical="center" wrapText="1"/>
      <protection hidden="1"/>
    </xf>
    <xf numFmtId="0" fontId="26" fillId="0" borderId="15" xfId="4" applyFont="1" applyBorder="1" applyAlignment="1" applyProtection="1">
      <alignment horizontal="center" vertical="center" wrapText="1"/>
      <protection hidden="1"/>
    </xf>
    <xf numFmtId="0" fontId="26" fillId="0" borderId="9" xfId="4" applyFont="1" applyBorder="1" applyAlignment="1" applyProtection="1">
      <alignment horizontal="center" vertical="center" wrapText="1"/>
      <protection hidden="1"/>
    </xf>
    <xf numFmtId="0" fontId="26" fillId="0" borderId="10" xfId="4" applyFont="1" applyBorder="1" applyAlignment="1" applyProtection="1">
      <alignment horizontal="center" vertical="center" wrapText="1"/>
      <protection hidden="1"/>
    </xf>
    <xf numFmtId="0" fontId="26" fillId="0" borderId="12" xfId="4" applyFont="1" applyBorder="1" applyAlignment="1" applyProtection="1">
      <alignment horizontal="center" vertical="center" wrapText="1"/>
      <protection hidden="1"/>
    </xf>
    <xf numFmtId="0" fontId="24" fillId="0" borderId="0" xfId="4" applyFont="1" applyAlignment="1" applyProtection="1">
      <alignment horizontal="left" vertical="center"/>
      <protection hidden="1"/>
    </xf>
    <xf numFmtId="0" fontId="27" fillId="0" borderId="18" xfId="4" applyFont="1" applyBorder="1" applyAlignment="1" applyProtection="1">
      <alignment horizontal="left" vertical="center"/>
      <protection hidden="1"/>
    </xf>
    <xf numFmtId="0" fontId="26" fillId="0" borderId="15" xfId="4" applyFont="1" applyBorder="1" applyAlignment="1" applyProtection="1">
      <alignment horizontal="center" vertical="center"/>
      <protection hidden="1"/>
    </xf>
    <xf numFmtId="0" fontId="26" fillId="0" borderId="9" xfId="4" applyFont="1" applyBorder="1" applyAlignment="1" applyProtection="1">
      <alignment horizontal="center" vertical="center"/>
      <protection hidden="1"/>
    </xf>
    <xf numFmtId="0" fontId="26" fillId="0" borderId="10" xfId="4" applyFont="1" applyBorder="1" applyAlignment="1" applyProtection="1">
      <alignment horizontal="center" vertical="center"/>
      <protection hidden="1"/>
    </xf>
    <xf numFmtId="0" fontId="26" fillId="0" borderId="12" xfId="4" applyFont="1" applyBorder="1" applyAlignment="1" applyProtection="1">
      <alignment horizontal="center" vertical="center"/>
      <protection hidden="1"/>
    </xf>
    <xf numFmtId="0" fontId="26" fillId="0" borderId="6" xfId="4" applyFont="1" applyBorder="1" applyAlignment="1" applyProtection="1">
      <alignment horizontal="center" vertical="center"/>
      <protection hidden="1"/>
    </xf>
    <xf numFmtId="0" fontId="26" fillId="0" borderId="8" xfId="4" applyFont="1" applyBorder="1" applyAlignment="1" applyProtection="1">
      <alignment horizontal="center" vertical="center"/>
      <protection hidden="1"/>
    </xf>
    <xf numFmtId="0" fontId="26" fillId="0" borderId="11" xfId="4" applyFont="1" applyBorder="1" applyAlignment="1" applyProtection="1">
      <alignment horizontal="center" vertical="center"/>
      <protection hidden="1"/>
    </xf>
    <xf numFmtId="0" fontId="26" fillId="0" borderId="7" xfId="4" applyFont="1" applyBorder="1" applyAlignment="1" applyProtection="1">
      <alignment horizontal="center" vertical="center" wrapText="1"/>
      <protection hidden="1"/>
    </xf>
    <xf numFmtId="0" fontId="26" fillId="0" borderId="5" xfId="4" applyFont="1" applyBorder="1" applyAlignment="1" applyProtection="1">
      <alignment horizontal="center" vertical="center" wrapText="1"/>
      <protection hidden="1"/>
    </xf>
    <xf numFmtId="49" fontId="25" fillId="0" borderId="0" xfId="4" applyNumberFormat="1" applyFont="1" applyAlignment="1" applyProtection="1">
      <alignment horizontal="center"/>
      <protection hidden="1"/>
    </xf>
    <xf numFmtId="0" fontId="33" fillId="0" borderId="0" xfId="3" applyFont="1" applyAlignment="1" applyProtection="1">
      <alignment horizontal="center" vertical="center"/>
      <protection hidden="1"/>
    </xf>
    <xf numFmtId="0" fontId="45" fillId="0" borderId="0" xfId="0" applyFont="1" applyAlignment="1">
      <alignment horizontal="center" vertical="center" wrapText="1"/>
    </xf>
    <xf numFmtId="0" fontId="15" fillId="0" borderId="6" xfId="0" applyFont="1" applyBorder="1" applyAlignment="1" applyProtection="1">
      <alignment horizontal="center" vertical="center"/>
      <protection locked="0"/>
    </xf>
    <xf numFmtId="0" fontId="15" fillId="0" borderId="20" xfId="0" applyFont="1" applyBorder="1" applyAlignment="1">
      <alignment horizontal="center" vertical="center"/>
    </xf>
    <xf numFmtId="14" fontId="15" fillId="0" borderId="18" xfId="0" applyNumberFormat="1" applyFont="1" applyBorder="1" applyAlignment="1" applyProtection="1">
      <alignment horizontal="center" vertical="center"/>
      <protection hidden="1"/>
    </xf>
    <xf numFmtId="14" fontId="20" fillId="0" borderId="20" xfId="0" applyNumberFormat="1" applyFont="1" applyBorder="1" applyAlignment="1">
      <alignment horizontal="center"/>
    </xf>
    <xf numFmtId="0" fontId="15" fillId="0" borderId="0" xfId="0" applyFont="1" applyProtection="1">
      <protection hidden="1"/>
    </xf>
    <xf numFmtId="14" fontId="15" fillId="0" borderId="19" xfId="0" applyNumberFormat="1" applyFont="1" applyBorder="1" applyAlignment="1" applyProtection="1">
      <alignment horizontal="center" vertical="center"/>
      <protection hidden="1"/>
    </xf>
    <xf numFmtId="0" fontId="15" fillId="0" borderId="19" xfId="0" applyFont="1" applyBorder="1" applyAlignment="1">
      <alignment horizontal="center" vertical="center"/>
    </xf>
    <xf numFmtId="0" fontId="15" fillId="3" borderId="33" xfId="0" applyFont="1" applyFill="1" applyBorder="1" applyAlignment="1">
      <alignment vertical="center" wrapText="1"/>
    </xf>
    <xf numFmtId="166" fontId="46" fillId="3" borderId="33" xfId="1" applyNumberFormat="1" applyFont="1" applyFill="1" applyBorder="1" applyAlignment="1" applyProtection="1">
      <alignment vertical="center"/>
      <protection hidden="1"/>
    </xf>
    <xf numFmtId="0" fontId="20" fillId="0" borderId="30" xfId="0" applyFont="1" applyBorder="1" applyAlignment="1">
      <alignment vertical="center" wrapText="1"/>
    </xf>
    <xf numFmtId="166" fontId="43" fillId="0" borderId="30" xfId="1" applyNumberFormat="1" applyFont="1" applyBorder="1" applyAlignment="1" applyProtection="1">
      <alignment vertical="center"/>
      <protection hidden="1"/>
    </xf>
    <xf numFmtId="0" fontId="15" fillId="9" borderId="30" xfId="0" applyFont="1" applyFill="1" applyBorder="1" applyAlignment="1">
      <alignment vertical="center" wrapText="1"/>
    </xf>
    <xf numFmtId="166" fontId="46" fillId="9" borderId="30" xfId="1" applyNumberFormat="1" applyFont="1" applyFill="1" applyBorder="1" applyAlignment="1" applyProtection="1">
      <alignment vertical="center"/>
      <protection hidden="1"/>
    </xf>
    <xf numFmtId="0" fontId="20" fillId="0" borderId="30" xfId="0" applyFont="1" applyBorder="1" applyAlignment="1">
      <alignment horizontal="left" vertical="center" wrapText="1"/>
    </xf>
    <xf numFmtId="0" fontId="20" fillId="0" borderId="34" xfId="0" applyFont="1" applyBorder="1" applyAlignment="1">
      <alignment horizontal="left" vertical="center" wrapText="1"/>
    </xf>
    <xf numFmtId="0" fontId="20" fillId="0" borderId="35" xfId="0" applyFont="1" applyBorder="1" applyAlignment="1">
      <alignment horizontal="left" vertical="center" wrapText="1"/>
    </xf>
    <xf numFmtId="14" fontId="15" fillId="0" borderId="6" xfId="0" applyNumberFormat="1" applyFont="1" applyBorder="1" applyAlignment="1" applyProtection="1">
      <alignment horizontal="center" vertical="center"/>
      <protection hidden="1"/>
    </xf>
    <xf numFmtId="0" fontId="15" fillId="0" borderId="6" xfId="0" applyFont="1" applyBorder="1" applyAlignment="1" applyProtection="1">
      <alignment horizontal="center" vertical="center"/>
      <protection hidden="1"/>
    </xf>
    <xf numFmtId="0" fontId="20" fillId="0" borderId="32" xfId="0" applyFont="1" applyBorder="1" applyAlignment="1">
      <alignment vertical="center" wrapText="1"/>
    </xf>
    <xf numFmtId="166" fontId="43" fillId="0" borderId="32" xfId="1" applyNumberFormat="1" applyFont="1" applyBorder="1" applyAlignment="1" applyProtection="1">
      <alignment vertical="center"/>
      <protection hidden="1"/>
    </xf>
    <xf numFmtId="14" fontId="15" fillId="0" borderId="20" xfId="0" applyNumberFormat="1" applyFont="1" applyBorder="1" applyAlignment="1" applyProtection="1">
      <alignment horizontal="center" vertical="center"/>
      <protection hidden="1"/>
    </xf>
    <xf numFmtId="0" fontId="15" fillId="0" borderId="6" xfId="0" applyFont="1" applyBorder="1" applyAlignment="1">
      <alignment horizontal="center" vertical="center"/>
    </xf>
    <xf numFmtId="0" fontId="15" fillId="9" borderId="1" xfId="0" applyFont="1" applyFill="1" applyBorder="1" applyAlignment="1" applyProtection="1">
      <alignment horizontal="center" vertical="center"/>
      <protection locked="0"/>
    </xf>
    <xf numFmtId="0" fontId="15" fillId="9" borderId="3" xfId="0" applyFont="1" applyFill="1" applyBorder="1" applyAlignment="1" applyProtection="1">
      <alignment horizontal="center" vertical="center"/>
      <protection locked="0"/>
    </xf>
    <xf numFmtId="0" fontId="20" fillId="0" borderId="6" xfId="0" applyFont="1" applyBorder="1" applyProtection="1">
      <protection locked="0"/>
    </xf>
    <xf numFmtId="43" fontId="20" fillId="0" borderId="6" xfId="1" applyFont="1" applyBorder="1" applyAlignment="1" applyProtection="1">
      <alignment vertical="center"/>
      <protection locked="0"/>
    </xf>
    <xf numFmtId="9" fontId="20" fillId="0" borderId="6" xfId="2" applyFont="1" applyBorder="1" applyAlignment="1" applyProtection="1">
      <alignment vertical="center"/>
      <protection locked="0"/>
    </xf>
    <xf numFmtId="43" fontId="20" fillId="0" borderId="6" xfId="1" applyFont="1" applyBorder="1" applyAlignment="1" applyProtection="1">
      <alignment horizontal="center" vertical="center"/>
      <protection locked="0"/>
    </xf>
    <xf numFmtId="9" fontId="20" fillId="0" borderId="6" xfId="2" applyFont="1" applyBorder="1" applyAlignment="1" applyProtection="1">
      <alignment horizontal="center" vertical="center"/>
      <protection locked="0"/>
    </xf>
    <xf numFmtId="167" fontId="20" fillId="0" borderId="6" xfId="1" applyNumberFormat="1" applyFont="1" applyBorder="1" applyAlignment="1" applyProtection="1">
      <alignment vertical="center"/>
      <protection locked="0"/>
    </xf>
    <xf numFmtId="0" fontId="20" fillId="0" borderId="6" xfId="2" applyNumberFormat="1" applyFont="1" applyBorder="1" applyAlignment="1" applyProtection="1">
      <alignment vertical="center"/>
      <protection locked="0"/>
    </xf>
    <xf numFmtId="0" fontId="15" fillId="3" borderId="6" xfId="0" applyFont="1" applyFill="1" applyBorder="1" applyAlignment="1" applyProtection="1">
      <alignment horizontal="center" vertical="center" wrapText="1"/>
      <protection hidden="1"/>
    </xf>
    <xf numFmtId="0" fontId="15" fillId="3" borderId="6" xfId="0" applyFont="1" applyFill="1" applyBorder="1" applyAlignment="1" applyProtection="1">
      <alignment horizontal="center" vertical="center"/>
      <protection hidden="1"/>
    </xf>
    <xf numFmtId="0" fontId="43" fillId="0" borderId="6" xfId="0" applyFont="1" applyBorder="1" applyProtection="1">
      <protection locked="0"/>
    </xf>
    <xf numFmtId="0" fontId="15" fillId="9" borderId="6" xfId="0" applyFont="1" applyFill="1" applyBorder="1" applyAlignment="1" applyProtection="1">
      <alignment horizontal="center" vertical="center"/>
      <protection locked="0"/>
    </xf>
    <xf numFmtId="0" fontId="15" fillId="9" borderId="6" xfId="0" applyFont="1" applyFill="1" applyBorder="1" applyAlignment="1" applyProtection="1">
      <alignment horizontal="center" vertical="center" wrapText="1"/>
      <protection locked="0"/>
    </xf>
    <xf numFmtId="16" fontId="15" fillId="9" borderId="6" xfId="0" quotePrefix="1" applyNumberFormat="1" applyFont="1" applyFill="1" applyBorder="1" applyAlignment="1" applyProtection="1">
      <alignment horizontal="center" vertical="center" wrapText="1"/>
      <protection locked="0"/>
    </xf>
    <xf numFmtId="0" fontId="20" fillId="0" borderId="1" xfId="0" quotePrefix="1" applyFont="1" applyBorder="1" applyAlignment="1" applyProtection="1">
      <alignment vertical="center" wrapText="1"/>
      <protection locked="0"/>
    </xf>
    <xf numFmtId="0" fontId="20" fillId="0" borderId="2" xfId="0" quotePrefix="1" applyFont="1" applyBorder="1" applyAlignment="1" applyProtection="1">
      <alignment vertical="center" wrapText="1"/>
      <protection locked="0"/>
    </xf>
    <xf numFmtId="0" fontId="20" fillId="0" borderId="3" xfId="0" quotePrefix="1" applyFont="1" applyBorder="1" applyAlignment="1" applyProtection="1">
      <alignment vertical="center" wrapText="1"/>
      <protection locked="0"/>
    </xf>
    <xf numFmtId="0" fontId="15" fillId="0" borderId="1" xfId="0" quotePrefix="1" applyFont="1" applyBorder="1" applyAlignment="1" applyProtection="1">
      <alignment vertical="center" wrapText="1"/>
      <protection locked="0"/>
    </xf>
    <xf numFmtId="0" fontId="15" fillId="0" borderId="2" xfId="0" quotePrefix="1" applyFont="1" applyBorder="1" applyAlignment="1" applyProtection="1">
      <alignment vertical="center" wrapText="1"/>
      <protection locked="0"/>
    </xf>
    <xf numFmtId="0" fontId="15" fillId="0" borderId="3" xfId="0" quotePrefix="1" applyFont="1" applyBorder="1" applyAlignment="1" applyProtection="1">
      <alignment vertical="center" wrapText="1"/>
      <protection locked="0"/>
    </xf>
    <xf numFmtId="43" fontId="15" fillId="0" borderId="6" xfId="1" applyFont="1" applyBorder="1" applyAlignment="1" applyProtection="1">
      <alignment vertical="center"/>
      <protection locked="0"/>
    </xf>
    <xf numFmtId="0" fontId="20" fillId="0" borderId="1" xfId="0" applyFont="1" applyBorder="1" applyAlignment="1" applyProtection="1">
      <alignment vertical="center" wrapText="1"/>
      <protection locked="0"/>
    </xf>
    <xf numFmtId="0" fontId="20" fillId="0" borderId="2" xfId="0" applyFont="1" applyBorder="1" applyAlignment="1" applyProtection="1">
      <alignment vertical="center" wrapText="1"/>
      <protection locked="0"/>
    </xf>
    <xf numFmtId="0" fontId="20" fillId="0" borderId="3" xfId="0" applyFont="1" applyBorder="1" applyAlignment="1" applyProtection="1">
      <alignment vertical="center" wrapText="1"/>
      <protection locked="0"/>
    </xf>
    <xf numFmtId="0" fontId="15" fillId="0" borderId="6" xfId="0" quotePrefix="1" applyFont="1" applyBorder="1" applyAlignment="1" applyProtection="1">
      <alignment vertical="center" wrapText="1"/>
      <protection locked="0"/>
    </xf>
    <xf numFmtId="167" fontId="15" fillId="0" borderId="6" xfId="1" applyNumberFormat="1" applyFont="1" applyBorder="1" applyAlignment="1" applyProtection="1">
      <alignment vertical="center"/>
      <protection locked="0"/>
    </xf>
    <xf numFmtId="0" fontId="20" fillId="0" borderId="1" xfId="0" applyFont="1" applyBorder="1" applyAlignment="1" applyProtection="1">
      <alignment vertical="center"/>
      <protection locked="0"/>
    </xf>
    <xf numFmtId="0" fontId="20" fillId="0" borderId="2" xfId="0" applyFont="1" applyBorder="1" applyAlignment="1" applyProtection="1">
      <alignment vertical="center"/>
      <protection locked="0"/>
    </xf>
    <xf numFmtId="0" fontId="20" fillId="0" borderId="3" xfId="0" applyFont="1" applyBorder="1" applyAlignment="1" applyProtection="1">
      <alignment vertical="center"/>
      <protection locked="0"/>
    </xf>
    <xf numFmtId="0" fontId="15" fillId="3" borderId="1" xfId="0" applyFont="1" applyFill="1" applyBorder="1" applyAlignment="1" applyProtection="1">
      <alignment vertical="center"/>
      <protection locked="0"/>
    </xf>
    <xf numFmtId="0" fontId="15" fillId="3" borderId="2" xfId="0" applyFont="1" applyFill="1" applyBorder="1" applyAlignment="1" applyProtection="1">
      <alignment vertical="center"/>
      <protection locked="0"/>
    </xf>
    <xf numFmtId="0" fontId="15" fillId="3" borderId="3" xfId="0" applyFont="1" applyFill="1" applyBorder="1" applyAlignment="1" applyProtection="1">
      <alignment vertical="center"/>
      <protection locked="0"/>
    </xf>
    <xf numFmtId="0" fontId="15" fillId="3" borderId="6" xfId="0" applyFont="1" applyFill="1" applyBorder="1" applyAlignment="1" applyProtection="1">
      <alignment horizontal="center" vertical="center"/>
      <protection locked="0"/>
    </xf>
    <xf numFmtId="0" fontId="15" fillId="0" borderId="20" xfId="0" applyFont="1" applyBorder="1" applyAlignment="1" applyProtection="1">
      <alignment vertical="center"/>
      <protection hidden="1"/>
    </xf>
    <xf numFmtId="0" fontId="20" fillId="0" borderId="37" xfId="0" applyFont="1" applyBorder="1"/>
    <xf numFmtId="0" fontId="20" fillId="0" borderId="38" xfId="0" applyFont="1" applyBorder="1"/>
    <xf numFmtId="0" fontId="20" fillId="0" borderId="33" xfId="0" applyFont="1" applyBorder="1"/>
    <xf numFmtId="0" fontId="43" fillId="0" borderId="0" xfId="0" applyFont="1" applyAlignment="1">
      <alignment horizontal="left" vertical="top" wrapText="1"/>
    </xf>
    <xf numFmtId="0" fontId="43" fillId="0" borderId="0" xfId="0" applyFont="1" applyAlignment="1">
      <alignment horizontal="left" vertical="top"/>
    </xf>
    <xf numFmtId="0" fontId="15" fillId="3" borderId="37" xfId="0" applyFont="1" applyFill="1" applyBorder="1" applyAlignment="1">
      <alignment horizontal="center" vertical="center"/>
    </xf>
    <xf numFmtId="0" fontId="20" fillId="0" borderId="37" xfId="0" applyFont="1" applyBorder="1" applyAlignment="1">
      <alignment horizontal="left" vertical="center" wrapText="1"/>
    </xf>
    <xf numFmtId="0" fontId="15" fillId="9" borderId="6" xfId="0" applyFont="1" applyFill="1" applyBorder="1" applyAlignment="1">
      <alignment horizontal="center" vertical="center"/>
    </xf>
    <xf numFmtId="0" fontId="15" fillId="3" borderId="36" xfId="0" applyFont="1" applyFill="1" applyBorder="1" applyAlignment="1">
      <alignment horizontal="center" vertical="center"/>
    </xf>
    <xf numFmtId="0" fontId="13" fillId="0" borderId="15" xfId="0" applyFont="1" applyBorder="1" applyAlignment="1" applyProtection="1">
      <alignment horizontal="left" vertical="top"/>
      <protection locked="0"/>
    </xf>
    <xf numFmtId="0" fontId="13" fillId="0" borderId="8" xfId="0" applyFont="1" applyBorder="1" applyAlignment="1" applyProtection="1">
      <alignment horizontal="left" vertical="top"/>
      <protection locked="0"/>
    </xf>
    <xf numFmtId="0" fontId="13" fillId="0" borderId="9" xfId="0" applyFont="1" applyBorder="1" applyAlignment="1" applyProtection="1">
      <alignment horizontal="left" vertical="top"/>
      <protection locked="0"/>
    </xf>
    <xf numFmtId="0" fontId="13" fillId="0" borderId="4" xfId="0" applyFont="1" applyBorder="1" applyAlignment="1" applyProtection="1">
      <alignment horizontal="left" vertical="top"/>
      <protection locked="0"/>
    </xf>
    <xf numFmtId="0" fontId="13" fillId="0" borderId="0" xfId="0" applyFont="1" applyAlignment="1" applyProtection="1">
      <alignment horizontal="left" vertical="top"/>
      <protection locked="0"/>
    </xf>
    <xf numFmtId="0" fontId="13" fillId="0" borderId="17" xfId="0" applyFont="1" applyBorder="1" applyAlignment="1" applyProtection="1">
      <alignment horizontal="left" vertical="top"/>
      <protection locked="0"/>
    </xf>
    <xf numFmtId="0" fontId="13" fillId="0" borderId="10" xfId="0" applyFont="1" applyBorder="1" applyAlignment="1" applyProtection="1">
      <alignment horizontal="left" vertical="top"/>
      <protection locked="0"/>
    </xf>
    <xf numFmtId="0" fontId="13" fillId="0" borderId="11" xfId="0" applyFont="1" applyBorder="1" applyAlignment="1" applyProtection="1">
      <alignment horizontal="left" vertical="top"/>
      <protection locked="0"/>
    </xf>
    <xf numFmtId="0" fontId="13" fillId="0" borderId="12" xfId="0" applyFont="1" applyBorder="1" applyAlignment="1" applyProtection="1">
      <alignment horizontal="left" vertical="top"/>
      <protection locked="0"/>
    </xf>
    <xf numFmtId="0" fontId="20" fillId="0" borderId="1" xfId="0" applyFont="1" applyBorder="1" applyAlignment="1" applyProtection="1">
      <alignment horizontal="left" vertical="top" wrapText="1"/>
      <protection locked="0"/>
    </xf>
    <xf numFmtId="0" fontId="20" fillId="0" borderId="2" xfId="0" applyFont="1" applyBorder="1" applyAlignment="1" applyProtection="1">
      <alignment horizontal="left" vertical="top" wrapText="1"/>
      <protection locked="0"/>
    </xf>
    <xf numFmtId="0" fontId="20" fillId="0" borderId="3" xfId="0" applyFont="1" applyBorder="1" applyAlignment="1" applyProtection="1">
      <alignment horizontal="left" vertical="top" wrapText="1"/>
      <protection locked="0"/>
    </xf>
    <xf numFmtId="0" fontId="15" fillId="10" borderId="1" xfId="0" applyFont="1" applyFill="1" applyBorder="1" applyAlignment="1" applyProtection="1">
      <alignment horizontal="center" vertical="center" wrapText="1"/>
      <protection locked="0"/>
    </xf>
    <xf numFmtId="0" fontId="15" fillId="10" borderId="2" xfId="0" applyFont="1" applyFill="1" applyBorder="1" applyAlignment="1" applyProtection="1">
      <alignment horizontal="center" vertical="center" wrapText="1"/>
      <protection locked="0"/>
    </xf>
    <xf numFmtId="0" fontId="15" fillId="10" borderId="3" xfId="0" applyFont="1" applyFill="1" applyBorder="1" applyAlignment="1" applyProtection="1">
      <alignment horizontal="center" vertical="center" wrapText="1"/>
      <protection locked="0"/>
    </xf>
    <xf numFmtId="0" fontId="20" fillId="0" borderId="2" xfId="0" applyFont="1" applyBorder="1" applyAlignment="1" applyProtection="1">
      <alignment horizontal="left" vertical="top"/>
      <protection locked="0"/>
    </xf>
    <xf numFmtId="0" fontId="20" fillId="0" borderId="3" xfId="0" applyFont="1" applyBorder="1" applyAlignment="1" applyProtection="1">
      <alignment horizontal="left" vertical="top"/>
      <protection locked="0"/>
    </xf>
    <xf numFmtId="0" fontId="20" fillId="0" borderId="1" xfId="0" applyFont="1" applyBorder="1" applyAlignment="1" applyProtection="1">
      <alignment horizontal="left" vertical="top"/>
      <protection locked="0"/>
    </xf>
    <xf numFmtId="0" fontId="20" fillId="0" borderId="15" xfId="0" applyFont="1" applyBorder="1" applyAlignment="1" applyProtection="1">
      <alignment horizontal="left" vertical="top"/>
      <protection locked="0"/>
    </xf>
    <xf numFmtId="0" fontId="20" fillId="0" borderId="8" xfId="0" applyFont="1" applyBorder="1" applyAlignment="1" applyProtection="1">
      <alignment horizontal="left" vertical="top"/>
      <protection locked="0"/>
    </xf>
    <xf numFmtId="0" fontId="20" fillId="0" borderId="9" xfId="0" applyFont="1" applyBorder="1" applyAlignment="1" applyProtection="1">
      <alignment horizontal="left" vertical="top"/>
      <protection locked="0"/>
    </xf>
    <xf numFmtId="0" fontId="20" fillId="0" borderId="4" xfId="0" applyFont="1" applyBorder="1" applyAlignment="1" applyProtection="1">
      <alignment horizontal="left" vertical="top"/>
      <protection locked="0"/>
    </xf>
    <xf numFmtId="0" fontId="20" fillId="0" borderId="0" xfId="0" applyFont="1" applyAlignment="1" applyProtection="1">
      <alignment horizontal="left" vertical="top"/>
      <protection locked="0"/>
    </xf>
    <xf numFmtId="0" fontId="20" fillId="0" borderId="17" xfId="0" applyFont="1" applyBorder="1" applyAlignment="1" applyProtection="1">
      <alignment horizontal="left" vertical="top"/>
      <protection locked="0"/>
    </xf>
    <xf numFmtId="0" fontId="20" fillId="0" borderId="10" xfId="0" applyFont="1" applyBorder="1" applyAlignment="1" applyProtection="1">
      <alignment horizontal="left" vertical="top"/>
      <protection locked="0"/>
    </xf>
    <xf numFmtId="0" fontId="20" fillId="0" borderId="11" xfId="0" applyFont="1" applyBorder="1" applyAlignment="1" applyProtection="1">
      <alignment horizontal="left" vertical="top"/>
      <protection locked="0"/>
    </xf>
    <xf numFmtId="0" fontId="20" fillId="0" borderId="12" xfId="0" applyFont="1" applyBorder="1" applyAlignment="1" applyProtection="1">
      <alignment horizontal="left" vertical="top"/>
      <protection locked="0"/>
    </xf>
    <xf numFmtId="0" fontId="15" fillId="3" borderId="1"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3" borderId="3" xfId="0" applyFont="1" applyFill="1" applyBorder="1" applyAlignment="1" applyProtection="1">
      <alignment horizontal="center" vertical="center"/>
      <protection locked="0"/>
    </xf>
    <xf numFmtId="0" fontId="20" fillId="0" borderId="15" xfId="0" quotePrefix="1" applyFont="1" applyBorder="1" applyAlignment="1" applyProtection="1">
      <alignment horizontal="left" vertical="top" wrapText="1"/>
      <protection locked="0"/>
    </xf>
    <xf numFmtId="0" fontId="20" fillId="0" borderId="8" xfId="0" quotePrefix="1" applyFont="1" applyBorder="1" applyAlignment="1" applyProtection="1">
      <alignment horizontal="left" vertical="top" wrapText="1"/>
      <protection locked="0"/>
    </xf>
    <xf numFmtId="0" fontId="20" fillId="0" borderId="9" xfId="0" quotePrefix="1" applyFont="1" applyBorder="1" applyAlignment="1" applyProtection="1">
      <alignment horizontal="left" vertical="top" wrapText="1"/>
      <protection locked="0"/>
    </xf>
    <xf numFmtId="0" fontId="20" fillId="0" borderId="4" xfId="0" quotePrefix="1" applyFont="1" applyBorder="1" applyAlignment="1" applyProtection="1">
      <alignment horizontal="left" vertical="top" wrapText="1"/>
      <protection locked="0"/>
    </xf>
    <xf numFmtId="0" fontId="20" fillId="0" borderId="0" xfId="0" quotePrefix="1" applyFont="1" applyAlignment="1" applyProtection="1">
      <alignment horizontal="left" vertical="top" wrapText="1"/>
      <protection locked="0"/>
    </xf>
    <xf numFmtId="0" fontId="20" fillId="0" borderId="17" xfId="0" quotePrefix="1" applyFont="1" applyBorder="1" applyAlignment="1" applyProtection="1">
      <alignment horizontal="left" vertical="top" wrapText="1"/>
      <protection locked="0"/>
    </xf>
    <xf numFmtId="0" fontId="20" fillId="0" borderId="10" xfId="0" quotePrefix="1" applyFont="1" applyBorder="1" applyAlignment="1" applyProtection="1">
      <alignment horizontal="left" vertical="top" wrapText="1"/>
      <protection locked="0"/>
    </xf>
    <xf numFmtId="0" fontId="20" fillId="0" borderId="11" xfId="0" quotePrefix="1" applyFont="1" applyBorder="1" applyAlignment="1" applyProtection="1">
      <alignment horizontal="left" vertical="top" wrapText="1"/>
      <protection locked="0"/>
    </xf>
    <xf numFmtId="0" fontId="20" fillId="0" borderId="12" xfId="0" quotePrefix="1" applyFont="1" applyBorder="1" applyAlignment="1" applyProtection="1">
      <alignment horizontal="left" vertical="top" wrapText="1"/>
      <protection locked="0"/>
    </xf>
    <xf numFmtId="0" fontId="15" fillId="0" borderId="15" xfId="0" applyFont="1" applyBorder="1" applyAlignment="1" applyProtection="1">
      <alignment horizontal="left" vertical="top"/>
      <protection locked="0"/>
    </xf>
    <xf numFmtId="0" fontId="15" fillId="0" borderId="8" xfId="0" applyFont="1" applyBorder="1" applyAlignment="1" applyProtection="1">
      <alignment horizontal="left" vertical="top"/>
      <protection locked="0"/>
    </xf>
    <xf numFmtId="0" fontId="15" fillId="0" borderId="9" xfId="0" applyFont="1" applyBorder="1" applyAlignment="1" applyProtection="1">
      <alignment horizontal="left" vertical="top"/>
      <protection locked="0"/>
    </xf>
    <xf numFmtId="0" fontId="15" fillId="0" borderId="4" xfId="0" applyFont="1" applyBorder="1" applyAlignment="1" applyProtection="1">
      <alignment horizontal="left" vertical="top"/>
      <protection locked="0"/>
    </xf>
    <xf numFmtId="0" fontId="15" fillId="0" borderId="0" xfId="0" applyFont="1" applyAlignment="1" applyProtection="1">
      <alignment horizontal="left" vertical="top"/>
      <protection locked="0"/>
    </xf>
    <xf numFmtId="0" fontId="15" fillId="0" borderId="17" xfId="0" applyFont="1" applyBorder="1" applyAlignment="1" applyProtection="1">
      <alignment horizontal="left" vertical="top"/>
      <protection locked="0"/>
    </xf>
    <xf numFmtId="0" fontId="15" fillId="0" borderId="10" xfId="0" applyFont="1" applyBorder="1" applyAlignment="1" applyProtection="1">
      <alignment horizontal="left" vertical="top"/>
      <protection locked="0"/>
    </xf>
    <xf numFmtId="0" fontId="15" fillId="0" borderId="11" xfId="0" applyFont="1" applyBorder="1" applyAlignment="1" applyProtection="1">
      <alignment horizontal="left" vertical="top"/>
      <protection locked="0"/>
    </xf>
    <xf numFmtId="0" fontId="15" fillId="0" borderId="12" xfId="0" applyFont="1" applyBorder="1" applyAlignment="1" applyProtection="1">
      <alignment horizontal="left" vertical="top"/>
      <protection locked="0"/>
    </xf>
    <xf numFmtId="43" fontId="27" fillId="0" borderId="32" xfId="1" applyFont="1" applyBorder="1" applyProtection="1">
      <protection hidden="1"/>
    </xf>
    <xf numFmtId="43" fontId="33" fillId="9" borderId="6" xfId="1" applyFont="1" applyFill="1" applyBorder="1" applyProtection="1">
      <protection hidden="1"/>
    </xf>
    <xf numFmtId="43" fontId="27" fillId="9" borderId="6" xfId="1" applyFont="1" applyFill="1" applyBorder="1" applyProtection="1">
      <protection hidden="1"/>
    </xf>
    <xf numFmtId="0" fontId="24" fillId="0" borderId="15" xfId="6" applyFont="1" applyBorder="1" applyAlignment="1" applyProtection="1">
      <alignment horizontal="center" vertical="top" wrapText="1"/>
      <protection locked="0"/>
    </xf>
    <xf numFmtId="0" fontId="24" fillId="0" borderId="8" xfId="6" applyFont="1" applyBorder="1" applyAlignment="1" applyProtection="1">
      <alignment horizontal="center" vertical="top" wrapText="1"/>
      <protection locked="0"/>
    </xf>
    <xf numFmtId="0" fontId="24" fillId="0" borderId="9" xfId="6" applyFont="1" applyBorder="1" applyAlignment="1" applyProtection="1">
      <alignment horizontal="center" vertical="top" wrapText="1"/>
      <protection locked="0"/>
    </xf>
    <xf numFmtId="0" fontId="24" fillId="0" borderId="4" xfId="6" applyFont="1" applyBorder="1" applyAlignment="1" applyProtection="1">
      <alignment horizontal="center" vertical="top" wrapText="1"/>
      <protection locked="0"/>
    </xf>
    <xf numFmtId="0" fontId="24" fillId="0" borderId="0" xfId="6" applyFont="1" applyAlignment="1" applyProtection="1">
      <alignment horizontal="center" vertical="top" wrapText="1"/>
      <protection locked="0"/>
    </xf>
    <xf numFmtId="0" fontId="24" fillId="0" borderId="17" xfId="6" applyFont="1" applyBorder="1" applyAlignment="1" applyProtection="1">
      <alignment horizontal="center" vertical="top" wrapText="1"/>
      <protection locked="0"/>
    </xf>
    <xf numFmtId="0" fontId="24" fillId="0" borderId="10" xfId="6" applyFont="1" applyBorder="1" applyAlignment="1" applyProtection="1">
      <alignment horizontal="center" vertical="top" wrapText="1"/>
      <protection locked="0"/>
    </xf>
    <xf numFmtId="0" fontId="24" fillId="0" borderId="11" xfId="6" applyFont="1" applyBorder="1" applyAlignment="1" applyProtection="1">
      <alignment horizontal="center" vertical="top" wrapText="1"/>
      <protection locked="0"/>
    </xf>
    <xf numFmtId="0" fontId="24" fillId="0" borderId="12" xfId="6" applyFont="1" applyBorder="1" applyAlignment="1" applyProtection="1">
      <alignment horizontal="center" vertical="top" wrapText="1"/>
      <protection locked="0"/>
    </xf>
    <xf numFmtId="0" fontId="24" fillId="0" borderId="6" xfId="6" applyFont="1" applyBorder="1" applyAlignment="1" applyProtection="1">
      <alignment horizontal="center" vertical="center" wrapText="1"/>
      <protection locked="0"/>
    </xf>
    <xf numFmtId="0" fontId="24" fillId="0" borderId="6" xfId="6" applyFont="1" applyBorder="1" applyAlignment="1" applyProtection="1">
      <alignment horizontal="center" vertical="center"/>
      <protection locked="0"/>
    </xf>
    <xf numFmtId="0" fontId="32" fillId="0" borderId="6" xfId="6" applyFont="1" applyBorder="1" applyAlignment="1" applyProtection="1">
      <alignment horizontal="center" vertical="center" wrapText="1"/>
      <protection locked="0"/>
    </xf>
    <xf numFmtId="0" fontId="32" fillId="0" borderId="0" xfId="6" applyFont="1" applyAlignment="1" applyProtection="1">
      <alignment horizontal="center" vertical="center" wrapText="1"/>
      <protection locked="0"/>
    </xf>
    <xf numFmtId="0" fontId="32" fillId="0" borderId="0" xfId="6" applyFont="1" applyAlignment="1" applyProtection="1">
      <alignment horizontal="center" vertical="center"/>
      <protection locked="0"/>
    </xf>
    <xf numFmtId="0" fontId="32" fillId="0" borderId="39" xfId="6" applyFont="1" applyBorder="1" applyAlignment="1" applyProtection="1">
      <alignment horizontal="left" vertical="top" wrapText="1"/>
      <protection locked="0"/>
    </xf>
    <xf numFmtId="0" fontId="32" fillId="0" borderId="40" xfId="6" applyFont="1" applyBorder="1" applyAlignment="1" applyProtection="1">
      <alignment horizontal="left" vertical="top"/>
      <protection locked="0"/>
    </xf>
    <xf numFmtId="0" fontId="32" fillId="0" borderId="41" xfId="6" applyFont="1" applyBorder="1" applyAlignment="1" applyProtection="1">
      <alignment horizontal="left" vertical="top"/>
      <protection locked="0"/>
    </xf>
    <xf numFmtId="0" fontId="32" fillId="0" borderId="6" xfId="6" applyFont="1" applyBorder="1" applyAlignment="1" applyProtection="1">
      <alignment horizontal="center" vertical="center"/>
      <protection locked="0"/>
    </xf>
    <xf numFmtId="0" fontId="15" fillId="0" borderId="18" xfId="0" applyFont="1" applyBorder="1" applyAlignment="1" applyProtection="1">
      <alignment vertical="center"/>
      <protection hidden="1"/>
    </xf>
    <xf numFmtId="0" fontId="24" fillId="0" borderId="15" xfId="6" applyFont="1" applyBorder="1" applyAlignment="1" applyProtection="1">
      <alignment horizontal="left" vertical="top" wrapText="1"/>
      <protection locked="0"/>
    </xf>
    <xf numFmtId="0" fontId="24" fillId="0" borderId="8" xfId="6" applyFont="1" applyBorder="1" applyAlignment="1" applyProtection="1">
      <alignment horizontal="left" vertical="top" wrapText="1"/>
      <protection locked="0"/>
    </xf>
    <xf numFmtId="0" fontId="24" fillId="0" borderId="9" xfId="6" applyFont="1" applyBorder="1" applyAlignment="1" applyProtection="1">
      <alignment horizontal="left" vertical="top" wrapText="1"/>
      <protection locked="0"/>
    </xf>
    <xf numFmtId="0" fontId="24" fillId="0" borderId="4" xfId="6" applyFont="1" applyBorder="1" applyAlignment="1" applyProtection="1">
      <alignment horizontal="left" vertical="top" wrapText="1"/>
      <protection locked="0"/>
    </xf>
    <xf numFmtId="0" fontId="24" fillId="0" borderId="0" xfId="6" applyFont="1" applyAlignment="1" applyProtection="1">
      <alignment horizontal="left" vertical="top" wrapText="1"/>
      <protection locked="0"/>
    </xf>
    <xf numFmtId="0" fontId="24" fillId="0" borderId="17" xfId="6" applyFont="1" applyBorder="1" applyAlignment="1" applyProtection="1">
      <alignment horizontal="left" vertical="top" wrapText="1"/>
      <protection locked="0"/>
    </xf>
    <xf numFmtId="0" fontId="24" fillId="0" borderId="10" xfId="6" applyFont="1" applyBorder="1" applyAlignment="1" applyProtection="1">
      <alignment horizontal="left" vertical="top" wrapText="1"/>
      <protection locked="0"/>
    </xf>
    <xf numFmtId="0" fontId="24" fillId="0" borderId="11" xfId="6" applyFont="1" applyBorder="1" applyAlignment="1" applyProtection="1">
      <alignment horizontal="left" vertical="top" wrapText="1"/>
      <protection locked="0"/>
    </xf>
    <xf numFmtId="0" fontId="24" fillId="0" borderId="12" xfId="6" applyFont="1" applyBorder="1" applyAlignment="1" applyProtection="1">
      <alignment horizontal="left" vertical="top" wrapText="1"/>
      <protection locked="0"/>
    </xf>
    <xf numFmtId="0" fontId="24" fillId="0" borderId="7" xfId="6" applyFont="1" applyBorder="1" applyAlignment="1" applyProtection="1">
      <alignment horizontal="center" vertical="center" wrapText="1"/>
      <protection locked="0"/>
    </xf>
    <xf numFmtId="0" fontId="24" fillId="0" borderId="16" xfId="6" applyFont="1" applyBorder="1" applyAlignment="1" applyProtection="1">
      <alignment horizontal="center" vertical="center" wrapText="1"/>
      <protection locked="0"/>
    </xf>
    <xf numFmtId="0" fontId="24" fillId="0" borderId="5" xfId="6" applyFont="1" applyBorder="1" applyAlignment="1" applyProtection="1">
      <alignment horizontal="center" vertical="center" wrapText="1"/>
      <protection locked="0"/>
    </xf>
    <xf numFmtId="0" fontId="24" fillId="0" borderId="16" xfId="6" applyFont="1" applyBorder="1" applyAlignment="1" applyProtection="1">
      <alignment horizontal="center" vertical="center"/>
      <protection locked="0"/>
    </xf>
    <xf numFmtId="0" fontId="24" fillId="0" borderId="5" xfId="6" applyFont="1" applyBorder="1" applyAlignment="1" applyProtection="1">
      <alignment horizontal="center" vertical="center"/>
      <protection locked="0"/>
    </xf>
    <xf numFmtId="0" fontId="24" fillId="0" borderId="15" xfId="6" applyFont="1" applyBorder="1" applyAlignment="1" applyProtection="1">
      <alignment horizontal="center" vertical="center" wrapText="1"/>
      <protection locked="0"/>
    </xf>
    <xf numFmtId="0" fontId="24" fillId="0" borderId="4" xfId="6" applyFont="1" applyBorder="1" applyAlignment="1" applyProtection="1">
      <alignment horizontal="center" vertical="center" wrapText="1"/>
      <protection locked="0"/>
    </xf>
    <xf numFmtId="0" fontId="24" fillId="0" borderId="10" xfId="6" applyFont="1" applyBorder="1" applyAlignment="1" applyProtection="1">
      <alignment horizontal="center" vertical="center" wrapText="1"/>
      <protection locked="0"/>
    </xf>
    <xf numFmtId="0" fontId="32" fillId="0" borderId="7" xfId="6" applyFont="1" applyBorder="1" applyAlignment="1" applyProtection="1">
      <alignment horizontal="center" vertical="center" wrapText="1"/>
      <protection locked="0"/>
    </xf>
    <xf numFmtId="0" fontId="32" fillId="0" borderId="16" xfId="6" applyFont="1" applyBorder="1" applyAlignment="1" applyProtection="1">
      <alignment horizontal="center" vertical="center" wrapText="1"/>
      <protection locked="0"/>
    </xf>
    <xf numFmtId="0" fontId="32" fillId="0" borderId="5" xfId="6" applyFont="1" applyBorder="1" applyAlignment="1" applyProtection="1">
      <alignment horizontal="center" vertical="center" wrapText="1"/>
      <protection locked="0"/>
    </xf>
    <xf numFmtId="0" fontId="24" fillId="0" borderId="1" xfId="6" applyFont="1" applyBorder="1" applyAlignment="1" applyProtection="1">
      <alignment horizontal="center"/>
      <protection locked="0"/>
    </xf>
    <xf numFmtId="0" fontId="24" fillId="0" borderId="2" xfId="6" applyFont="1" applyBorder="1" applyAlignment="1" applyProtection="1">
      <alignment horizontal="center"/>
      <protection locked="0"/>
    </xf>
    <xf numFmtId="0" fontId="24" fillId="0" borderId="3" xfId="6" applyFont="1" applyBorder="1" applyAlignment="1" applyProtection="1">
      <alignment horizontal="center"/>
      <protection locked="0"/>
    </xf>
    <xf numFmtId="0" fontId="15" fillId="9" borderId="6" xfId="0" applyFont="1" applyFill="1" applyBorder="1" applyProtection="1">
      <protection locked="0"/>
    </xf>
    <xf numFmtId="166" fontId="43" fillId="9" borderId="6" xfId="1" applyNumberFormat="1" applyFont="1" applyFill="1" applyBorder="1" applyAlignment="1" applyProtection="1">
      <alignment vertical="center"/>
      <protection hidden="1"/>
    </xf>
    <xf numFmtId="14" fontId="15" fillId="10" borderId="10" xfId="0" applyNumberFormat="1" applyFont="1" applyFill="1" applyBorder="1" applyAlignment="1">
      <alignment horizontal="center" vertical="center"/>
    </xf>
    <xf numFmtId="14" fontId="15" fillId="10" borderId="11" xfId="0" applyNumberFormat="1" applyFont="1" applyFill="1" applyBorder="1" applyAlignment="1">
      <alignment horizontal="center" vertical="center"/>
    </xf>
    <xf numFmtId="166" fontId="43" fillId="0" borderId="6" xfId="1" applyNumberFormat="1" applyFont="1" applyBorder="1" applyAlignment="1" applyProtection="1">
      <alignment vertical="center"/>
      <protection hidden="1"/>
    </xf>
    <xf numFmtId="166" fontId="43" fillId="0" borderId="1" xfId="1" applyNumberFormat="1" applyFont="1" applyBorder="1" applyAlignment="1" applyProtection="1">
      <alignment vertical="center"/>
      <protection hidden="1"/>
    </xf>
    <xf numFmtId="166" fontId="43" fillId="0" borderId="3" xfId="1" applyNumberFormat="1" applyFont="1" applyBorder="1" applyAlignment="1" applyProtection="1">
      <alignment vertical="center"/>
      <protection hidden="1"/>
    </xf>
    <xf numFmtId="166" fontId="46" fillId="9" borderId="6" xfId="1" applyNumberFormat="1" applyFont="1" applyFill="1" applyBorder="1" applyAlignment="1" applyProtection="1">
      <alignment vertical="center"/>
      <protection hidden="1"/>
    </xf>
    <xf numFmtId="166" fontId="46" fillId="9" borderId="1" xfId="1" applyNumberFormat="1" applyFont="1" applyFill="1" applyBorder="1" applyAlignment="1" applyProtection="1">
      <alignment vertical="center"/>
      <protection hidden="1"/>
    </xf>
    <xf numFmtId="166" fontId="46" fillId="9" borderId="3" xfId="1" applyNumberFormat="1" applyFont="1" applyFill="1" applyBorder="1" applyAlignment="1" applyProtection="1">
      <alignment vertical="center"/>
      <protection hidden="1"/>
    </xf>
    <xf numFmtId="0" fontId="15" fillId="10" borderId="15" xfId="0" applyFont="1" applyFill="1" applyBorder="1" applyAlignment="1" applyProtection="1">
      <alignment horizontal="center" vertical="center"/>
      <protection locked="0"/>
    </xf>
    <xf numFmtId="0" fontId="15" fillId="10" borderId="8" xfId="0" applyFont="1" applyFill="1" applyBorder="1" applyAlignment="1" applyProtection="1">
      <alignment horizontal="center" vertical="center"/>
      <protection locked="0"/>
    </xf>
    <xf numFmtId="0" fontId="15" fillId="10" borderId="9" xfId="0" applyFont="1" applyFill="1" applyBorder="1" applyAlignment="1" applyProtection="1">
      <alignment horizontal="center" vertical="center"/>
      <protection locked="0"/>
    </xf>
    <xf numFmtId="0" fontId="15" fillId="10" borderId="10" xfId="0" applyFont="1" applyFill="1" applyBorder="1" applyAlignment="1" applyProtection="1">
      <alignment horizontal="center" vertical="center"/>
      <protection locked="0"/>
    </xf>
    <xf numFmtId="0" fontId="15" fillId="10" borderId="11" xfId="0" applyFont="1" applyFill="1" applyBorder="1" applyAlignment="1" applyProtection="1">
      <alignment horizontal="center" vertical="center"/>
      <protection locked="0"/>
    </xf>
    <xf numFmtId="0" fontId="15" fillId="10" borderId="12" xfId="0" applyFont="1" applyFill="1" applyBorder="1" applyAlignment="1" applyProtection="1">
      <alignment horizontal="center" vertical="center"/>
      <protection locked="0"/>
    </xf>
    <xf numFmtId="0" fontId="15" fillId="10" borderId="15" xfId="0" applyFont="1" applyFill="1" applyBorder="1" applyAlignment="1" applyProtection="1">
      <alignment horizontal="center"/>
      <protection locked="0"/>
    </xf>
    <xf numFmtId="0" fontId="15" fillId="10" borderId="9" xfId="0" applyFont="1" applyFill="1" applyBorder="1" applyAlignment="1" applyProtection="1">
      <alignment horizontal="center"/>
      <protection locked="0"/>
    </xf>
    <xf numFmtId="0" fontId="15" fillId="10" borderId="8" xfId="0" applyFont="1" applyFill="1" applyBorder="1" applyAlignment="1" applyProtection="1">
      <alignment horizontal="center"/>
      <protection locked="0"/>
    </xf>
    <xf numFmtId="0" fontId="15" fillId="10" borderId="6" xfId="0" applyFont="1" applyFill="1" applyBorder="1" applyAlignment="1" applyProtection="1">
      <alignment horizontal="center" vertical="center"/>
      <protection locked="0"/>
    </xf>
    <xf numFmtId="14" fontId="15" fillId="10" borderId="12" xfId="0" applyNumberFormat="1" applyFont="1" applyFill="1" applyBorder="1" applyAlignment="1">
      <alignment horizontal="center" vertical="center"/>
    </xf>
    <xf numFmtId="14" fontId="15" fillId="0" borderId="14" xfId="0" applyNumberFormat="1" applyFont="1" applyBorder="1" applyAlignment="1" applyProtection="1">
      <alignment horizontal="center" vertical="center"/>
      <protection hidden="1"/>
    </xf>
    <xf numFmtId="0" fontId="15" fillId="0" borderId="13" xfId="0" applyFont="1" applyBorder="1" applyAlignment="1" applyProtection="1">
      <alignment horizontal="center" vertical="center"/>
      <protection hidden="1"/>
    </xf>
    <xf numFmtId="0" fontId="15" fillId="0" borderId="14" xfId="0" applyFont="1" applyBorder="1" applyAlignment="1" applyProtection="1">
      <alignment horizontal="center" vertical="center"/>
      <protection hidden="1"/>
    </xf>
    <xf numFmtId="43" fontId="46" fillId="9" borderId="1" xfId="1" applyFont="1" applyFill="1" applyBorder="1" applyAlignment="1" applyProtection="1">
      <protection hidden="1"/>
    </xf>
    <xf numFmtId="43" fontId="46" fillId="9" borderId="3" xfId="1" applyFont="1" applyFill="1" applyBorder="1" applyAlignment="1" applyProtection="1">
      <protection hidden="1"/>
    </xf>
    <xf numFmtId="43" fontId="46" fillId="9" borderId="6" xfId="1" applyFont="1" applyFill="1" applyBorder="1" applyAlignment="1" applyProtection="1">
      <alignment vertical="center"/>
      <protection hidden="1"/>
    </xf>
    <xf numFmtId="43" fontId="46" fillId="9" borderId="1" xfId="1" applyFont="1" applyFill="1" applyBorder="1" applyAlignment="1" applyProtection="1">
      <alignment vertical="center"/>
      <protection hidden="1"/>
    </xf>
    <xf numFmtId="43" fontId="46" fillId="9" borderId="3" xfId="1" applyFont="1" applyFill="1" applyBorder="1" applyAlignment="1" applyProtection="1">
      <alignment vertical="center"/>
      <protection hidden="1"/>
    </xf>
    <xf numFmtId="0" fontId="48" fillId="0" borderId="0" xfId="0" applyFont="1" applyAlignment="1" applyProtection="1">
      <alignment horizontal="left" vertical="top" wrapText="1"/>
      <protection hidden="1"/>
    </xf>
    <xf numFmtId="43" fontId="43" fillId="0" borderId="1" xfId="1" applyFont="1" applyBorder="1" applyAlignment="1" applyProtection="1">
      <protection hidden="1"/>
    </xf>
    <xf numFmtId="43" fontId="43" fillId="0" borderId="3" xfId="1" applyFont="1" applyBorder="1" applyAlignment="1" applyProtection="1">
      <protection hidden="1"/>
    </xf>
    <xf numFmtId="43" fontId="43" fillId="0" borderId="6" xfId="1" applyFont="1" applyBorder="1" applyAlignment="1" applyProtection="1">
      <alignment vertical="center"/>
      <protection hidden="1"/>
    </xf>
    <xf numFmtId="43" fontId="43" fillId="0" borderId="1" xfId="1" applyFont="1" applyBorder="1" applyAlignment="1" applyProtection="1">
      <alignment vertical="center"/>
      <protection hidden="1"/>
    </xf>
    <xf numFmtId="43" fontId="43" fillId="0" borderId="3" xfId="1" applyFont="1" applyBorder="1" applyAlignment="1" applyProtection="1">
      <alignment vertical="center"/>
      <protection hidden="1"/>
    </xf>
    <xf numFmtId="43" fontId="43" fillId="0" borderId="6" xfId="1" applyFont="1" applyBorder="1" applyAlignment="1" applyProtection="1">
      <protection hidden="1"/>
    </xf>
    <xf numFmtId="0" fontId="15" fillId="10" borderId="15" xfId="0" applyFont="1" applyFill="1" applyBorder="1" applyAlignment="1" applyProtection="1">
      <alignment horizontal="center" vertical="center" wrapText="1"/>
      <protection locked="0"/>
    </xf>
    <xf numFmtId="0" fontId="14" fillId="10" borderId="6" xfId="0" applyFont="1" applyFill="1" applyBorder="1" applyAlignment="1" applyProtection="1">
      <alignment horizontal="center" vertical="center"/>
      <protection locked="0"/>
    </xf>
    <xf numFmtId="0" fontId="15" fillId="0" borderId="47" xfId="0" applyFont="1" applyBorder="1" applyAlignment="1" applyProtection="1">
      <alignment horizontal="center" vertical="center"/>
      <protection hidden="1"/>
    </xf>
    <xf numFmtId="0" fontId="15" fillId="10" borderId="7" xfId="0" applyFont="1" applyFill="1" applyBorder="1" applyAlignment="1" applyProtection="1">
      <alignment horizontal="center" vertical="center" wrapText="1"/>
      <protection locked="0"/>
    </xf>
    <xf numFmtId="0" fontId="15" fillId="10" borderId="5" xfId="0" applyFont="1" applyFill="1" applyBorder="1" applyAlignment="1" applyProtection="1">
      <alignment horizontal="center" vertical="center" wrapText="1"/>
      <protection locked="0"/>
    </xf>
    <xf numFmtId="14" fontId="15" fillId="10" borderId="10" xfId="0" applyNumberFormat="1" applyFont="1" applyFill="1" applyBorder="1" applyAlignment="1" applyProtection="1">
      <alignment horizontal="center" vertical="center"/>
      <protection hidden="1"/>
    </xf>
    <xf numFmtId="14" fontId="15" fillId="10" borderId="11" xfId="0" applyNumberFormat="1" applyFont="1" applyFill="1" applyBorder="1" applyAlignment="1" applyProtection="1">
      <alignment horizontal="center" vertical="center"/>
      <protection hidden="1"/>
    </xf>
    <xf numFmtId="0" fontId="15" fillId="10" borderId="7" xfId="0" applyFont="1" applyFill="1" applyBorder="1" applyAlignment="1" applyProtection="1">
      <alignment horizontal="center" vertical="center"/>
      <protection locked="0"/>
    </xf>
    <xf numFmtId="0" fontId="15" fillId="10" borderId="5" xfId="0" applyFont="1" applyFill="1" applyBorder="1" applyAlignment="1" applyProtection="1">
      <alignment horizontal="center" vertical="center"/>
      <protection locked="0"/>
    </xf>
    <xf numFmtId="0" fontId="15" fillId="10" borderId="6" xfId="0" applyFont="1" applyFill="1" applyBorder="1" applyAlignment="1" applyProtection="1">
      <alignment horizontal="center" vertical="center" wrapText="1"/>
      <protection locked="0"/>
    </xf>
    <xf numFmtId="0" fontId="48" fillId="0" borderId="0" xfId="0" applyFont="1" applyAlignment="1" applyProtection="1">
      <alignment vertical="top" wrapText="1"/>
      <protection hidden="1"/>
    </xf>
    <xf numFmtId="0" fontId="20" fillId="0" borderId="6" xfId="0" applyFont="1" applyBorder="1" applyAlignment="1" applyProtection="1">
      <alignment vertical="center"/>
      <protection locked="0"/>
    </xf>
    <xf numFmtId="0" fontId="15" fillId="9" borderId="6" xfId="0" applyFont="1" applyFill="1" applyBorder="1" applyAlignment="1" applyProtection="1">
      <alignment vertical="center"/>
      <protection locked="0"/>
    </xf>
    <xf numFmtId="0" fontId="20" fillId="0" borderId="1" xfId="0" applyFont="1" applyBorder="1" applyAlignment="1" applyProtection="1">
      <alignment horizontal="left" vertical="center"/>
      <protection locked="0"/>
    </xf>
    <xf numFmtId="0" fontId="20" fillId="0" borderId="2" xfId="0" applyFont="1" applyBorder="1" applyAlignment="1" applyProtection="1">
      <alignment horizontal="left" vertical="center"/>
      <protection locked="0"/>
    </xf>
    <xf numFmtId="0" fontId="20" fillId="0" borderId="3" xfId="0" applyFont="1" applyBorder="1" applyAlignment="1" applyProtection="1">
      <alignment horizontal="left" vertical="center"/>
      <protection locked="0"/>
    </xf>
    <xf numFmtId="43" fontId="43" fillId="0" borderId="1" xfId="1" applyFont="1" applyBorder="1" applyAlignment="1" applyProtection="1">
      <alignment horizontal="center" vertical="center"/>
      <protection hidden="1"/>
    </xf>
    <xf numFmtId="43" fontId="43" fillId="0" borderId="3" xfId="1" applyFont="1" applyBorder="1" applyAlignment="1" applyProtection="1">
      <alignment horizontal="center" vertical="center"/>
      <protection hidden="1"/>
    </xf>
    <xf numFmtId="0" fontId="20" fillId="0" borderId="1" xfId="0" applyFont="1" applyBorder="1" applyProtection="1">
      <protection locked="0"/>
    </xf>
    <xf numFmtId="0" fontId="20" fillId="0" borderId="2" xfId="0" applyFont="1" applyBorder="1" applyProtection="1">
      <protection locked="0"/>
    </xf>
    <xf numFmtId="0" fontId="20" fillId="0" borderId="3" xfId="0" applyFont="1" applyBorder="1" applyProtection="1">
      <protection locked="0"/>
    </xf>
    <xf numFmtId="167" fontId="43" fillId="0" borderId="6" xfId="1" applyNumberFormat="1" applyFont="1" applyBorder="1" applyProtection="1"/>
    <xf numFmtId="0" fontId="20" fillId="4" borderId="1" xfId="0" applyFont="1" applyFill="1" applyBorder="1" applyAlignment="1" applyProtection="1">
      <alignment horizontal="left" vertical="center" wrapText="1"/>
      <protection locked="0"/>
    </xf>
    <xf numFmtId="0" fontId="20" fillId="4" borderId="2" xfId="0" applyFont="1" applyFill="1" applyBorder="1" applyAlignment="1" applyProtection="1">
      <alignment horizontal="left" vertical="center" wrapText="1"/>
      <protection locked="0"/>
    </xf>
    <xf numFmtId="0" fontId="20" fillId="4" borderId="3" xfId="0" applyFont="1" applyFill="1" applyBorder="1" applyAlignment="1" applyProtection="1">
      <alignment horizontal="left" vertical="center" wrapText="1"/>
      <protection locked="0"/>
    </xf>
    <xf numFmtId="0" fontId="20" fillId="0" borderId="1" xfId="0" applyFont="1" applyBorder="1" applyAlignment="1" applyProtection="1">
      <alignment horizontal="center"/>
      <protection locked="0"/>
    </xf>
    <xf numFmtId="0" fontId="20" fillId="0" borderId="2" xfId="0" applyFont="1" applyBorder="1" applyAlignment="1" applyProtection="1">
      <alignment horizontal="center"/>
      <protection locked="0"/>
    </xf>
    <xf numFmtId="0" fontId="20" fillId="0" borderId="3" xfId="0" applyFont="1" applyBorder="1" applyAlignment="1" applyProtection="1">
      <alignment horizontal="center"/>
      <protection locked="0"/>
    </xf>
    <xf numFmtId="0" fontId="20" fillId="0" borderId="6" xfId="0" applyFont="1" applyBorder="1" applyAlignment="1" applyProtection="1">
      <alignment horizontal="center"/>
      <protection locked="0"/>
    </xf>
    <xf numFmtId="43" fontId="20" fillId="0" borderId="6" xfId="1" applyFont="1" applyBorder="1" applyProtection="1">
      <protection locked="0"/>
    </xf>
    <xf numFmtId="0" fontId="15" fillId="9" borderId="6" xfId="0" applyFont="1" applyFill="1" applyBorder="1" applyAlignment="1">
      <alignment horizontal="center"/>
    </xf>
    <xf numFmtId="0" fontId="15" fillId="9" borderId="6" xfId="0" applyFont="1" applyFill="1" applyBorder="1" applyAlignment="1">
      <alignment horizontal="center" vertical="center" wrapText="1"/>
    </xf>
    <xf numFmtId="0" fontId="56" fillId="0" borderId="15" xfId="0" applyFont="1" applyBorder="1" applyAlignment="1" applyProtection="1">
      <alignment horizontal="left" vertical="top"/>
      <protection locked="0"/>
    </xf>
    <xf numFmtId="0" fontId="56" fillId="0" borderId="8" xfId="0" applyFont="1" applyBorder="1" applyAlignment="1" applyProtection="1">
      <alignment horizontal="left" vertical="top"/>
      <protection locked="0"/>
    </xf>
    <xf numFmtId="0" fontId="56" fillId="0" borderId="9" xfId="0" applyFont="1" applyBorder="1" applyAlignment="1" applyProtection="1">
      <alignment horizontal="left" vertical="top"/>
      <protection locked="0"/>
    </xf>
    <xf numFmtId="0" fontId="56" fillId="0" borderId="4" xfId="0" applyFont="1" applyBorder="1" applyAlignment="1" applyProtection="1">
      <alignment horizontal="left" vertical="top"/>
      <protection locked="0"/>
    </xf>
    <xf numFmtId="0" fontId="56" fillId="0" borderId="0" xfId="0" applyFont="1" applyAlignment="1" applyProtection="1">
      <alignment horizontal="left" vertical="top"/>
      <protection locked="0"/>
    </xf>
    <xf numFmtId="0" fontId="56" fillId="0" borderId="17" xfId="0" applyFont="1" applyBorder="1" applyAlignment="1" applyProtection="1">
      <alignment horizontal="left" vertical="top"/>
      <protection locked="0"/>
    </xf>
    <xf numFmtId="0" fontId="56" fillId="0" borderId="10" xfId="0" applyFont="1" applyBorder="1" applyAlignment="1" applyProtection="1">
      <alignment horizontal="left" vertical="top"/>
      <protection locked="0"/>
    </xf>
    <xf numFmtId="0" fontId="56" fillId="0" borderId="11" xfId="0" applyFont="1" applyBorder="1" applyAlignment="1" applyProtection="1">
      <alignment horizontal="left" vertical="top"/>
      <protection locked="0"/>
    </xf>
    <xf numFmtId="0" fontId="56" fillId="0" borderId="12" xfId="0" applyFont="1" applyBorder="1" applyAlignment="1" applyProtection="1">
      <alignment horizontal="left" vertical="top"/>
      <protection locked="0"/>
    </xf>
    <xf numFmtId="0" fontId="13" fillId="0" borderId="1" xfId="0" applyFont="1" applyBorder="1" applyAlignment="1" applyProtection="1">
      <alignment vertical="center"/>
      <protection hidden="1"/>
    </xf>
    <xf numFmtId="0" fontId="13" fillId="0" borderId="2" xfId="0" applyFont="1" applyBorder="1" applyAlignment="1" applyProtection="1">
      <alignment vertical="center"/>
      <protection hidden="1"/>
    </xf>
    <xf numFmtId="14" fontId="43" fillId="0" borderId="1" xfId="1" applyNumberFormat="1" applyFont="1" applyBorder="1" applyAlignment="1" applyProtection="1">
      <alignment vertical="center"/>
      <protection locked="0"/>
    </xf>
    <xf numFmtId="14" fontId="43" fillId="0" borderId="3" xfId="1" applyNumberFormat="1" applyFont="1" applyBorder="1" applyAlignment="1" applyProtection="1">
      <alignment vertical="center"/>
      <protection locked="0"/>
    </xf>
    <xf numFmtId="0" fontId="13" fillId="0" borderId="1" xfId="0" applyFont="1" applyBorder="1" applyAlignment="1" applyProtection="1">
      <alignment vertical="center" wrapText="1"/>
      <protection hidden="1"/>
    </xf>
    <xf numFmtId="0" fontId="13" fillId="0" borderId="2" xfId="0" applyFont="1" applyBorder="1" applyAlignment="1" applyProtection="1">
      <alignment vertical="center" wrapText="1"/>
      <protection hidden="1"/>
    </xf>
    <xf numFmtId="0" fontId="14" fillId="9" borderId="1" xfId="0" applyFont="1" applyFill="1" applyBorder="1" applyAlignment="1" applyProtection="1">
      <alignment vertical="center"/>
      <protection hidden="1"/>
    </xf>
    <xf numFmtId="0" fontId="14" fillId="9" borderId="3" xfId="0" applyFont="1" applyFill="1" applyBorder="1" applyAlignment="1" applyProtection="1">
      <alignment vertical="center"/>
      <protection hidden="1"/>
    </xf>
    <xf numFmtId="167" fontId="43" fillId="9" borderId="6" xfId="1" applyNumberFormat="1" applyFont="1" applyFill="1" applyBorder="1" applyAlignment="1" applyProtection="1">
      <alignment vertical="center"/>
      <protection locked="0"/>
    </xf>
    <xf numFmtId="0" fontId="13" fillId="0" borderId="3" xfId="0" applyFont="1" applyBorder="1" applyAlignment="1" applyProtection="1">
      <alignment vertical="center"/>
      <protection hidden="1"/>
    </xf>
    <xf numFmtId="14" fontId="43" fillId="0" borderId="6" xfId="1" applyNumberFormat="1" applyFont="1" applyBorder="1" applyAlignment="1" applyProtection="1">
      <alignment vertical="center"/>
      <protection locked="0"/>
    </xf>
    <xf numFmtId="0" fontId="13" fillId="0" borderId="3" xfId="0" applyFont="1" applyBorder="1" applyAlignment="1" applyProtection="1">
      <alignment vertical="center" wrapText="1"/>
      <protection hidden="1"/>
    </xf>
    <xf numFmtId="0" fontId="15" fillId="10" borderId="15" xfId="0" applyFont="1" applyFill="1" applyBorder="1" applyAlignment="1" applyProtection="1">
      <alignment horizontal="center" vertical="center"/>
      <protection hidden="1"/>
    </xf>
    <xf numFmtId="0" fontId="15" fillId="10" borderId="8" xfId="0" applyFont="1" applyFill="1" applyBorder="1" applyAlignment="1" applyProtection="1">
      <alignment horizontal="center" vertical="center"/>
      <protection hidden="1"/>
    </xf>
    <xf numFmtId="0" fontId="15" fillId="10" borderId="10" xfId="0" applyFont="1" applyFill="1" applyBorder="1" applyAlignment="1" applyProtection="1">
      <alignment horizontal="center" vertical="center"/>
      <protection hidden="1"/>
    </xf>
    <xf numFmtId="0" fontId="15" fillId="10" borderId="11" xfId="0" applyFont="1" applyFill="1" applyBorder="1" applyAlignment="1" applyProtection="1">
      <alignment horizontal="center" vertical="center"/>
      <protection hidden="1"/>
    </xf>
    <xf numFmtId="0" fontId="15" fillId="10" borderId="15" xfId="0" applyFont="1" applyFill="1" applyBorder="1" applyAlignment="1" applyProtection="1">
      <alignment horizontal="center" vertical="center" wrapText="1"/>
      <protection hidden="1"/>
    </xf>
    <xf numFmtId="0" fontId="15" fillId="10" borderId="9" xfId="0" applyFont="1" applyFill="1" applyBorder="1" applyAlignment="1" applyProtection="1">
      <alignment horizontal="center" vertical="center" wrapText="1"/>
      <protection hidden="1"/>
    </xf>
    <xf numFmtId="0" fontId="15" fillId="10" borderId="6" xfId="0" applyFont="1" applyFill="1" applyBorder="1" applyAlignment="1" applyProtection="1">
      <alignment horizontal="center" vertical="center" wrapText="1"/>
      <protection hidden="1"/>
    </xf>
    <xf numFmtId="0" fontId="20" fillId="0" borderId="6" xfId="0" applyFont="1" applyBorder="1" applyAlignment="1" applyProtection="1">
      <alignment horizontal="left" vertical="top"/>
      <protection locked="0"/>
    </xf>
    <xf numFmtId="43" fontId="43" fillId="9" borderId="6" xfId="1" applyFont="1" applyFill="1" applyBorder="1" applyAlignment="1" applyProtection="1">
      <alignment vertical="center"/>
      <protection hidden="1"/>
    </xf>
    <xf numFmtId="0" fontId="20" fillId="11" borderId="15" xfId="0" applyFont="1" applyFill="1" applyBorder="1" applyAlignment="1" applyProtection="1">
      <alignment horizontal="center"/>
      <protection locked="0"/>
    </xf>
    <xf numFmtId="0" fontId="20" fillId="11" borderId="9" xfId="0" applyFont="1" applyFill="1" applyBorder="1" applyAlignment="1" applyProtection="1">
      <alignment horizontal="center"/>
      <protection locked="0"/>
    </xf>
    <xf numFmtId="0" fontId="20" fillId="11" borderId="4" xfId="0" applyFont="1" applyFill="1" applyBorder="1" applyAlignment="1" applyProtection="1">
      <alignment horizontal="center"/>
      <protection locked="0"/>
    </xf>
    <xf numFmtId="0" fontId="20" fillId="11" borderId="17" xfId="0" applyFont="1" applyFill="1" applyBorder="1" applyAlignment="1" applyProtection="1">
      <alignment horizontal="center"/>
      <protection locked="0"/>
    </xf>
    <xf numFmtId="0" fontId="20" fillId="11" borderId="10" xfId="0" applyFont="1" applyFill="1" applyBorder="1" applyAlignment="1" applyProtection="1">
      <alignment horizontal="center"/>
      <protection locked="0"/>
    </xf>
    <xf numFmtId="0" fontId="20" fillId="11" borderId="12" xfId="0" applyFont="1" applyFill="1" applyBorder="1" applyAlignment="1" applyProtection="1">
      <alignment horizontal="center"/>
      <protection locked="0"/>
    </xf>
    <xf numFmtId="43" fontId="43" fillId="9" borderId="1" xfId="1" applyFont="1" applyFill="1" applyBorder="1" applyAlignment="1" applyProtection="1">
      <alignment vertical="center"/>
      <protection hidden="1"/>
    </xf>
    <xf numFmtId="43" fontId="43" fillId="9" borderId="3" xfId="1" applyFont="1" applyFill="1" applyBorder="1" applyAlignment="1" applyProtection="1">
      <alignment vertical="center"/>
      <protection hidden="1"/>
    </xf>
    <xf numFmtId="167" fontId="43" fillId="0" borderId="6" xfId="1" applyNumberFormat="1" applyFont="1" applyBorder="1" applyAlignment="1" applyProtection="1">
      <alignment horizontal="center" vertical="center"/>
      <protection hidden="1"/>
    </xf>
    <xf numFmtId="167" fontId="43" fillId="0" borderId="6" xfId="1" applyNumberFormat="1" applyFont="1" applyBorder="1" applyAlignment="1" applyProtection="1">
      <alignment vertical="center"/>
      <protection hidden="1"/>
    </xf>
    <xf numFmtId="167" fontId="43" fillId="9" borderId="6" xfId="1" applyNumberFormat="1" applyFont="1" applyFill="1" applyBorder="1" applyAlignment="1" applyProtection="1">
      <alignment vertical="center"/>
      <protection hidden="1"/>
    </xf>
    <xf numFmtId="1" fontId="15" fillId="10" borderId="6" xfId="0" applyNumberFormat="1" applyFont="1" applyFill="1" applyBorder="1" applyAlignment="1" applyProtection="1">
      <alignment horizontal="center" vertical="center"/>
      <protection hidden="1"/>
    </xf>
    <xf numFmtId="0" fontId="15" fillId="10" borderId="6" xfId="0" applyFont="1" applyFill="1" applyBorder="1" applyAlignment="1" applyProtection="1">
      <alignment horizontal="center" vertical="center"/>
      <protection hidden="1"/>
    </xf>
    <xf numFmtId="0" fontId="15" fillId="9" borderId="1" xfId="0" applyFont="1" applyFill="1" applyBorder="1" applyAlignment="1" applyProtection="1">
      <alignment vertical="center" wrapText="1"/>
      <protection locked="0"/>
    </xf>
    <xf numFmtId="0" fontId="15" fillId="9" borderId="3" xfId="0" applyFont="1" applyFill="1" applyBorder="1" applyAlignment="1" applyProtection="1">
      <alignment vertical="center" wrapText="1"/>
      <protection locked="0"/>
    </xf>
    <xf numFmtId="0" fontId="48" fillId="0" borderId="0" xfId="0" applyFont="1" applyAlignment="1" applyProtection="1">
      <alignment horizontal="left" vertical="center"/>
      <protection hidden="1"/>
    </xf>
    <xf numFmtId="0" fontId="20" fillId="0" borderId="1" xfId="0" applyFont="1" applyBorder="1" applyAlignment="1" applyProtection="1">
      <alignment horizontal="left" vertical="center" wrapText="1"/>
      <protection locked="0"/>
    </xf>
    <xf numFmtId="0" fontId="20" fillId="0" borderId="3" xfId="0" applyFont="1" applyBorder="1" applyAlignment="1" applyProtection="1">
      <alignment horizontal="left" vertical="center" wrapText="1"/>
      <protection locked="0"/>
    </xf>
    <xf numFmtId="0" fontId="20" fillId="0" borderId="1" xfId="0" applyFont="1" applyBorder="1" applyAlignment="1" applyProtection="1">
      <alignment horizontal="left"/>
      <protection locked="0"/>
    </xf>
    <xf numFmtId="0" fontId="20" fillId="0" borderId="3" xfId="0" applyFont="1" applyBorder="1" applyAlignment="1" applyProtection="1">
      <alignment horizontal="left"/>
      <protection locked="0"/>
    </xf>
    <xf numFmtId="0" fontId="15" fillId="9" borderId="1" xfId="0" applyFont="1" applyFill="1" applyBorder="1" applyAlignment="1" applyProtection="1">
      <alignment horizontal="left" wrapText="1"/>
      <protection locked="0"/>
    </xf>
    <xf numFmtId="0" fontId="15" fillId="9" borderId="3" xfId="0" applyFont="1" applyFill="1" applyBorder="1" applyAlignment="1" applyProtection="1">
      <alignment horizontal="left" wrapText="1"/>
      <protection locked="0"/>
    </xf>
    <xf numFmtId="43" fontId="46" fillId="9" borderId="1" xfId="1" applyFont="1" applyFill="1" applyBorder="1" applyAlignment="1" applyProtection="1">
      <alignment horizontal="center" vertical="center"/>
      <protection hidden="1"/>
    </xf>
    <xf numFmtId="43" fontId="46" fillId="9" borderId="3" xfId="1" applyFont="1" applyFill="1" applyBorder="1" applyAlignment="1" applyProtection="1">
      <alignment horizontal="center" vertical="center"/>
      <protection hidden="1"/>
    </xf>
    <xf numFmtId="14" fontId="15" fillId="3" borderId="5" xfId="0" applyNumberFormat="1"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20" fillId="0" borderId="0" xfId="0" applyFont="1" applyAlignment="1" applyProtection="1">
      <alignment vertical="center" wrapText="1"/>
      <protection hidden="1"/>
    </xf>
    <xf numFmtId="0" fontId="20" fillId="0" borderId="6" xfId="0" applyFont="1" applyBorder="1" applyAlignment="1" applyProtection="1">
      <alignment vertical="center" wrapText="1"/>
      <protection locked="0"/>
    </xf>
    <xf numFmtId="43" fontId="43" fillId="0" borderId="1" xfId="1" applyFont="1" applyFill="1" applyBorder="1" applyAlignment="1" applyProtection="1">
      <alignment vertical="center"/>
      <protection hidden="1"/>
    </xf>
    <xf numFmtId="43" fontId="43" fillId="0" borderId="3" xfId="1" applyFont="1" applyFill="1" applyBorder="1" applyAlignment="1" applyProtection="1">
      <alignment vertical="center"/>
      <protection hidden="1"/>
    </xf>
    <xf numFmtId="14" fontId="15" fillId="3" borderId="5" xfId="0" applyNumberFormat="1" applyFont="1" applyFill="1" applyBorder="1" applyAlignment="1" applyProtection="1">
      <alignment horizontal="center" vertical="center"/>
      <protection hidden="1"/>
    </xf>
    <xf numFmtId="0" fontId="15" fillId="3" borderId="7" xfId="0" applyFont="1" applyFill="1" applyBorder="1" applyAlignment="1" applyProtection="1">
      <alignment horizontal="center" vertical="center"/>
      <protection hidden="1"/>
    </xf>
    <xf numFmtId="0" fontId="15" fillId="3" borderId="1" xfId="0" applyFont="1" applyFill="1" applyBorder="1" applyAlignment="1" applyProtection="1">
      <alignment horizontal="center" vertical="center"/>
      <protection hidden="1"/>
    </xf>
    <xf numFmtId="0" fontId="15" fillId="3" borderId="3" xfId="0" applyFont="1" applyFill="1" applyBorder="1" applyAlignment="1" applyProtection="1">
      <alignment horizontal="center" vertical="center"/>
      <protection hidden="1"/>
    </xf>
    <xf numFmtId="0" fontId="20" fillId="0" borderId="0" xfId="0" applyFont="1"/>
    <xf numFmtId="0" fontId="20" fillId="0" borderId="15" xfId="0" applyFont="1" applyBorder="1" applyAlignment="1" applyProtection="1">
      <alignment horizontal="left" vertical="top" wrapText="1"/>
      <protection locked="0"/>
    </xf>
    <xf numFmtId="0" fontId="20" fillId="0" borderId="8" xfId="0" applyFont="1" applyBorder="1" applyAlignment="1" applyProtection="1">
      <alignment horizontal="left" vertical="top" wrapText="1"/>
      <protection locked="0"/>
    </xf>
    <xf numFmtId="0" fontId="20" fillId="0" borderId="9" xfId="0" applyFont="1" applyBorder="1" applyAlignment="1" applyProtection="1">
      <alignment horizontal="left" vertical="top" wrapText="1"/>
      <protection locked="0"/>
    </xf>
    <xf numFmtId="0" fontId="20" fillId="0" borderId="4" xfId="0" applyFont="1" applyBorder="1" applyAlignment="1" applyProtection="1">
      <alignment horizontal="left" vertical="top" wrapText="1"/>
      <protection locked="0"/>
    </xf>
    <xf numFmtId="0" fontId="20" fillId="0" borderId="0" xfId="0" applyFont="1" applyAlignment="1" applyProtection="1">
      <alignment horizontal="left" vertical="top" wrapText="1"/>
      <protection locked="0"/>
    </xf>
    <xf numFmtId="0" fontId="20" fillId="0" borderId="17" xfId="0" applyFont="1" applyBorder="1" applyAlignment="1" applyProtection="1">
      <alignment horizontal="left" vertical="top" wrapText="1"/>
      <protection locked="0"/>
    </xf>
    <xf numFmtId="0" fontId="20" fillId="0" borderId="10" xfId="0" applyFont="1" applyBorder="1" applyAlignment="1" applyProtection="1">
      <alignment horizontal="left" vertical="top" wrapText="1"/>
      <protection locked="0"/>
    </xf>
    <xf numFmtId="0" fontId="20" fillId="0" borderId="11" xfId="0" applyFont="1" applyBorder="1" applyAlignment="1" applyProtection="1">
      <alignment horizontal="left" vertical="top" wrapText="1"/>
      <protection locked="0"/>
    </xf>
    <xf numFmtId="0" fontId="20" fillId="0" borderId="12" xfId="0" applyFont="1" applyBorder="1" applyAlignment="1" applyProtection="1">
      <alignment horizontal="left" vertical="top" wrapText="1"/>
      <protection locked="0"/>
    </xf>
    <xf numFmtId="0" fontId="15" fillId="9" borderId="6" xfId="0" applyFont="1" applyFill="1" applyBorder="1" applyAlignment="1" applyProtection="1">
      <alignment vertical="center" wrapText="1"/>
      <protection locked="0"/>
    </xf>
    <xf numFmtId="0" fontId="20" fillId="0" borderId="0" xfId="0" applyFont="1" applyAlignment="1">
      <alignment vertical="center" wrapText="1"/>
    </xf>
    <xf numFmtId="0" fontId="20" fillId="0" borderId="1" xfId="0" applyFont="1" applyBorder="1" applyAlignment="1" applyProtection="1">
      <alignment vertical="top" wrapText="1"/>
      <protection locked="0"/>
    </xf>
    <xf numFmtId="0" fontId="20" fillId="0" borderId="3" xfId="0" applyFont="1" applyBorder="1" applyAlignment="1" applyProtection="1">
      <alignment vertical="top" wrapText="1"/>
      <protection locked="0"/>
    </xf>
    <xf numFmtId="0" fontId="15" fillId="0" borderId="18" xfId="0" applyFont="1" applyBorder="1" applyAlignment="1">
      <alignment horizontal="center" vertical="center"/>
    </xf>
    <xf numFmtId="14" fontId="15" fillId="0" borderId="0" xfId="0" applyNumberFormat="1" applyFont="1" applyAlignment="1">
      <alignment horizontal="center" vertical="center"/>
    </xf>
    <xf numFmtId="14" fontId="15" fillId="0" borderId="20" xfId="0" applyNumberFormat="1" applyFont="1" applyBorder="1" applyAlignment="1">
      <alignment horizontal="center" vertical="center"/>
    </xf>
    <xf numFmtId="0" fontId="15" fillId="0" borderId="0" xfId="0" applyFont="1" applyAlignment="1">
      <alignment vertical="center" wrapText="1"/>
    </xf>
    <xf numFmtId="0" fontId="20" fillId="0" borderId="1" xfId="0" applyFont="1" applyBorder="1" applyAlignment="1" applyProtection="1">
      <alignment vertical="top"/>
      <protection locked="0"/>
    </xf>
    <xf numFmtId="0" fontId="20" fillId="0" borderId="3" xfId="0" applyFont="1" applyBorder="1" applyAlignment="1" applyProtection="1">
      <alignment vertical="top"/>
      <protection locked="0"/>
    </xf>
    <xf numFmtId="0" fontId="33" fillId="0" borderId="7" xfId="6" applyFont="1" applyBorder="1" applyAlignment="1" applyProtection="1">
      <alignment horizontal="center" vertical="center"/>
      <protection locked="0"/>
    </xf>
    <xf numFmtId="0" fontId="33" fillId="0" borderId="15" xfId="6" applyFont="1" applyBorder="1" applyAlignment="1" applyProtection="1">
      <alignment horizontal="center" vertical="justify"/>
      <protection locked="0"/>
    </xf>
    <xf numFmtId="0" fontId="33" fillId="0" borderId="9" xfId="6" applyFont="1" applyBorder="1" applyAlignment="1" applyProtection="1">
      <alignment horizontal="center" vertical="justify"/>
      <protection locked="0"/>
    </xf>
    <xf numFmtId="0" fontId="33" fillId="0" borderId="10" xfId="6" applyFont="1" applyBorder="1" applyAlignment="1" applyProtection="1">
      <alignment horizontal="center"/>
      <protection locked="0"/>
    </xf>
    <xf numFmtId="0" fontId="33" fillId="0" borderId="12" xfId="6" applyFont="1" applyBorder="1" applyAlignment="1" applyProtection="1">
      <alignment horizontal="center"/>
      <protection locked="0"/>
    </xf>
    <xf numFmtId="0" fontId="26" fillId="0" borderId="6" xfId="6" applyFont="1" applyBorder="1" applyAlignment="1" applyProtection="1">
      <alignment horizontal="center" vertical="top" wrapText="1"/>
      <protection locked="0"/>
    </xf>
    <xf numFmtId="14" fontId="15" fillId="0" borderId="20" xfId="0" applyNumberFormat="1" applyFont="1" applyBorder="1" applyAlignment="1" applyProtection="1">
      <alignment horizontal="center"/>
      <protection hidden="1"/>
    </xf>
    <xf numFmtId="0" fontId="15" fillId="0" borderId="0" xfId="0" applyFont="1" applyAlignment="1" applyProtection="1">
      <alignment horizontal="center"/>
      <protection hidden="1"/>
    </xf>
    <xf numFmtId="0" fontId="22" fillId="0" borderId="0" xfId="6" applyFont="1" applyAlignment="1" applyProtection="1">
      <alignment horizontal="center" vertical="center"/>
      <protection locked="0"/>
    </xf>
    <xf numFmtId="0" fontId="22" fillId="0" borderId="0" xfId="6" applyFont="1" applyAlignment="1" applyProtection="1">
      <alignment horizontal="center"/>
      <protection locked="0"/>
    </xf>
    <xf numFmtId="0" fontId="33" fillId="0" borderId="15" xfId="6" applyFont="1" applyBorder="1" applyAlignment="1" applyProtection="1">
      <alignment horizontal="center" vertical="center"/>
      <protection locked="0"/>
    </xf>
    <xf numFmtId="0" fontId="33" fillId="0" borderId="9" xfId="6" applyFont="1" applyBorder="1" applyAlignment="1" applyProtection="1">
      <alignment horizontal="center" vertical="center"/>
      <protection locked="0"/>
    </xf>
    <xf numFmtId="0" fontId="33" fillId="0" borderId="10" xfId="6" applyFont="1" applyBorder="1" applyAlignment="1" applyProtection="1">
      <alignment horizontal="center" vertical="center"/>
      <protection locked="0"/>
    </xf>
    <xf numFmtId="0" fontId="33" fillId="0" borderId="12" xfId="6" applyFont="1" applyBorder="1" applyAlignment="1" applyProtection="1">
      <alignment horizontal="center" vertical="center"/>
      <protection locked="0"/>
    </xf>
    <xf numFmtId="0" fontId="24" fillId="0" borderId="9" xfId="6" applyFont="1" applyBorder="1" applyAlignment="1" applyProtection="1">
      <alignment horizontal="center" vertical="center"/>
      <protection locked="0"/>
    </xf>
    <xf numFmtId="0" fontId="24" fillId="0" borderId="10" xfId="6" applyFont="1" applyBorder="1" applyAlignment="1" applyProtection="1">
      <alignment horizontal="center" vertical="center"/>
      <protection locked="0"/>
    </xf>
    <xf numFmtId="0" fontId="24" fillId="0" borderId="12" xfId="6" applyFont="1" applyBorder="1" applyAlignment="1" applyProtection="1">
      <alignment horizontal="center" vertical="center"/>
      <protection locked="0"/>
    </xf>
    <xf numFmtId="0" fontId="15" fillId="0" borderId="20" xfId="0" applyFont="1" applyBorder="1" applyAlignment="1" applyProtection="1">
      <alignment horizontal="center"/>
      <protection hidden="1"/>
    </xf>
    <xf numFmtId="0" fontId="15" fillId="0" borderId="18" xfId="0" applyFont="1" applyBorder="1" applyAlignment="1" applyProtection="1">
      <alignment horizontal="center"/>
      <protection hidden="1"/>
    </xf>
    <xf numFmtId="0" fontId="15" fillId="0" borderId="19" xfId="0" applyFont="1" applyBorder="1" applyAlignment="1" applyProtection="1">
      <alignment horizontal="center"/>
      <protection hidden="1"/>
    </xf>
    <xf numFmtId="0" fontId="15" fillId="3" borderId="1" xfId="0" applyFont="1" applyFill="1" applyBorder="1" applyAlignment="1" applyProtection="1">
      <alignment horizontal="center" vertical="center" wrapText="1"/>
      <protection hidden="1"/>
    </xf>
    <xf numFmtId="0" fontId="15" fillId="3" borderId="3" xfId="0" applyFont="1" applyFill="1" applyBorder="1" applyAlignment="1" applyProtection="1">
      <alignment horizontal="center" vertical="center" wrapText="1"/>
      <protection hidden="1"/>
    </xf>
    <xf numFmtId="0" fontId="24" fillId="8" borderId="7" xfId="6" applyFont="1" applyFill="1" applyBorder="1" applyAlignment="1" applyProtection="1">
      <alignment horizontal="center" vertical="center" wrapText="1"/>
      <protection locked="0"/>
    </xf>
    <xf numFmtId="0" fontId="24" fillId="8" borderId="16" xfId="6" applyFont="1" applyFill="1" applyBorder="1" applyAlignment="1" applyProtection="1">
      <alignment horizontal="center" vertical="center" wrapText="1"/>
      <protection locked="0"/>
    </xf>
    <xf numFmtId="0" fontId="24" fillId="8" borderId="5" xfId="6" applyFont="1" applyFill="1" applyBorder="1" applyAlignment="1" applyProtection="1">
      <alignment horizontal="center" vertical="center" wrapText="1"/>
      <protection locked="0"/>
    </xf>
    <xf numFmtId="0" fontId="24" fillId="0" borderId="15" xfId="6" applyFont="1" applyBorder="1" applyAlignment="1" applyProtection="1">
      <alignment horizontal="left" vertical="top"/>
      <protection locked="0"/>
    </xf>
    <xf numFmtId="0" fontId="24" fillId="0" borderId="8" xfId="6" applyFont="1" applyBorder="1" applyAlignment="1" applyProtection="1">
      <alignment horizontal="left" vertical="top"/>
      <protection locked="0"/>
    </xf>
    <xf numFmtId="0" fontId="24" fillId="0" borderId="9" xfId="6" applyFont="1" applyBorder="1" applyAlignment="1" applyProtection="1">
      <alignment horizontal="left" vertical="top"/>
      <protection locked="0"/>
    </xf>
    <xf numFmtId="0" fontId="24" fillId="0" borderId="4" xfId="6" applyFont="1" applyBorder="1" applyAlignment="1" applyProtection="1">
      <alignment horizontal="left" vertical="top"/>
      <protection locked="0"/>
    </xf>
    <xf numFmtId="0" fontId="24" fillId="0" borderId="0" xfId="6" applyFont="1" applyAlignment="1" applyProtection="1">
      <alignment horizontal="left" vertical="top"/>
      <protection locked="0"/>
    </xf>
    <xf numFmtId="0" fontId="24" fillId="0" borderId="17" xfId="6" applyFont="1" applyBorder="1" applyAlignment="1" applyProtection="1">
      <alignment horizontal="left" vertical="top"/>
      <protection locked="0"/>
    </xf>
    <xf numFmtId="0" fontId="24" fillId="0" borderId="10" xfId="6" applyFont="1" applyBorder="1" applyAlignment="1" applyProtection="1">
      <alignment horizontal="left" vertical="top"/>
      <protection locked="0"/>
    </xf>
    <xf numFmtId="0" fontId="24" fillId="0" borderId="11" xfId="6" applyFont="1" applyBorder="1" applyAlignment="1" applyProtection="1">
      <alignment horizontal="left" vertical="top"/>
      <protection locked="0"/>
    </xf>
    <xf numFmtId="0" fontId="24" fillId="0" borderId="12" xfId="6" applyFont="1" applyBorder="1" applyAlignment="1" applyProtection="1">
      <alignment horizontal="left" vertical="top"/>
      <protection locked="0"/>
    </xf>
    <xf numFmtId="0" fontId="24" fillId="8" borderId="39" xfId="6" applyFont="1" applyFill="1" applyBorder="1" applyAlignment="1" applyProtection="1">
      <alignment horizontal="left" vertical="top" wrapText="1"/>
      <protection locked="0"/>
    </xf>
    <xf numFmtId="0" fontId="24" fillId="8" borderId="40" xfId="6" applyFont="1" applyFill="1" applyBorder="1" applyAlignment="1" applyProtection="1">
      <alignment horizontal="left" vertical="top"/>
      <protection locked="0"/>
    </xf>
    <xf numFmtId="0" fontId="24" fillId="8" borderId="41" xfId="6" applyFont="1" applyFill="1" applyBorder="1" applyAlignment="1" applyProtection="1">
      <alignment horizontal="left" vertical="top"/>
      <protection locked="0"/>
    </xf>
    <xf numFmtId="0" fontId="24" fillId="8" borderId="7" xfId="6" applyFont="1" applyFill="1" applyBorder="1" applyAlignment="1" applyProtection="1">
      <alignment horizontal="center" vertical="center"/>
      <protection locked="0"/>
    </xf>
    <xf numFmtId="0" fontId="24" fillId="8" borderId="16" xfId="6" applyFont="1" applyFill="1" applyBorder="1" applyAlignment="1" applyProtection="1">
      <alignment horizontal="center" vertical="center"/>
      <protection locked="0"/>
    </xf>
    <xf numFmtId="0" fontId="24" fillId="8" borderId="5" xfId="6" applyFont="1" applyFill="1" applyBorder="1" applyAlignment="1" applyProtection="1">
      <alignment horizontal="center" vertical="center"/>
      <protection locked="0"/>
    </xf>
    <xf numFmtId="0" fontId="20" fillId="0" borderId="6" xfId="0" applyFont="1" applyBorder="1" applyAlignment="1" applyProtection="1">
      <alignment horizontal="center" vertical="top"/>
      <protection locked="0"/>
    </xf>
    <xf numFmtId="0" fontId="15" fillId="9" borderId="1" xfId="0" quotePrefix="1" applyFont="1" applyFill="1" applyBorder="1" applyAlignment="1" applyProtection="1">
      <alignment vertical="center" wrapText="1"/>
      <protection locked="0"/>
    </xf>
    <xf numFmtId="43" fontId="43" fillId="9" borderId="1" xfId="1" applyFont="1" applyFill="1" applyBorder="1" applyAlignment="1" applyProtection="1">
      <alignment horizontal="center" vertical="center"/>
      <protection hidden="1"/>
    </xf>
    <xf numFmtId="43" fontId="43" fillId="9" borderId="3" xfId="1" applyFont="1" applyFill="1" applyBorder="1" applyAlignment="1" applyProtection="1">
      <alignment horizontal="center" vertical="center"/>
      <protection hidden="1"/>
    </xf>
    <xf numFmtId="0" fontId="55" fillId="0" borderId="0" xfId="0" applyFont="1" applyAlignment="1">
      <alignment vertical="center" wrapText="1"/>
    </xf>
    <xf numFmtId="0" fontId="15" fillId="0" borderId="20" xfId="0" applyFont="1" applyBorder="1" applyAlignment="1">
      <alignment vertical="center"/>
    </xf>
    <xf numFmtId="0" fontId="19" fillId="0" borderId="0" xfId="0" quotePrefix="1" applyFont="1" applyAlignment="1" applyProtection="1">
      <alignment horizontal="center" vertical="center" wrapText="1"/>
      <protection hidden="1"/>
    </xf>
    <xf numFmtId="0" fontId="19" fillId="0" borderId="0" xfId="0" quotePrefix="1" applyFont="1" applyAlignment="1" applyProtection="1">
      <alignment horizontal="center" vertical="center"/>
      <protection hidden="1"/>
    </xf>
    <xf numFmtId="0" fontId="10" fillId="0" borderId="0" xfId="0" applyFont="1" applyAlignment="1">
      <alignment vertical="center" wrapText="1"/>
    </xf>
    <xf numFmtId="0" fontId="56" fillId="0" borderId="0" xfId="0" applyFont="1"/>
    <xf numFmtId="0" fontId="43" fillId="0" borderId="1" xfId="0" applyFont="1" applyBorder="1" applyAlignment="1" applyProtection="1">
      <alignment vertical="center" wrapText="1"/>
      <protection hidden="1"/>
    </xf>
    <xf numFmtId="0" fontId="43" fillId="0" borderId="2" xfId="0" applyFont="1" applyBorder="1" applyAlignment="1" applyProtection="1">
      <alignment vertical="center" wrapText="1"/>
      <protection hidden="1"/>
    </xf>
    <xf numFmtId="0" fontId="43" fillId="0" borderId="3" xfId="0" applyFont="1" applyBorder="1" applyAlignment="1" applyProtection="1">
      <alignment vertical="center" wrapText="1"/>
      <protection hidden="1"/>
    </xf>
    <xf numFmtId="0" fontId="43" fillId="0" borderId="1" xfId="0" applyFont="1" applyBorder="1" applyAlignment="1" applyProtection="1">
      <alignment vertical="center"/>
      <protection hidden="1"/>
    </xf>
    <xf numFmtId="0" fontId="43" fillId="0" borderId="2" xfId="0" applyFont="1" applyBorder="1" applyAlignment="1" applyProtection="1">
      <alignment vertical="center"/>
      <protection hidden="1"/>
    </xf>
    <xf numFmtId="0" fontId="43" fillId="0" borderId="3" xfId="0" applyFont="1" applyBorder="1" applyAlignment="1" applyProtection="1">
      <alignment vertical="center"/>
      <protection hidden="1"/>
    </xf>
    <xf numFmtId="0" fontId="14" fillId="0" borderId="0" xfId="0" applyFont="1" applyAlignment="1" applyProtection="1">
      <alignment horizontal="center" vertical="center"/>
      <protection hidden="1"/>
    </xf>
    <xf numFmtId="0" fontId="46" fillId="13" borderId="6" xfId="0" applyFont="1" applyFill="1" applyBorder="1" applyAlignment="1" applyProtection="1">
      <alignment horizontal="center" vertical="center"/>
      <protection hidden="1"/>
    </xf>
    <xf numFmtId="0" fontId="14" fillId="0" borderId="0" xfId="0" quotePrefix="1" applyFont="1" applyAlignment="1" applyProtection="1">
      <alignment horizontal="center" vertical="center"/>
      <protection hidden="1"/>
    </xf>
    <xf numFmtId="0" fontId="33" fillId="0" borderId="1" xfId="0" applyFont="1" applyBorder="1" applyAlignment="1" applyProtection="1">
      <alignment vertical="center"/>
      <protection hidden="1"/>
    </xf>
    <xf numFmtId="0" fontId="33" fillId="0" borderId="2" xfId="0" applyFont="1" applyBorder="1" applyAlignment="1" applyProtection="1">
      <alignment vertical="center"/>
      <protection hidden="1"/>
    </xf>
    <xf numFmtId="0" fontId="33" fillId="0" borderId="3" xfId="0" applyFont="1" applyBorder="1" applyAlignment="1" applyProtection="1">
      <alignment vertical="center"/>
      <protection hidden="1"/>
    </xf>
    <xf numFmtId="0" fontId="60" fillId="9" borderId="1" xfId="0" applyFont="1" applyFill="1" applyBorder="1" applyAlignment="1" applyProtection="1">
      <alignment vertical="center"/>
      <protection hidden="1"/>
    </xf>
    <xf numFmtId="0" fontId="60" fillId="9" borderId="2" xfId="0" applyFont="1" applyFill="1" applyBorder="1" applyAlignment="1" applyProtection="1">
      <alignment vertical="center"/>
      <protection hidden="1"/>
    </xf>
    <xf numFmtId="0" fontId="60" fillId="9" borderId="3" xfId="0" applyFont="1" applyFill="1" applyBorder="1" applyAlignment="1" applyProtection="1">
      <alignment vertical="center"/>
      <protection hidden="1"/>
    </xf>
    <xf numFmtId="0" fontId="33" fillId="0" borderId="1" xfId="0" applyFont="1" applyBorder="1" applyAlignment="1" applyProtection="1">
      <alignment horizontal="left" vertical="center"/>
      <protection hidden="1"/>
    </xf>
    <xf numFmtId="0" fontId="33" fillId="0" borderId="2" xfId="0" applyFont="1" applyBorder="1" applyAlignment="1" applyProtection="1">
      <alignment horizontal="left" vertical="center"/>
      <protection hidden="1"/>
    </xf>
    <xf numFmtId="0" fontId="33" fillId="0" borderId="3" xfId="0" applyFont="1" applyBorder="1" applyAlignment="1" applyProtection="1">
      <alignment horizontal="left" vertical="center"/>
      <protection hidden="1"/>
    </xf>
    <xf numFmtId="0" fontId="14" fillId="9" borderId="51" xfId="0" applyFont="1" applyFill="1" applyBorder="1" applyAlignment="1" applyProtection="1">
      <alignment horizontal="center" vertical="center"/>
      <protection hidden="1"/>
    </xf>
    <xf numFmtId="0" fontId="14" fillId="9" borderId="52" xfId="0" applyFont="1" applyFill="1" applyBorder="1" applyAlignment="1" applyProtection="1">
      <alignment horizontal="center" vertical="center"/>
      <protection hidden="1"/>
    </xf>
    <xf numFmtId="0" fontId="14" fillId="9" borderId="53" xfId="0" applyFont="1" applyFill="1" applyBorder="1" applyAlignment="1" applyProtection="1">
      <alignment horizontal="center" vertical="center"/>
      <protection hidden="1"/>
    </xf>
    <xf numFmtId="0" fontId="33" fillId="0" borderId="6" xfId="0" applyFont="1" applyBorder="1" applyAlignment="1" applyProtection="1">
      <alignment vertical="center"/>
      <protection hidden="1"/>
    </xf>
    <xf numFmtId="0" fontId="33" fillId="0" borderId="1" xfId="0" applyFont="1" applyBorder="1" applyAlignment="1" applyProtection="1">
      <alignment vertical="center" wrapText="1"/>
      <protection hidden="1"/>
    </xf>
    <xf numFmtId="0" fontId="33" fillId="0" borderId="2" xfId="0" applyFont="1" applyBorder="1" applyAlignment="1" applyProtection="1">
      <alignment vertical="center" wrapText="1"/>
      <protection hidden="1"/>
    </xf>
    <xf numFmtId="0" fontId="33" fillId="0" borderId="3" xfId="0" applyFont="1" applyBorder="1" applyAlignment="1" applyProtection="1">
      <alignment vertical="center" wrapText="1"/>
      <protection hidden="1"/>
    </xf>
    <xf numFmtId="0" fontId="61" fillId="0" borderId="1" xfId="0" applyFont="1" applyBorder="1" applyAlignment="1" applyProtection="1">
      <alignment vertical="center"/>
      <protection hidden="1"/>
    </xf>
    <xf numFmtId="0" fontId="61" fillId="0" borderId="2" xfId="0" applyFont="1" applyBorder="1" applyAlignment="1" applyProtection="1">
      <alignment vertical="center"/>
      <protection hidden="1"/>
    </xf>
    <xf numFmtId="0" fontId="61" fillId="0" borderId="3" xfId="0" applyFont="1" applyBorder="1" applyAlignment="1" applyProtection="1">
      <alignment vertical="center"/>
      <protection hidden="1"/>
    </xf>
    <xf numFmtId="0" fontId="43" fillId="0" borderId="2" xfId="0" applyFont="1" applyBorder="1" applyProtection="1">
      <protection hidden="1"/>
    </xf>
    <xf numFmtId="0" fontId="59" fillId="9" borderId="1" xfId="0" applyFont="1" applyFill="1" applyBorder="1" applyAlignment="1" applyProtection="1">
      <alignment horizontal="left" vertical="top"/>
      <protection hidden="1"/>
    </xf>
    <xf numFmtId="0" fontId="59" fillId="9" borderId="2" xfId="0" applyFont="1" applyFill="1" applyBorder="1" applyAlignment="1" applyProtection="1">
      <alignment horizontal="left" vertical="top"/>
      <protection hidden="1"/>
    </xf>
    <xf numFmtId="0" fontId="59" fillId="9" borderId="3" xfId="0" applyFont="1" applyFill="1" applyBorder="1" applyAlignment="1" applyProtection="1">
      <alignment horizontal="left" vertical="top"/>
      <protection hidden="1"/>
    </xf>
    <xf numFmtId="0" fontId="46" fillId="0" borderId="6" xfId="0" applyFont="1" applyBorder="1" applyAlignment="1" applyProtection="1">
      <alignment horizontal="center" vertical="center"/>
      <protection hidden="1"/>
    </xf>
    <xf numFmtId="0" fontId="43" fillId="0" borderId="1" xfId="0" applyFont="1" applyBorder="1" applyProtection="1">
      <protection hidden="1"/>
    </xf>
    <xf numFmtId="0" fontId="43" fillId="0" borderId="3" xfId="0" applyFont="1" applyBorder="1" applyProtection="1">
      <protection hidden="1"/>
    </xf>
    <xf numFmtId="0" fontId="46" fillId="3" borderId="6" xfId="0" applyFont="1" applyFill="1" applyBorder="1" applyProtection="1">
      <protection hidden="1"/>
    </xf>
    <xf numFmtId="0" fontId="15" fillId="3" borderId="6" xfId="0" applyFont="1" applyFill="1" applyBorder="1" applyAlignment="1" applyProtection="1">
      <alignment horizontal="center"/>
      <protection hidden="1"/>
    </xf>
    <xf numFmtId="0" fontId="60" fillId="0" borderId="12" xfId="0" applyFont="1" applyBorder="1" applyProtection="1">
      <protection locked="0"/>
    </xf>
    <xf numFmtId="0" fontId="60" fillId="0" borderId="5" xfId="0" applyFont="1" applyBorder="1" applyProtection="1">
      <protection locked="0"/>
    </xf>
    <xf numFmtId="3" fontId="43" fillId="14" borderId="1" xfId="7" applyNumberFormat="1" applyFont="1" applyFill="1" applyBorder="1" applyProtection="1">
      <protection locked="0"/>
    </xf>
    <xf numFmtId="3" fontId="43" fillId="14" borderId="3" xfId="7" applyNumberFormat="1" applyFont="1" applyFill="1" applyBorder="1" applyProtection="1">
      <protection locked="0"/>
    </xf>
    <xf numFmtId="0" fontId="43" fillId="0" borderId="12" xfId="0" applyFont="1" applyBorder="1" applyProtection="1">
      <protection locked="0"/>
    </xf>
    <xf numFmtId="0" fontId="43" fillId="0" borderId="5" xfId="0" applyFont="1" applyBorder="1" applyProtection="1">
      <protection locked="0"/>
    </xf>
    <xf numFmtId="165" fontId="33" fillId="0" borderId="5" xfId="7" applyFont="1" applyBorder="1" applyAlignment="1" applyProtection="1">
      <alignment vertical="center"/>
      <protection locked="0"/>
    </xf>
    <xf numFmtId="0" fontId="60" fillId="9" borderId="17" xfId="0" applyFont="1" applyFill="1" applyBorder="1" applyProtection="1">
      <protection locked="0"/>
    </xf>
    <xf numFmtId="0" fontId="60" fillId="9" borderId="16" xfId="0" applyFont="1" applyFill="1" applyBorder="1" applyProtection="1">
      <protection locked="0"/>
    </xf>
    <xf numFmtId="3" fontId="46" fillId="9" borderId="1" xfId="7" applyNumberFormat="1" applyFont="1" applyFill="1" applyBorder="1" applyProtection="1">
      <protection locked="0"/>
    </xf>
    <xf numFmtId="3" fontId="46" fillId="9" borderId="3" xfId="7" applyNumberFormat="1" applyFont="1" applyFill="1" applyBorder="1" applyProtection="1">
      <protection locked="0"/>
    </xf>
    <xf numFmtId="0" fontId="43" fillId="0" borderId="16" xfId="0" applyFont="1" applyBorder="1" applyProtection="1">
      <protection locked="0"/>
    </xf>
    <xf numFmtId="165" fontId="33" fillId="0" borderId="5" xfId="7" applyFont="1" applyBorder="1" applyAlignment="1" applyProtection="1">
      <alignment vertical="center"/>
      <protection hidden="1"/>
    </xf>
    <xf numFmtId="165" fontId="46" fillId="9" borderId="1" xfId="7" applyFont="1" applyFill="1" applyBorder="1" applyProtection="1">
      <protection hidden="1"/>
    </xf>
    <xf numFmtId="165" fontId="46" fillId="9" borderId="3" xfId="7" applyFont="1" applyFill="1" applyBorder="1" applyProtection="1">
      <protection hidden="1"/>
    </xf>
    <xf numFmtId="0" fontId="63" fillId="0" borderId="16" xfId="0" applyFont="1" applyBorder="1" applyAlignment="1" applyProtection="1">
      <alignment vertical="center"/>
      <protection locked="0"/>
    </xf>
    <xf numFmtId="0" fontId="64" fillId="9" borderId="17" xfId="0" applyFont="1" applyFill="1" applyBorder="1" applyAlignment="1" applyProtection="1">
      <alignment vertical="center"/>
      <protection locked="0"/>
    </xf>
    <xf numFmtId="0" fontId="64" fillId="9" borderId="16" xfId="0" applyFont="1" applyFill="1" applyBorder="1" applyAlignment="1" applyProtection="1">
      <alignment vertical="center"/>
      <protection locked="0"/>
    </xf>
    <xf numFmtId="3" fontId="27" fillId="9" borderId="6" xfId="7" applyNumberFormat="1" applyFont="1" applyFill="1" applyBorder="1" applyAlignment="1" applyProtection="1">
      <alignment vertical="center"/>
      <protection locked="0"/>
    </xf>
    <xf numFmtId="165" fontId="27" fillId="9" borderId="6" xfId="7" applyFont="1" applyFill="1" applyBorder="1" applyAlignment="1" applyProtection="1">
      <alignment vertical="center"/>
      <protection hidden="1"/>
    </xf>
    <xf numFmtId="0" fontId="63" fillId="0" borderId="64" xfId="0" applyFont="1" applyBorder="1" applyAlignment="1" applyProtection="1">
      <alignment vertical="center"/>
      <protection locked="0"/>
    </xf>
    <xf numFmtId="0" fontId="20" fillId="0" borderId="0" xfId="0" applyFont="1" applyAlignment="1" applyProtection="1">
      <alignment horizontal="center" vertical="center"/>
      <protection hidden="1"/>
    </xf>
    <xf numFmtId="0" fontId="62" fillId="13" borderId="54" xfId="0" applyFont="1" applyFill="1" applyBorder="1" applyAlignment="1" applyProtection="1">
      <alignment horizontal="center" vertical="center" wrapText="1"/>
      <protection locked="0"/>
    </xf>
    <xf numFmtId="0" fontId="62" fillId="13" borderId="55" xfId="0" applyFont="1" applyFill="1" applyBorder="1" applyAlignment="1" applyProtection="1">
      <alignment horizontal="center" vertical="center" wrapText="1"/>
      <protection locked="0"/>
    </xf>
    <xf numFmtId="0" fontId="62" fillId="13" borderId="56" xfId="0" applyFont="1" applyFill="1" applyBorder="1" applyAlignment="1" applyProtection="1">
      <alignment horizontal="center" vertical="center" wrapText="1"/>
      <protection locked="0"/>
    </xf>
    <xf numFmtId="0" fontId="62" fillId="13" borderId="60" xfId="0" applyFont="1" applyFill="1" applyBorder="1" applyAlignment="1" applyProtection="1">
      <alignment horizontal="center" vertical="center" wrapText="1"/>
      <protection locked="0"/>
    </xf>
    <xf numFmtId="0" fontId="62" fillId="13" borderId="61" xfId="0" applyFont="1" applyFill="1" applyBorder="1" applyAlignment="1" applyProtection="1">
      <alignment horizontal="center" vertical="center" wrapText="1"/>
      <protection locked="0"/>
    </xf>
    <xf numFmtId="0" fontId="62" fillId="13" borderId="62" xfId="0" applyFont="1" applyFill="1" applyBorder="1" applyAlignment="1" applyProtection="1">
      <alignment horizontal="center" vertical="center" wrapText="1"/>
      <protection locked="0"/>
    </xf>
    <xf numFmtId="0" fontId="15" fillId="13" borderId="57" xfId="0" applyFont="1" applyFill="1" applyBorder="1" applyAlignment="1" applyProtection="1">
      <alignment horizontal="center" vertical="center"/>
      <protection hidden="1"/>
    </xf>
    <xf numFmtId="0" fontId="15" fillId="13" borderId="58" xfId="0" applyFont="1" applyFill="1" applyBorder="1" applyAlignment="1" applyProtection="1">
      <alignment horizontal="center" vertical="center"/>
      <protection hidden="1"/>
    </xf>
    <xf numFmtId="0" fontId="15" fillId="13" borderId="59" xfId="0" applyFont="1" applyFill="1" applyBorder="1" applyAlignment="1" applyProtection="1">
      <alignment horizontal="center" vertical="center"/>
      <protection hidden="1"/>
    </xf>
    <xf numFmtId="0" fontId="62" fillId="13" borderId="51" xfId="0" applyFont="1" applyFill="1" applyBorder="1" applyAlignment="1" applyProtection="1">
      <alignment horizontal="center" vertical="center"/>
      <protection hidden="1"/>
    </xf>
    <xf numFmtId="0" fontId="62" fillId="13" borderId="53" xfId="0" applyFont="1" applyFill="1" applyBorder="1" applyAlignment="1" applyProtection="1">
      <alignment horizontal="center" vertical="center"/>
      <protection hidden="1"/>
    </xf>
    <xf numFmtId="3" fontId="29" fillId="0" borderId="83" xfId="0" applyNumberFormat="1" applyFont="1" applyBorder="1" applyAlignment="1" applyProtection="1">
      <alignment horizontal="right" vertical="center" wrapText="1"/>
      <protection locked="0"/>
    </xf>
    <xf numFmtId="3" fontId="26" fillId="0" borderId="83" xfId="0" applyNumberFormat="1" applyFont="1" applyBorder="1" applyAlignment="1" applyProtection="1">
      <alignment horizontal="right" vertical="center" wrapText="1"/>
      <protection locked="0"/>
    </xf>
    <xf numFmtId="3" fontId="26" fillId="0" borderId="84" xfId="0" applyNumberFormat="1" applyFont="1" applyBorder="1" applyAlignment="1" applyProtection="1">
      <alignment horizontal="right" vertical="center" wrapText="1"/>
      <protection locked="0"/>
    </xf>
    <xf numFmtId="0" fontId="67" fillId="4" borderId="60" xfId="0" applyFont="1" applyFill="1" applyBorder="1" applyAlignment="1" applyProtection="1">
      <alignment horizontal="center" vertical="center"/>
      <protection locked="0"/>
    </xf>
    <xf numFmtId="0" fontId="67" fillId="4" borderId="61" xfId="0" applyFont="1" applyFill="1" applyBorder="1" applyAlignment="1" applyProtection="1">
      <alignment horizontal="center" vertical="center"/>
      <protection locked="0"/>
    </xf>
    <xf numFmtId="3" fontId="29" fillId="4" borderId="109" xfId="0" applyNumberFormat="1" applyFont="1" applyFill="1" applyBorder="1" applyAlignment="1" applyProtection="1">
      <alignment horizontal="right" vertical="center"/>
      <protection locked="0"/>
    </xf>
    <xf numFmtId="3" fontId="29" fillId="4" borderId="110" xfId="0" applyNumberFormat="1" applyFont="1" applyFill="1" applyBorder="1" applyAlignment="1" applyProtection="1">
      <alignment horizontal="right" vertical="center"/>
      <protection locked="0"/>
    </xf>
    <xf numFmtId="3" fontId="29" fillId="4" borderId="97" xfId="0" applyNumberFormat="1" applyFont="1" applyFill="1" applyBorder="1" applyAlignment="1" applyProtection="1">
      <alignment horizontal="right" vertical="center" wrapText="1"/>
      <protection locked="0"/>
    </xf>
    <xf numFmtId="3" fontId="29" fillId="4" borderId="80" xfId="0" applyNumberFormat="1" applyFont="1" applyFill="1" applyBorder="1" applyAlignment="1" applyProtection="1">
      <alignment horizontal="right" vertical="center" wrapText="1"/>
      <protection locked="0"/>
    </xf>
    <xf numFmtId="3" fontId="29" fillId="4" borderId="98" xfId="0" applyNumberFormat="1" applyFont="1" applyFill="1" applyBorder="1" applyAlignment="1" applyProtection="1">
      <alignment horizontal="right" vertical="center" wrapText="1"/>
      <protection locked="0"/>
    </xf>
    <xf numFmtId="0" fontId="26" fillId="0" borderId="77" xfId="0" applyFont="1" applyBorder="1" applyAlignment="1" applyProtection="1">
      <alignment horizontal="left" vertical="center" wrapText="1"/>
      <protection locked="0"/>
    </xf>
    <xf numFmtId="0" fontId="26" fillId="0" borderId="0" xfId="0" applyFont="1" applyAlignment="1" applyProtection="1">
      <alignment horizontal="left" vertical="center" wrapText="1"/>
      <protection locked="0"/>
    </xf>
    <xf numFmtId="0" fontId="26" fillId="0" borderId="99" xfId="0" applyFont="1" applyBorder="1" applyAlignment="1" applyProtection="1">
      <alignment horizontal="left" vertical="center" wrapText="1"/>
      <protection locked="0"/>
    </xf>
    <xf numFmtId="3" fontId="26" fillId="0" borderId="104" xfId="0" applyNumberFormat="1" applyFont="1" applyBorder="1" applyAlignment="1" applyProtection="1">
      <alignment horizontal="right" vertical="center" wrapText="1"/>
      <protection locked="0"/>
    </xf>
    <xf numFmtId="3" fontId="26" fillId="0" borderId="85" xfId="0" applyNumberFormat="1" applyFont="1" applyBorder="1" applyAlignment="1" applyProtection="1">
      <alignment horizontal="right" vertical="center" wrapText="1"/>
      <protection locked="0"/>
    </xf>
    <xf numFmtId="3" fontId="29" fillId="0" borderId="69" xfId="0" applyNumberFormat="1" applyFont="1" applyBorder="1" applyAlignment="1" applyProtection="1">
      <alignment horizontal="right" vertical="center" wrapText="1"/>
      <protection locked="0"/>
    </xf>
    <xf numFmtId="3" fontId="26" fillId="0" borderId="69" xfId="0" applyNumberFormat="1" applyFont="1" applyBorder="1" applyAlignment="1" applyProtection="1">
      <alignment horizontal="right" vertical="center" wrapText="1"/>
      <protection locked="0"/>
    </xf>
    <xf numFmtId="3" fontId="26" fillId="0" borderId="70" xfId="0" applyNumberFormat="1" applyFont="1" applyBorder="1" applyAlignment="1" applyProtection="1">
      <alignment horizontal="right" vertical="center" wrapText="1"/>
      <protection locked="0"/>
    </xf>
    <xf numFmtId="3" fontId="26" fillId="0" borderId="0" xfId="0" applyNumberFormat="1" applyFont="1" applyAlignment="1" applyProtection="1">
      <alignment horizontal="right" vertical="center" wrapText="1"/>
      <protection locked="0"/>
    </xf>
    <xf numFmtId="3" fontId="26" fillId="0" borderId="75" xfId="0" applyNumberFormat="1" applyFont="1" applyBorder="1" applyAlignment="1" applyProtection="1">
      <alignment horizontal="right" vertical="center" wrapText="1"/>
      <protection locked="0"/>
    </xf>
    <xf numFmtId="3" fontId="26" fillId="0" borderId="76" xfId="0" applyNumberFormat="1" applyFont="1" applyBorder="1" applyAlignment="1" applyProtection="1">
      <alignment horizontal="right" vertical="center" wrapText="1"/>
      <protection locked="0"/>
    </xf>
    <xf numFmtId="0" fontId="26" fillId="0" borderId="94" xfId="0" applyFont="1" applyBorder="1" applyAlignment="1" applyProtection="1">
      <alignment horizontal="left" vertical="center" wrapText="1" indent="1"/>
      <protection locked="0"/>
    </xf>
    <xf numFmtId="0" fontId="26" fillId="0" borderId="95" xfId="0" applyFont="1" applyBorder="1" applyAlignment="1" applyProtection="1">
      <alignment horizontal="left" vertical="center" wrapText="1" indent="1"/>
      <protection locked="0"/>
    </xf>
    <xf numFmtId="0" fontId="26" fillId="0" borderId="96" xfId="0" applyFont="1" applyBorder="1" applyAlignment="1" applyProtection="1">
      <alignment horizontal="left" vertical="center" wrapText="1" indent="1"/>
      <protection locked="0"/>
    </xf>
    <xf numFmtId="3" fontId="26" fillId="0" borderId="97" xfId="0" applyNumberFormat="1" applyFont="1" applyBorder="1" applyAlignment="1" applyProtection="1">
      <alignment horizontal="right" vertical="center" wrapText="1"/>
      <protection locked="0"/>
    </xf>
    <xf numFmtId="3" fontId="26" fillId="0" borderId="98" xfId="0" applyNumberFormat="1" applyFont="1" applyBorder="1" applyAlignment="1" applyProtection="1">
      <alignment horizontal="right" vertical="center" wrapText="1"/>
      <protection locked="0"/>
    </xf>
    <xf numFmtId="0" fontId="26" fillId="0" borderId="77" xfId="0" applyFont="1" applyBorder="1" applyAlignment="1" applyProtection="1">
      <alignment horizontal="left" vertical="center" wrapText="1" indent="1"/>
      <protection locked="0"/>
    </xf>
    <xf numFmtId="0" fontId="26" fillId="0" borderId="0" xfId="0" applyFont="1" applyAlignment="1" applyProtection="1">
      <alignment horizontal="left" vertical="center" wrapText="1" indent="1"/>
      <protection locked="0"/>
    </xf>
    <xf numFmtId="0" fontId="26" fillId="0" borderId="99" xfId="0" applyFont="1" applyBorder="1" applyAlignment="1" applyProtection="1">
      <alignment horizontal="left" vertical="center" wrapText="1" indent="1"/>
      <protection locked="0"/>
    </xf>
    <xf numFmtId="0" fontId="67" fillId="4" borderId="78" xfId="0" applyFont="1" applyFill="1" applyBorder="1" applyAlignment="1" applyProtection="1">
      <alignment horizontal="center" vertical="center" wrapText="1"/>
      <protection locked="0"/>
    </xf>
    <xf numFmtId="0" fontId="67" fillId="4" borderId="79" xfId="0" applyFont="1" applyFill="1" applyBorder="1" applyAlignment="1" applyProtection="1">
      <alignment horizontal="center" vertical="center" wrapText="1"/>
      <protection locked="0"/>
    </xf>
    <xf numFmtId="0" fontId="67" fillId="4" borderId="80" xfId="0" applyFont="1" applyFill="1" applyBorder="1" applyAlignment="1" applyProtection="1">
      <alignment horizontal="center" vertical="center" wrapText="1"/>
      <protection locked="0"/>
    </xf>
    <xf numFmtId="0" fontId="26" fillId="0" borderId="92" xfId="0" applyFont="1" applyBorder="1" applyAlignment="1" applyProtection="1">
      <alignment horizontal="center" vertical="center" wrapText="1"/>
      <protection locked="0"/>
    </xf>
    <xf numFmtId="0" fontId="26" fillId="0" borderId="93" xfId="0" applyFont="1" applyBorder="1" applyAlignment="1" applyProtection="1">
      <alignment horizontal="center" vertical="center" wrapText="1"/>
      <protection locked="0"/>
    </xf>
    <xf numFmtId="0" fontId="26" fillId="0" borderId="68" xfId="0" applyFont="1" applyBorder="1" applyAlignment="1" applyProtection="1">
      <alignment horizontal="center" vertical="center" wrapText="1"/>
      <protection locked="0"/>
    </xf>
    <xf numFmtId="0" fontId="26" fillId="0" borderId="69" xfId="0" applyFont="1" applyBorder="1" applyAlignment="1" applyProtection="1">
      <alignment horizontal="center" vertical="center" wrapText="1"/>
      <protection locked="0"/>
    </xf>
    <xf numFmtId="0" fontId="26" fillId="0" borderId="70" xfId="0" applyFont="1" applyBorder="1" applyAlignment="1" applyProtection="1">
      <alignment horizontal="center" vertical="center" wrapText="1"/>
      <protection locked="0"/>
    </xf>
    <xf numFmtId="3" fontId="26" fillId="0" borderId="100" xfId="0" applyNumberFormat="1" applyFont="1" applyBorder="1" applyAlignment="1" applyProtection="1">
      <alignment horizontal="right" vertical="center" wrapText="1"/>
      <protection locked="0"/>
    </xf>
    <xf numFmtId="3" fontId="26" fillId="0" borderId="101" xfId="0" applyNumberFormat="1" applyFont="1" applyBorder="1" applyAlignment="1" applyProtection="1">
      <alignment horizontal="right" vertical="center" wrapText="1"/>
      <protection locked="0"/>
    </xf>
    <xf numFmtId="3" fontId="26" fillId="0" borderId="102" xfId="0" applyNumberFormat="1" applyFont="1" applyBorder="1" applyAlignment="1" applyProtection="1">
      <alignment horizontal="right" vertical="center" wrapText="1"/>
      <protection locked="0"/>
    </xf>
    <xf numFmtId="3" fontId="26" fillId="0" borderId="103" xfId="0" applyNumberFormat="1" applyFont="1" applyBorder="1" applyAlignment="1" applyProtection="1">
      <alignment horizontal="right" vertical="center" wrapText="1"/>
      <protection locked="0"/>
    </xf>
    <xf numFmtId="0" fontId="29" fillId="0" borderId="78" xfId="0" applyFont="1" applyBorder="1" applyAlignment="1" applyProtection="1">
      <alignment horizontal="center" vertical="center" wrapText="1"/>
      <protection locked="0"/>
    </xf>
    <xf numFmtId="0" fontId="29" fillId="0" borderId="80" xfId="0" applyFont="1" applyBorder="1" applyAlignment="1" applyProtection="1">
      <alignment horizontal="center" vertical="center" wrapText="1"/>
      <protection locked="0"/>
    </xf>
    <xf numFmtId="0" fontId="65" fillId="0" borderId="78" xfId="0" applyFont="1" applyBorder="1" applyAlignment="1" applyProtection="1">
      <alignment horizontal="left" vertical="center" wrapText="1" indent="1"/>
      <protection locked="0"/>
    </xf>
    <xf numFmtId="0" fontId="65" fillId="0" borderId="79" xfId="0" applyFont="1" applyBorder="1" applyAlignment="1" applyProtection="1">
      <alignment horizontal="left" vertical="center" wrapText="1" indent="1"/>
      <protection locked="0"/>
    </xf>
    <xf numFmtId="0" fontId="65" fillId="0" borderId="80" xfId="0" applyFont="1" applyBorder="1" applyAlignment="1" applyProtection="1">
      <alignment horizontal="left" vertical="center" wrapText="1" indent="1"/>
      <protection locked="0"/>
    </xf>
    <xf numFmtId="0" fontId="29" fillId="4" borderId="81" xfId="0" applyFont="1" applyFill="1" applyBorder="1" applyAlignment="1" applyProtection="1">
      <alignment horizontal="center" vertical="center" wrapText="1"/>
      <protection locked="0"/>
    </xf>
    <xf numFmtId="0" fontId="29" fillId="4" borderId="82" xfId="0" applyFont="1" applyFill="1" applyBorder="1" applyAlignment="1" applyProtection="1">
      <alignment horizontal="center" vertical="center" wrapText="1"/>
      <protection locked="0"/>
    </xf>
    <xf numFmtId="0" fontId="26" fillId="0" borderId="87" xfId="0" applyFont="1" applyBorder="1" applyAlignment="1" applyProtection="1">
      <alignment horizontal="center" vertical="center" wrapText="1"/>
      <protection locked="0"/>
    </xf>
    <xf numFmtId="0" fontId="26" fillId="0" borderId="88" xfId="0" applyFont="1" applyBorder="1" applyAlignment="1" applyProtection="1">
      <alignment horizontal="center" vertical="center" wrapText="1"/>
      <protection locked="0"/>
    </xf>
    <xf numFmtId="0" fontId="26" fillId="0" borderId="89" xfId="0" applyFont="1" applyBorder="1" applyAlignment="1" applyProtection="1">
      <alignment horizontal="center" vertical="center" wrapText="1"/>
      <protection locked="0"/>
    </xf>
    <xf numFmtId="0" fontId="26" fillId="0" borderId="90" xfId="0" applyFont="1" applyBorder="1" applyAlignment="1" applyProtection="1">
      <alignment horizontal="center" vertical="center" wrapText="1"/>
      <protection locked="0"/>
    </xf>
    <xf numFmtId="0" fontId="26" fillId="0" borderId="91" xfId="0" applyFont="1" applyBorder="1" applyAlignment="1" applyProtection="1">
      <alignment horizontal="center" vertical="center" wrapText="1"/>
      <protection locked="0"/>
    </xf>
    <xf numFmtId="0" fontId="66" fillId="0" borderId="77" xfId="0" applyFont="1" applyBorder="1" applyAlignment="1" applyProtection="1">
      <alignment horizontal="center" vertical="center" wrapText="1"/>
      <protection locked="0"/>
    </xf>
    <xf numFmtId="0" fontId="66" fillId="0" borderId="0" xfId="0" applyFont="1" applyAlignment="1" applyProtection="1">
      <alignment horizontal="center" vertical="center" wrapText="1"/>
      <protection locked="0"/>
    </xf>
    <xf numFmtId="3" fontId="26" fillId="0" borderId="72" xfId="0" applyNumberFormat="1" applyFont="1" applyBorder="1" applyAlignment="1" applyProtection="1">
      <alignment horizontal="right" vertical="center" wrapText="1"/>
      <protection locked="0"/>
    </xf>
    <xf numFmtId="3" fontId="26" fillId="0" borderId="73" xfId="0" applyNumberFormat="1" applyFont="1" applyBorder="1" applyAlignment="1" applyProtection="1">
      <alignment horizontal="right" vertical="center" wrapText="1"/>
      <protection locked="0"/>
    </xf>
    <xf numFmtId="0" fontId="65" fillId="0" borderId="77" xfId="0" applyFont="1" applyBorder="1" applyAlignment="1" applyProtection="1">
      <alignment horizontal="left" vertical="center" wrapText="1" indent="1"/>
      <protection locked="0"/>
    </xf>
    <xf numFmtId="0" fontId="65" fillId="0" borderId="0" xfId="0" applyFont="1" applyAlignment="1" applyProtection="1">
      <alignment horizontal="left" vertical="center" wrapText="1" indent="1"/>
      <protection locked="0"/>
    </xf>
    <xf numFmtId="0" fontId="26" fillId="0" borderId="77" xfId="0" applyFont="1" applyBorder="1" applyAlignment="1" applyProtection="1">
      <alignment horizontal="left" indent="1"/>
      <protection locked="0"/>
    </xf>
    <xf numFmtId="0" fontId="26" fillId="0" borderId="0" xfId="0" applyFont="1" applyAlignment="1" applyProtection="1">
      <alignment horizontal="left" indent="1"/>
      <protection locked="0"/>
    </xf>
    <xf numFmtId="0" fontId="26" fillId="13" borderId="69" xfId="0" applyFont="1" applyFill="1" applyBorder="1" applyAlignment="1" applyProtection="1">
      <alignment horizontal="center" vertical="center" wrapText="1"/>
      <protection locked="0"/>
    </xf>
    <xf numFmtId="0" fontId="26" fillId="13" borderId="70" xfId="0" applyFont="1" applyFill="1" applyBorder="1" applyAlignment="1" applyProtection="1">
      <alignment horizontal="center" vertical="center" wrapText="1"/>
      <protection locked="0"/>
    </xf>
    <xf numFmtId="3" fontId="26" fillId="0" borderId="66" xfId="0" applyNumberFormat="1" applyFont="1" applyBorder="1" applyAlignment="1" applyProtection="1">
      <alignment horizontal="right" vertical="center" wrapText="1"/>
      <protection locked="0"/>
    </xf>
    <xf numFmtId="3" fontId="26" fillId="0" borderId="67" xfId="0" applyNumberFormat="1" applyFont="1" applyBorder="1" applyAlignment="1" applyProtection="1">
      <alignment horizontal="right" vertical="center" wrapText="1"/>
      <protection locked="0"/>
    </xf>
    <xf numFmtId="0" fontId="26" fillId="13" borderId="65" xfId="0" applyFont="1" applyFill="1" applyBorder="1" applyAlignment="1" applyProtection="1">
      <alignment horizontal="center" vertical="center" wrapText="1"/>
      <protection locked="0"/>
    </xf>
    <xf numFmtId="0" fontId="26" fillId="13" borderId="66" xfId="0" applyFont="1" applyFill="1" applyBorder="1" applyAlignment="1" applyProtection="1">
      <alignment horizontal="center" vertical="center" wrapText="1"/>
      <protection locked="0"/>
    </xf>
    <xf numFmtId="0" fontId="26" fillId="13" borderId="71" xfId="0" applyFont="1" applyFill="1" applyBorder="1" applyAlignment="1" applyProtection="1">
      <alignment horizontal="center" vertical="center" wrapText="1"/>
      <protection locked="0"/>
    </xf>
    <xf numFmtId="0" fontId="26" fillId="13" borderId="72" xfId="0" applyFont="1" applyFill="1" applyBorder="1" applyAlignment="1" applyProtection="1">
      <alignment horizontal="center" vertical="center" wrapText="1"/>
      <protection locked="0"/>
    </xf>
    <xf numFmtId="0" fontId="26" fillId="13" borderId="74" xfId="0" applyFont="1" applyFill="1" applyBorder="1" applyAlignment="1" applyProtection="1">
      <alignment horizontal="center" vertical="center" wrapText="1"/>
      <protection locked="0"/>
    </xf>
    <xf numFmtId="0" fontId="26" fillId="13" borderId="75" xfId="0" applyFont="1" applyFill="1" applyBorder="1" applyAlignment="1" applyProtection="1">
      <alignment horizontal="center" vertical="center" wrapText="1"/>
      <protection locked="0"/>
    </xf>
    <xf numFmtId="0" fontId="26" fillId="13" borderId="67" xfId="0" applyFont="1" applyFill="1" applyBorder="1" applyAlignment="1" applyProtection="1">
      <alignment horizontal="center" vertical="center" wrapText="1"/>
      <protection locked="0"/>
    </xf>
    <xf numFmtId="0" fontId="26" fillId="13" borderId="73" xfId="0" applyFont="1" applyFill="1" applyBorder="1" applyAlignment="1" applyProtection="1">
      <alignment horizontal="center" vertical="center" wrapText="1"/>
      <protection locked="0"/>
    </xf>
    <xf numFmtId="0" fontId="26" fillId="13" borderId="76" xfId="0" applyFont="1" applyFill="1" applyBorder="1" applyAlignment="1" applyProtection="1">
      <alignment horizontal="center" vertical="center" wrapText="1"/>
      <protection locked="0"/>
    </xf>
    <xf numFmtId="0" fontId="26" fillId="13" borderId="68" xfId="0" applyFont="1" applyFill="1" applyBorder="1" applyAlignment="1" applyProtection="1">
      <alignment horizontal="center" vertical="center" wrapText="1"/>
      <protection locked="0"/>
    </xf>
    <xf numFmtId="0" fontId="14" fillId="9" borderId="51" xfId="0" applyFont="1" applyFill="1" applyBorder="1" applyAlignment="1" applyProtection="1">
      <alignment horizontal="center" vertical="center"/>
      <protection locked="0"/>
    </xf>
    <xf numFmtId="0" fontId="14" fillId="9" borderId="52" xfId="0" applyFont="1" applyFill="1" applyBorder="1" applyAlignment="1" applyProtection="1">
      <alignment horizontal="center" vertical="center"/>
      <protection locked="0"/>
    </xf>
    <xf numFmtId="0" fontId="14" fillId="9" borderId="53" xfId="0" applyFont="1" applyFill="1" applyBorder="1" applyAlignment="1" applyProtection="1">
      <alignment horizontal="center" vertical="center"/>
      <protection locked="0"/>
    </xf>
    <xf numFmtId="0" fontId="20" fillId="0" borderId="0" xfId="0" applyFont="1" applyAlignment="1" applyProtection="1">
      <alignment horizontal="center" vertical="center"/>
      <protection locked="0"/>
    </xf>
    <xf numFmtId="0" fontId="26" fillId="13" borderId="54" xfId="0" applyFont="1" applyFill="1" applyBorder="1" applyAlignment="1" applyProtection="1">
      <alignment horizontal="center" vertical="center" wrapText="1"/>
      <protection locked="0"/>
    </xf>
    <xf numFmtId="0" fontId="29" fillId="13" borderId="55" xfId="0" applyFont="1" applyFill="1" applyBorder="1" applyAlignment="1" applyProtection="1">
      <alignment horizontal="center" vertical="center" wrapText="1"/>
      <protection locked="0"/>
    </xf>
    <xf numFmtId="0" fontId="29" fillId="13" borderId="56" xfId="0" applyFont="1" applyFill="1" applyBorder="1" applyAlignment="1" applyProtection="1">
      <alignment horizontal="center" vertical="center" wrapText="1"/>
      <protection locked="0"/>
    </xf>
    <xf numFmtId="0" fontId="26" fillId="13" borderId="55" xfId="0" applyFont="1" applyFill="1" applyBorder="1" applyAlignment="1" applyProtection="1">
      <alignment horizontal="center" vertical="center" wrapText="1"/>
      <protection locked="0"/>
    </xf>
    <xf numFmtId="0" fontId="26" fillId="13" borderId="56" xfId="0" applyFont="1" applyFill="1" applyBorder="1" applyAlignment="1" applyProtection="1">
      <alignment horizontal="center" vertical="center" wrapText="1"/>
      <protection locked="0"/>
    </xf>
    <xf numFmtId="3" fontId="15" fillId="0" borderId="18" xfId="0" applyNumberFormat="1" applyFont="1" applyBorder="1" applyAlignment="1" applyProtection="1">
      <alignment horizontal="center" vertical="center"/>
      <protection hidden="1"/>
    </xf>
    <xf numFmtId="3" fontId="15" fillId="0" borderId="20" xfId="0" applyNumberFormat="1" applyFont="1" applyBorder="1" applyAlignment="1" applyProtection="1">
      <alignment horizontal="center" vertical="center"/>
      <protection hidden="1"/>
    </xf>
    <xf numFmtId="0" fontId="15" fillId="0" borderId="0" xfId="0" applyFont="1" applyAlignment="1" applyProtection="1">
      <alignment horizontal="right"/>
      <protection hidden="1"/>
    </xf>
    <xf numFmtId="3" fontId="46" fillId="4" borderId="118" xfId="0" applyNumberFormat="1" applyFont="1" applyFill="1" applyBorder="1" applyAlignment="1" applyProtection="1">
      <alignment vertical="center"/>
      <protection locked="0"/>
    </xf>
    <xf numFmtId="3" fontId="46" fillId="4" borderId="119" xfId="0" applyNumberFormat="1" applyFont="1" applyFill="1" applyBorder="1" applyAlignment="1" applyProtection="1">
      <alignment vertical="center"/>
      <protection locked="0"/>
    </xf>
    <xf numFmtId="0" fontId="43" fillId="0" borderId="115" xfId="0" applyFont="1" applyBorder="1" applyAlignment="1" applyProtection="1">
      <alignment vertical="center"/>
      <protection locked="0"/>
    </xf>
    <xf numFmtId="0" fontId="43" fillId="0" borderId="3" xfId="0" applyFont="1" applyBorder="1" applyAlignment="1" applyProtection="1">
      <alignment vertical="center"/>
      <protection locked="0"/>
    </xf>
    <xf numFmtId="3" fontId="43" fillId="0" borderId="6" xfId="0" applyNumberFormat="1" applyFont="1" applyBorder="1" applyAlignment="1" applyProtection="1">
      <alignment vertical="center"/>
      <protection locked="0"/>
    </xf>
    <xf numFmtId="3" fontId="43" fillId="0" borderId="116" xfId="0" applyNumberFormat="1" applyFont="1" applyBorder="1" applyAlignment="1" applyProtection="1">
      <alignment vertical="center"/>
      <protection locked="0"/>
    </xf>
    <xf numFmtId="0" fontId="43" fillId="0" borderId="112" xfId="0" applyFont="1" applyBorder="1" applyAlignment="1" applyProtection="1">
      <alignment vertical="center"/>
      <protection locked="0"/>
    </xf>
    <xf numFmtId="0" fontId="43" fillId="0" borderId="113" xfId="0" applyFont="1" applyBorder="1" applyAlignment="1" applyProtection="1">
      <alignment vertical="center"/>
      <protection locked="0"/>
    </xf>
    <xf numFmtId="3" fontId="43" fillId="0" borderId="5" xfId="0" applyNumberFormat="1" applyFont="1" applyBorder="1" applyAlignment="1" applyProtection="1">
      <alignment vertical="center"/>
      <protection locked="0"/>
    </xf>
    <xf numFmtId="3" fontId="43" fillId="0" borderId="114" xfId="0" applyNumberFormat="1" applyFont="1" applyBorder="1" applyAlignment="1" applyProtection="1">
      <alignment vertical="center"/>
      <protection locked="0"/>
    </xf>
    <xf numFmtId="0" fontId="43" fillId="13" borderId="111" xfId="0" applyFont="1" applyFill="1" applyBorder="1" applyAlignment="1" applyProtection="1">
      <alignment horizontal="center" vertical="center" wrapText="1"/>
      <protection locked="0"/>
    </xf>
    <xf numFmtId="0" fontId="13" fillId="0" borderId="6" xfId="0" applyFont="1" applyBorder="1" applyProtection="1">
      <protection locked="0"/>
    </xf>
    <xf numFmtId="3" fontId="13" fillId="0" borderId="6" xfId="0" applyNumberFormat="1" applyFont="1" applyBorder="1" applyProtection="1">
      <protection locked="0"/>
    </xf>
    <xf numFmtId="0" fontId="33" fillId="15" borderId="124" xfId="4" applyFont="1" applyFill="1" applyBorder="1" applyAlignment="1" applyProtection="1">
      <alignment horizontal="left" vertical="center"/>
      <protection locked="0"/>
    </xf>
    <xf numFmtId="0" fontId="33" fillId="15" borderId="6" xfId="4" applyFont="1" applyFill="1" applyBorder="1" applyAlignment="1" applyProtection="1">
      <alignment horizontal="left" vertical="center"/>
      <protection locked="0"/>
    </xf>
    <xf numFmtId="3" fontId="33" fillId="15" borderId="6" xfId="4" applyNumberFormat="1" applyFont="1" applyFill="1" applyBorder="1" applyAlignment="1" applyProtection="1">
      <alignment horizontal="right" vertical="center"/>
      <protection locked="0"/>
    </xf>
    <xf numFmtId="3" fontId="33" fillId="15" borderId="116" xfId="4" applyNumberFormat="1" applyFont="1" applyFill="1" applyBorder="1" applyAlignment="1" applyProtection="1">
      <alignment horizontal="right" vertical="center"/>
      <protection locked="0"/>
    </xf>
    <xf numFmtId="0" fontId="33" fillId="0" borderId="124" xfId="4" applyFont="1" applyBorder="1" applyAlignment="1" applyProtection="1">
      <alignment horizontal="left" vertical="center"/>
      <protection locked="0"/>
    </xf>
    <xf numFmtId="0" fontId="33" fillId="0" borderId="6" xfId="4" applyFont="1" applyBorder="1" applyAlignment="1" applyProtection="1">
      <alignment horizontal="left" vertical="center"/>
      <protection locked="0"/>
    </xf>
    <xf numFmtId="3" fontId="33" fillId="0" borderId="6" xfId="4" applyNumberFormat="1" applyFont="1" applyBorder="1" applyAlignment="1" applyProtection="1">
      <alignment horizontal="right" vertical="center"/>
      <protection locked="0"/>
    </xf>
    <xf numFmtId="3" fontId="33" fillId="0" borderId="116" xfId="4" applyNumberFormat="1" applyFont="1" applyBorder="1" applyAlignment="1" applyProtection="1">
      <alignment horizontal="right" vertical="center"/>
      <protection locked="0"/>
    </xf>
    <xf numFmtId="0" fontId="27" fillId="4" borderId="117" xfId="4" applyFont="1" applyFill="1" applyBorder="1" applyAlignment="1" applyProtection="1">
      <alignment horizontal="right" vertical="center"/>
      <protection locked="0"/>
    </xf>
    <xf numFmtId="0" fontId="27" fillId="4" borderId="118" xfId="4" applyFont="1" applyFill="1" applyBorder="1" applyAlignment="1" applyProtection="1">
      <alignment horizontal="right" vertical="center"/>
      <protection locked="0"/>
    </xf>
    <xf numFmtId="3" fontId="27" fillId="4" borderId="118" xfId="4" applyNumberFormat="1" applyFont="1" applyFill="1" applyBorder="1" applyAlignment="1" applyProtection="1">
      <alignment horizontal="right" vertical="center"/>
      <protection locked="0"/>
    </xf>
    <xf numFmtId="3" fontId="27" fillId="4" borderId="119" xfId="4" applyNumberFormat="1" applyFont="1" applyFill="1" applyBorder="1" applyAlignment="1" applyProtection="1">
      <alignment horizontal="right" vertical="center"/>
      <protection locked="0"/>
    </xf>
    <xf numFmtId="0" fontId="25" fillId="9" borderId="115" xfId="4" applyFont="1" applyFill="1" applyBorder="1" applyAlignment="1" applyProtection="1">
      <alignment horizontal="center"/>
      <protection locked="0"/>
    </xf>
    <xf numFmtId="0" fontId="25" fillId="9" borderId="2" xfId="4" applyFont="1" applyFill="1" applyBorder="1" applyAlignment="1" applyProtection="1">
      <alignment horizontal="center"/>
      <protection locked="0"/>
    </xf>
    <xf numFmtId="0" fontId="25" fillId="9" borderId="123" xfId="4" applyFont="1" applyFill="1" applyBorder="1" applyAlignment="1" applyProtection="1">
      <alignment horizontal="center"/>
      <protection locked="0"/>
    </xf>
    <xf numFmtId="0" fontId="33" fillId="15" borderId="115" xfId="4" applyFont="1" applyFill="1" applyBorder="1" applyAlignment="1" applyProtection="1">
      <alignment horizontal="left" vertical="center"/>
      <protection locked="0"/>
    </xf>
    <xf numFmtId="0" fontId="33" fillId="15" borderId="2" xfId="4" applyFont="1" applyFill="1" applyBorder="1" applyAlignment="1" applyProtection="1">
      <alignment horizontal="left" vertical="center"/>
      <protection locked="0"/>
    </xf>
    <xf numFmtId="0" fontId="33" fillId="15" borderId="3" xfId="4" applyFont="1" applyFill="1" applyBorder="1" applyAlignment="1" applyProtection="1">
      <alignment horizontal="left" vertical="center"/>
      <protection locked="0"/>
    </xf>
    <xf numFmtId="3" fontId="33" fillId="15" borderId="1" xfId="4" applyNumberFormat="1" applyFont="1" applyFill="1" applyBorder="1" applyAlignment="1" applyProtection="1">
      <alignment horizontal="right" vertical="center"/>
      <protection locked="0"/>
    </xf>
    <xf numFmtId="3" fontId="33" fillId="15" borderId="123" xfId="4" applyNumberFormat="1" applyFont="1" applyFill="1" applyBorder="1" applyAlignment="1" applyProtection="1">
      <alignment horizontal="right" vertical="center"/>
      <protection locked="0"/>
    </xf>
    <xf numFmtId="0" fontId="33" fillId="13" borderId="120" xfId="4" applyFont="1" applyFill="1" applyBorder="1" applyAlignment="1" applyProtection="1">
      <alignment horizontal="center"/>
      <protection locked="0"/>
    </xf>
    <xf numFmtId="0" fontId="33" fillId="13" borderId="121" xfId="4" applyFont="1" applyFill="1" applyBorder="1" applyAlignment="1" applyProtection="1">
      <alignment horizontal="center"/>
      <protection locked="0"/>
    </xf>
    <xf numFmtId="0" fontId="27" fillId="13" borderId="121" xfId="4" applyFont="1" applyFill="1" applyBorder="1" applyAlignment="1" applyProtection="1">
      <alignment horizontal="center" vertical="center" wrapText="1"/>
      <protection locked="0"/>
    </xf>
    <xf numFmtId="0" fontId="27" fillId="13" borderId="122" xfId="4" applyFont="1" applyFill="1" applyBorder="1" applyAlignment="1" applyProtection="1">
      <alignment horizontal="center" vertical="center" wrapText="1"/>
      <protection locked="0"/>
    </xf>
    <xf numFmtId="0" fontId="58" fillId="0" borderId="0" xfId="0" applyFont="1" applyAlignment="1" applyProtection="1">
      <alignment horizontal="left" vertical="center" wrapText="1"/>
      <protection locked="0"/>
    </xf>
    <xf numFmtId="3" fontId="20" fillId="0" borderId="6" xfId="0" applyNumberFormat="1" applyFont="1" applyBorder="1" applyProtection="1">
      <protection locked="0"/>
    </xf>
    <xf numFmtId="0" fontId="46" fillId="4" borderId="6" xfId="0" applyFont="1" applyFill="1" applyBorder="1" applyAlignment="1" applyProtection="1">
      <alignment horizontal="center" vertical="center"/>
      <protection locked="0"/>
    </xf>
    <xf numFmtId="0" fontId="20" fillId="4" borderId="6" xfId="0" applyFont="1" applyFill="1" applyBorder="1" applyAlignment="1" applyProtection="1">
      <alignment horizontal="center" vertical="center"/>
      <protection locked="0"/>
    </xf>
    <xf numFmtId="0" fontId="20" fillId="4" borderId="6" xfId="0" applyFont="1" applyFill="1" applyBorder="1" applyAlignment="1" applyProtection="1">
      <alignment horizontal="center" vertical="center" wrapText="1"/>
      <protection locked="0"/>
    </xf>
    <xf numFmtId="0" fontId="13" fillId="0" borderId="1" xfId="0" applyFont="1" applyBorder="1" applyProtection="1">
      <protection locked="0"/>
    </xf>
    <xf numFmtId="0" fontId="13" fillId="0" borderId="2" xfId="0" applyFont="1" applyBorder="1" applyProtection="1">
      <protection locked="0"/>
    </xf>
    <xf numFmtId="0" fontId="13" fillId="0" borderId="3" xfId="0" applyFont="1" applyBorder="1" applyProtection="1">
      <protection locked="0"/>
    </xf>
    <xf numFmtId="0" fontId="20" fillId="4" borderId="1" xfId="0" applyFont="1" applyFill="1" applyBorder="1" applyAlignment="1" applyProtection="1">
      <alignment horizontal="center" vertical="center"/>
      <protection locked="0"/>
    </xf>
    <xf numFmtId="0" fontId="20" fillId="4" borderId="2" xfId="0" applyFont="1" applyFill="1" applyBorder="1" applyAlignment="1" applyProtection="1">
      <alignment horizontal="center" vertical="center"/>
      <protection locked="0"/>
    </xf>
    <xf numFmtId="0" fontId="20" fillId="4" borderId="3" xfId="0" applyFont="1" applyFill="1" applyBorder="1" applyAlignment="1" applyProtection="1">
      <alignment horizontal="center" vertical="center"/>
      <protection locked="0"/>
    </xf>
    <xf numFmtId="0" fontId="46" fillId="9" borderId="6" xfId="0" applyFont="1" applyFill="1" applyBorder="1" applyAlignment="1" applyProtection="1">
      <alignment horizontal="center" vertical="center"/>
      <protection locked="0"/>
    </xf>
    <xf numFmtId="0" fontId="20" fillId="9" borderId="6" xfId="0" applyFont="1" applyFill="1" applyBorder="1" applyAlignment="1" applyProtection="1">
      <alignment horizontal="center" vertical="center"/>
      <protection locked="0"/>
    </xf>
    <xf numFmtId="0" fontId="24" fillId="0" borderId="1" xfId="0" applyFont="1" applyBorder="1" applyProtection="1">
      <protection locked="0"/>
    </xf>
    <xf numFmtId="0" fontId="24" fillId="0" borderId="3" xfId="0" applyFont="1" applyBorder="1" applyProtection="1">
      <protection locked="0"/>
    </xf>
    <xf numFmtId="0" fontId="24" fillId="0" borderId="125" xfId="0" applyFont="1" applyBorder="1" applyProtection="1">
      <protection locked="0"/>
    </xf>
    <xf numFmtId="0" fontId="24" fillId="0" borderId="126" xfId="0" applyFont="1" applyBorder="1" applyProtection="1">
      <protection locked="0"/>
    </xf>
    <xf numFmtId="0" fontId="32" fillId="0" borderId="51" xfId="0" applyFont="1" applyBorder="1" applyAlignment="1" applyProtection="1">
      <alignment horizontal="center"/>
      <protection locked="0"/>
    </xf>
    <xf numFmtId="0" fontId="32" fillId="0" borderId="52" xfId="0" applyFont="1" applyBorder="1" applyAlignment="1" applyProtection="1">
      <alignment horizontal="center"/>
      <protection locked="0"/>
    </xf>
    <xf numFmtId="0" fontId="32" fillId="0" borderId="129" xfId="0" applyFont="1" applyBorder="1" applyAlignment="1" applyProtection="1">
      <alignment horizontal="center"/>
      <protection locked="0"/>
    </xf>
    <xf numFmtId="0" fontId="29" fillId="0" borderId="121" xfId="0" applyFont="1" applyBorder="1" applyAlignment="1" applyProtection="1">
      <alignment horizontal="center" vertical="center" wrapText="1"/>
      <protection locked="0"/>
    </xf>
    <xf numFmtId="0" fontId="29" fillId="0" borderId="118" xfId="0" applyFont="1" applyBorder="1" applyAlignment="1" applyProtection="1">
      <alignment horizontal="center" vertical="center" wrapText="1"/>
      <protection locked="0"/>
    </xf>
    <xf numFmtId="0" fontId="29" fillId="0" borderId="122" xfId="0" applyFont="1" applyBorder="1" applyAlignment="1" applyProtection="1">
      <alignment horizontal="center" vertical="center" wrapText="1"/>
      <protection locked="0"/>
    </xf>
    <xf numFmtId="0" fontId="29" fillId="0" borderId="119" xfId="0" applyFont="1" applyBorder="1" applyAlignment="1" applyProtection="1">
      <alignment horizontal="center" vertical="center" wrapText="1"/>
      <protection locked="0"/>
    </xf>
    <xf numFmtId="0" fontId="29" fillId="0" borderId="125" xfId="0" applyFont="1" applyBorder="1" applyAlignment="1" applyProtection="1">
      <alignment horizontal="center" vertical="center" wrapText="1"/>
      <protection locked="0"/>
    </xf>
    <xf numFmtId="0" fontId="29" fillId="0" borderId="126" xfId="0" applyFont="1" applyBorder="1" applyAlignment="1" applyProtection="1">
      <alignment horizontal="center" vertical="center" wrapText="1"/>
      <protection locked="0"/>
    </xf>
    <xf numFmtId="0" fontId="24" fillId="0" borderId="128" xfId="0" applyFont="1" applyBorder="1" applyAlignment="1" applyProtection="1">
      <alignment wrapText="1"/>
      <protection locked="0"/>
    </xf>
    <xf numFmtId="0" fontId="24" fillId="0" borderId="113" xfId="0" applyFont="1" applyBorder="1" applyAlignment="1" applyProtection="1">
      <alignment wrapText="1"/>
      <protection locked="0"/>
    </xf>
    <xf numFmtId="0" fontId="14" fillId="9" borderId="53" xfId="0" applyFont="1" applyFill="1" applyBorder="1" applyAlignment="1" applyProtection="1">
      <alignment horizontal="center" vertical="center" wrapText="1"/>
      <protection locked="0"/>
    </xf>
    <xf numFmtId="0" fontId="29" fillId="0" borderId="120" xfId="0" applyFont="1" applyBorder="1" applyAlignment="1" applyProtection="1">
      <alignment horizontal="center" vertical="center"/>
      <protection locked="0"/>
    </xf>
    <xf numFmtId="0" fontId="29" fillId="0" borderId="121" xfId="0" applyFont="1" applyBorder="1" applyAlignment="1" applyProtection="1">
      <alignment horizontal="center" vertical="center"/>
      <protection locked="0"/>
    </xf>
    <xf numFmtId="0" fontId="15" fillId="0" borderId="0" xfId="0" applyFont="1" applyAlignment="1" applyProtection="1">
      <alignment horizontal="right" vertical="center"/>
      <protection hidden="1"/>
    </xf>
    <xf numFmtId="0" fontId="32" fillId="0" borderId="1" xfId="0" applyFont="1" applyBorder="1" applyAlignment="1" applyProtection="1">
      <alignment horizontal="center"/>
      <protection locked="0"/>
    </xf>
    <xf numFmtId="0" fontId="32" fillId="0" borderId="2" xfId="0" applyFont="1" applyBorder="1" applyAlignment="1" applyProtection="1">
      <alignment horizontal="center"/>
      <protection locked="0"/>
    </xf>
    <xf numFmtId="0" fontId="32" fillId="0" borderId="3" xfId="0" applyFont="1" applyBorder="1" applyAlignment="1" applyProtection="1">
      <alignment horizontal="center"/>
      <protection locked="0"/>
    </xf>
    <xf numFmtId="0" fontId="58" fillId="0" borderId="6" xfId="0" applyFont="1" applyBorder="1" applyProtection="1">
      <protection locked="0"/>
    </xf>
    <xf numFmtId="0" fontId="58" fillId="0" borderId="6" xfId="0" applyFont="1" applyBorder="1" applyAlignment="1" applyProtection="1">
      <alignment wrapText="1"/>
      <protection locked="0"/>
    </xf>
    <xf numFmtId="0" fontId="68" fillId="0" borderId="6" xfId="0" applyFont="1" applyBorder="1" applyAlignment="1" applyProtection="1">
      <alignment horizontal="center" vertical="center" wrapText="1"/>
      <protection locked="0"/>
    </xf>
    <xf numFmtId="0" fontId="58" fillId="0" borderId="6" xfId="0" applyFont="1" applyBorder="1" applyAlignment="1" applyProtection="1">
      <alignment horizontal="center" vertical="center" wrapText="1"/>
      <protection locked="0"/>
    </xf>
    <xf numFmtId="3" fontId="58" fillId="0" borderId="6" xfId="0" applyNumberFormat="1" applyFont="1" applyBorder="1" applyProtection="1">
      <protection locked="0"/>
    </xf>
    <xf numFmtId="0" fontId="68" fillId="0" borderId="1" xfId="0" applyFont="1" applyBorder="1" applyAlignment="1" applyProtection="1">
      <alignment horizontal="center"/>
      <protection locked="0"/>
    </xf>
    <xf numFmtId="0" fontId="68" fillId="0" borderId="2" xfId="0" applyFont="1" applyBorder="1" applyAlignment="1" applyProtection="1">
      <alignment horizontal="center"/>
      <protection locked="0"/>
    </xf>
    <xf numFmtId="0" fontId="68" fillId="0" borderId="3" xfId="0" applyFont="1" applyBorder="1" applyAlignment="1" applyProtection="1">
      <alignment horizontal="center"/>
      <protection locked="0"/>
    </xf>
    <xf numFmtId="3" fontId="68" fillId="0" borderId="6" xfId="0" applyNumberFormat="1" applyFont="1" applyBorder="1" applyProtection="1">
      <protection locked="0"/>
    </xf>
    <xf numFmtId="3" fontId="68" fillId="0" borderId="6" xfId="0" applyNumberFormat="1" applyFont="1" applyBorder="1" applyAlignment="1" applyProtection="1">
      <alignment horizontal="center" vertical="center" wrapText="1"/>
      <protection locked="0"/>
    </xf>
    <xf numFmtId="0" fontId="15" fillId="9" borderId="51" xfId="0" applyFont="1" applyFill="1" applyBorder="1" applyAlignment="1" applyProtection="1">
      <alignment horizontal="center" vertical="center" wrapText="1"/>
      <protection locked="0"/>
    </xf>
    <xf numFmtId="0" fontId="15" fillId="9" borderId="52" xfId="0" applyFont="1" applyFill="1" applyBorder="1" applyAlignment="1" applyProtection="1">
      <alignment horizontal="center" vertical="center" wrapText="1"/>
      <protection locked="0"/>
    </xf>
    <xf numFmtId="3" fontId="13" fillId="15" borderId="1" xfId="0" applyNumberFormat="1" applyFont="1" applyFill="1" applyBorder="1" applyAlignment="1" applyProtection="1">
      <alignment horizontal="center"/>
      <protection locked="0"/>
    </xf>
    <xf numFmtId="3" fontId="13" fillId="15" borderId="3" xfId="0" applyNumberFormat="1" applyFont="1" applyFill="1" applyBorder="1" applyAlignment="1" applyProtection="1">
      <alignment horizontal="center"/>
      <protection locked="0"/>
    </xf>
    <xf numFmtId="0" fontId="69" fillId="0" borderId="1" xfId="0" applyFont="1" applyBorder="1" applyAlignment="1" applyProtection="1">
      <alignment horizontal="left" vertical="center" indent="1"/>
      <protection locked="0"/>
    </xf>
    <xf numFmtId="0" fontId="69" fillId="0" borderId="2" xfId="0" applyFont="1" applyBorder="1" applyAlignment="1" applyProtection="1">
      <alignment horizontal="left" vertical="center" indent="1"/>
      <protection locked="0"/>
    </xf>
    <xf numFmtId="0" fontId="69" fillId="0" borderId="3" xfId="0" applyFont="1" applyBorder="1" applyAlignment="1" applyProtection="1">
      <alignment horizontal="left" vertical="center" indent="1"/>
      <protection locked="0"/>
    </xf>
    <xf numFmtId="3" fontId="13" fillId="0" borderId="1" xfId="0" applyNumberFormat="1" applyFont="1" applyBorder="1" applyProtection="1">
      <protection locked="0"/>
    </xf>
    <xf numFmtId="3" fontId="13" fillId="0" borderId="3" xfId="0" applyNumberFormat="1" applyFont="1" applyBorder="1" applyProtection="1">
      <protection locked="0"/>
    </xf>
    <xf numFmtId="0" fontId="29" fillId="13" borderId="1" xfId="0" applyFont="1" applyFill="1" applyBorder="1" applyAlignment="1" applyProtection="1">
      <alignment horizontal="center" vertical="center" wrapText="1"/>
      <protection locked="0"/>
    </xf>
    <xf numFmtId="0" fontId="29" fillId="13" borderId="2" xfId="0" applyFont="1" applyFill="1" applyBorder="1" applyAlignment="1" applyProtection="1">
      <alignment horizontal="center" vertical="center" wrapText="1"/>
      <protection locked="0"/>
    </xf>
    <xf numFmtId="0" fontId="29" fillId="13" borderId="3" xfId="0" applyFont="1" applyFill="1" applyBorder="1" applyAlignment="1" applyProtection="1">
      <alignment horizontal="center" vertical="center" wrapText="1"/>
      <protection locked="0"/>
    </xf>
    <xf numFmtId="3" fontId="0" fillId="0" borderId="0" xfId="0" applyNumberFormat="1"/>
    <xf numFmtId="0" fontId="70" fillId="16" borderId="0" xfId="0" applyFont="1" applyFill="1" applyAlignment="1">
      <alignment vertical="center" wrapText="1"/>
    </xf>
    <xf numFmtId="0" fontId="70" fillId="17" borderId="0" xfId="0" applyFont="1" applyFill="1" applyAlignment="1">
      <alignment vertical="center" wrapText="1"/>
    </xf>
    <xf numFmtId="0" fontId="71" fillId="16" borderId="0" xfId="0" applyFont="1" applyFill="1" applyAlignment="1">
      <alignment horizontal="right" vertical="center" wrapText="1"/>
    </xf>
    <xf numFmtId="3" fontId="70" fillId="16" borderId="0" xfId="0" applyNumberFormat="1" applyFont="1" applyFill="1" applyAlignment="1">
      <alignment horizontal="right" vertical="center" wrapText="1"/>
    </xf>
    <xf numFmtId="3" fontId="70" fillId="17" borderId="0" xfId="0" applyNumberFormat="1" applyFont="1" applyFill="1" applyAlignment="1">
      <alignment horizontal="right" vertical="center" wrapText="1"/>
    </xf>
    <xf numFmtId="0" fontId="71" fillId="17" borderId="0" xfId="0" applyFont="1" applyFill="1" applyAlignment="1">
      <alignment horizontal="right" vertical="center" wrapText="1"/>
    </xf>
  </cellXfs>
  <cellStyles count="8">
    <cellStyle name="Lien hypertexte" xfId="5" builtinId="8"/>
    <cellStyle name="Milliers" xfId="1" builtinId="3"/>
    <cellStyle name="Milliers 2" xfId="7" xr:uid="{7ABFC407-E499-4C4D-9EC2-81A5DC730E86}"/>
    <cellStyle name="Normal" xfId="0" builtinId="0"/>
    <cellStyle name="Normal 3" xfId="4" xr:uid="{8AE18970-EE11-4F4E-982F-32F2D45BE100}"/>
    <cellStyle name="Normal 4" xfId="6" xr:uid="{184F478F-1EE8-46EF-89C5-BCA5B548B767}"/>
    <cellStyle name="Normal_LIASSE SYSCOA ESSAI 1999" xfId="3" xr:uid="{D8E0FB5C-2C60-4EC6-AB2B-C8B1CD15405C}"/>
    <cellStyle name="Pourcentage" xfId="2" builtinId="5"/>
  </cellStyles>
  <dxfs count="10">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general" vertical="center" textRotation="0" wrapText="1" indent="0" justifyLastLine="0" shrinkToFit="0" readingOrder="0"/>
    </dxf>
    <dxf>
      <numFmt numFmtId="3" formatCode="#,##0"/>
    </dxf>
    <dxf>
      <numFmt numFmtId="3" formatCode="#,##0"/>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externalLink" Target="externalLinks/externalLink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13" Type="http://schemas.openxmlformats.org/officeDocument/2006/relationships/worksheet" Target="worksheets/sheet113.xml"/><Relationship Id="rId118" Type="http://schemas.openxmlformats.org/officeDocument/2006/relationships/worksheet" Target="worksheets/sheet118.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worksheet" Target="worksheets/sheet124.xml"/><Relationship Id="rId12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3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0</xdr:col>
      <xdr:colOff>252519</xdr:colOff>
      <xdr:row>2</xdr:row>
      <xdr:rowOff>26671</xdr:rowOff>
    </xdr:from>
    <xdr:to>
      <xdr:col>9</xdr:col>
      <xdr:colOff>262569</xdr:colOff>
      <xdr:row>3</xdr:row>
      <xdr:rowOff>55981</xdr:rowOff>
    </xdr:to>
    <xdr:sp macro="[1]!PageDeGarde1" textlink="">
      <xdr:nvSpPr>
        <xdr:cNvPr id="2" name="Rectangle à coins arrondis 2">
          <a:extLst>
            <a:ext uri="{FF2B5EF4-FFF2-40B4-BE49-F238E27FC236}">
              <a16:creationId xmlns:a16="http://schemas.microsoft.com/office/drawing/2014/main" id="{C8F3151A-9C14-4CE4-854E-57488879E0D1}"/>
            </a:ext>
          </a:extLst>
        </xdr:cNvPr>
        <xdr:cNvSpPr/>
      </xdr:nvSpPr>
      <xdr:spPr>
        <a:xfrm>
          <a:off x="252519" y="407671"/>
          <a:ext cx="7144275" cy="21981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Page De</a:t>
          </a:r>
          <a:r>
            <a:rPr lang="en-US" sz="1000" b="0" baseline="0">
              <a:ln>
                <a:noFill/>
              </a:ln>
              <a:solidFill>
                <a:schemeClr val="bg1"/>
              </a:solidFill>
              <a:latin typeface="Cambria" panose="02040503050406030204" pitchFamily="18" charset="0"/>
              <a:ea typeface="Cambria" panose="02040503050406030204" pitchFamily="18" charset="0"/>
            </a:rPr>
            <a:t> Garde</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249661</xdr:colOff>
      <xdr:row>14</xdr:row>
      <xdr:rowOff>60134</xdr:rowOff>
    </xdr:from>
    <xdr:to>
      <xdr:col>9</xdr:col>
      <xdr:colOff>265426</xdr:colOff>
      <xdr:row>15</xdr:row>
      <xdr:rowOff>87538</xdr:rowOff>
    </xdr:to>
    <xdr:sp macro="[1]!PageDeGardeBilan" textlink="">
      <xdr:nvSpPr>
        <xdr:cNvPr id="3" name="Rectangle à coins arrondis 3">
          <a:extLst>
            <a:ext uri="{FF2B5EF4-FFF2-40B4-BE49-F238E27FC236}">
              <a16:creationId xmlns:a16="http://schemas.microsoft.com/office/drawing/2014/main" id="{357FE84C-C606-447B-896A-18C76FC8C6F0}"/>
            </a:ext>
          </a:extLst>
        </xdr:cNvPr>
        <xdr:cNvSpPr/>
      </xdr:nvSpPr>
      <xdr:spPr>
        <a:xfrm>
          <a:off x="249661" y="2727134"/>
          <a:ext cx="7149990" cy="217904"/>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Page De</a:t>
          </a:r>
          <a:r>
            <a:rPr lang="en-US" sz="1000" b="0" baseline="0">
              <a:ln>
                <a:noFill/>
              </a:ln>
              <a:solidFill>
                <a:schemeClr val="bg1"/>
              </a:solidFill>
              <a:latin typeface="Cambria" panose="02040503050406030204" pitchFamily="18" charset="0"/>
              <a:ea typeface="Cambria" panose="02040503050406030204" pitchFamily="18" charset="0"/>
            </a:rPr>
            <a:t> Garde Bilan</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16</xdr:row>
      <xdr:rowOff>60947</xdr:rowOff>
    </xdr:from>
    <xdr:to>
      <xdr:col>9</xdr:col>
      <xdr:colOff>266379</xdr:colOff>
      <xdr:row>17</xdr:row>
      <xdr:rowOff>97878</xdr:rowOff>
    </xdr:to>
    <xdr:sp macro="[1]!BILAN" textlink="">
      <xdr:nvSpPr>
        <xdr:cNvPr id="4" name="Rectangle à coins arrondis 4">
          <a:extLst>
            <a:ext uri="{FF2B5EF4-FFF2-40B4-BE49-F238E27FC236}">
              <a16:creationId xmlns:a16="http://schemas.microsoft.com/office/drawing/2014/main" id="{E47E50C8-22EF-4D56-AC20-EBA4FFAECAA0}"/>
            </a:ext>
          </a:extLst>
        </xdr:cNvPr>
        <xdr:cNvSpPr/>
      </xdr:nvSpPr>
      <xdr:spPr>
        <a:xfrm>
          <a:off x="248709" y="3108947"/>
          <a:ext cx="7151895" cy="22743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Bilan</a:t>
          </a:r>
        </a:p>
      </xdr:txBody>
    </xdr:sp>
    <xdr:clientData/>
  </xdr:twoCellAnchor>
  <xdr:twoCellAnchor>
    <xdr:from>
      <xdr:col>0</xdr:col>
      <xdr:colOff>258234</xdr:colOff>
      <xdr:row>18</xdr:row>
      <xdr:rowOff>82717</xdr:rowOff>
    </xdr:from>
    <xdr:to>
      <xdr:col>9</xdr:col>
      <xdr:colOff>256854</xdr:colOff>
      <xdr:row>19</xdr:row>
      <xdr:rowOff>95728</xdr:rowOff>
    </xdr:to>
    <xdr:sp macro="[1]!PageDeGardeCpteExploitation" textlink="">
      <xdr:nvSpPr>
        <xdr:cNvPr id="5" name="Rectangle à coins arrondis 5">
          <a:extLst>
            <a:ext uri="{FF2B5EF4-FFF2-40B4-BE49-F238E27FC236}">
              <a16:creationId xmlns:a16="http://schemas.microsoft.com/office/drawing/2014/main" id="{EE117210-5C0E-4927-AA66-AA25DEA10E11}"/>
            </a:ext>
          </a:extLst>
        </xdr:cNvPr>
        <xdr:cNvSpPr/>
      </xdr:nvSpPr>
      <xdr:spPr>
        <a:xfrm>
          <a:off x="258234" y="3511717"/>
          <a:ext cx="7132845" cy="203511"/>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Page De</a:t>
          </a:r>
          <a:r>
            <a:rPr lang="en-US" sz="1000" b="0" baseline="0">
              <a:ln>
                <a:noFill/>
              </a:ln>
              <a:solidFill>
                <a:schemeClr val="bg1"/>
              </a:solidFill>
              <a:latin typeface="Cambria" panose="02040503050406030204" pitchFamily="18" charset="0"/>
              <a:ea typeface="Cambria" panose="02040503050406030204" pitchFamily="18" charset="0"/>
            </a:rPr>
            <a:t> Garde Compte De Exploitation</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258234</xdr:colOff>
      <xdr:row>20</xdr:row>
      <xdr:rowOff>78663</xdr:rowOff>
    </xdr:from>
    <xdr:to>
      <xdr:col>9</xdr:col>
      <xdr:colOff>256854</xdr:colOff>
      <xdr:row>21</xdr:row>
      <xdr:rowOff>105009</xdr:rowOff>
    </xdr:to>
    <xdr:sp macro="[1]!COMPTE_DE_Exploitation" textlink="">
      <xdr:nvSpPr>
        <xdr:cNvPr id="6" name="Rectangle à coins arrondis 6">
          <a:extLst>
            <a:ext uri="{FF2B5EF4-FFF2-40B4-BE49-F238E27FC236}">
              <a16:creationId xmlns:a16="http://schemas.microsoft.com/office/drawing/2014/main" id="{6ACF9805-3052-470C-A765-CE8C9C6513F9}"/>
            </a:ext>
          </a:extLst>
        </xdr:cNvPr>
        <xdr:cNvSpPr/>
      </xdr:nvSpPr>
      <xdr:spPr>
        <a:xfrm>
          <a:off x="258234" y="3888663"/>
          <a:ext cx="7132845" cy="21684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Compte De</a:t>
          </a:r>
          <a:r>
            <a:rPr lang="en-US" sz="1000" b="0" baseline="0">
              <a:ln>
                <a:noFill/>
              </a:ln>
              <a:solidFill>
                <a:schemeClr val="bg1"/>
              </a:solidFill>
              <a:latin typeface="Cambria" panose="02040503050406030204" pitchFamily="18" charset="0"/>
              <a:ea typeface="Cambria" panose="02040503050406030204" pitchFamily="18" charset="0"/>
            </a:rPr>
            <a:t> Exploitation</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242994</xdr:colOff>
      <xdr:row>30</xdr:row>
      <xdr:rowOff>133111</xdr:rowOff>
    </xdr:from>
    <xdr:to>
      <xdr:col>9</xdr:col>
      <xdr:colOff>272094</xdr:colOff>
      <xdr:row>31</xdr:row>
      <xdr:rowOff>170041</xdr:rowOff>
    </xdr:to>
    <xdr:sp macro="[1]!NOTES" textlink="">
      <xdr:nvSpPr>
        <xdr:cNvPr id="7" name="Rectangle à coins arrondis 9">
          <a:extLst>
            <a:ext uri="{FF2B5EF4-FFF2-40B4-BE49-F238E27FC236}">
              <a16:creationId xmlns:a16="http://schemas.microsoft.com/office/drawing/2014/main" id="{335BEF6A-1FC2-4A3E-BF9C-771791AF3553}"/>
            </a:ext>
          </a:extLst>
        </xdr:cNvPr>
        <xdr:cNvSpPr/>
      </xdr:nvSpPr>
      <xdr:spPr>
        <a:xfrm>
          <a:off x="242994" y="5848111"/>
          <a:ext cx="7163325" cy="22743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Notes</a:t>
          </a:r>
        </a:p>
      </xdr:txBody>
    </xdr:sp>
    <xdr:clientData/>
  </xdr:twoCellAnchor>
  <xdr:twoCellAnchor>
    <xdr:from>
      <xdr:col>0</xdr:col>
      <xdr:colOff>242994</xdr:colOff>
      <xdr:row>28</xdr:row>
      <xdr:rowOff>132296</xdr:rowOff>
    </xdr:from>
    <xdr:to>
      <xdr:col>9</xdr:col>
      <xdr:colOff>272094</xdr:colOff>
      <xdr:row>29</xdr:row>
      <xdr:rowOff>150177</xdr:rowOff>
    </xdr:to>
    <xdr:sp macro="[1]!PageDeGardeNote" textlink="">
      <xdr:nvSpPr>
        <xdr:cNvPr id="8" name="Rectangle à coins arrondis 10">
          <a:extLst>
            <a:ext uri="{FF2B5EF4-FFF2-40B4-BE49-F238E27FC236}">
              <a16:creationId xmlns:a16="http://schemas.microsoft.com/office/drawing/2014/main" id="{9C057D22-22A5-4966-9C4C-1E18746150FB}"/>
            </a:ext>
          </a:extLst>
        </xdr:cNvPr>
        <xdr:cNvSpPr/>
      </xdr:nvSpPr>
      <xdr:spPr>
        <a:xfrm>
          <a:off x="242994" y="5466296"/>
          <a:ext cx="7163325" cy="208381"/>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Page De</a:t>
          </a:r>
          <a:r>
            <a:rPr lang="en-US" sz="1000" b="0" baseline="0">
              <a:ln>
                <a:noFill/>
              </a:ln>
              <a:solidFill>
                <a:schemeClr val="bg1"/>
              </a:solidFill>
              <a:latin typeface="Cambria" panose="02040503050406030204" pitchFamily="18" charset="0"/>
              <a:ea typeface="Cambria" panose="02040503050406030204" pitchFamily="18" charset="0"/>
            </a:rPr>
            <a:t> Garde Note</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242994</xdr:colOff>
      <xdr:row>32</xdr:row>
      <xdr:rowOff>143451</xdr:rowOff>
    </xdr:from>
    <xdr:to>
      <xdr:col>9</xdr:col>
      <xdr:colOff>272094</xdr:colOff>
      <xdr:row>33</xdr:row>
      <xdr:rowOff>170855</xdr:rowOff>
    </xdr:to>
    <xdr:sp macro="[1]!NOTE_1" textlink="">
      <xdr:nvSpPr>
        <xdr:cNvPr id="9" name="Rectangle à coins arrondis 11">
          <a:extLst>
            <a:ext uri="{FF2B5EF4-FFF2-40B4-BE49-F238E27FC236}">
              <a16:creationId xmlns:a16="http://schemas.microsoft.com/office/drawing/2014/main" id="{69078936-E767-4584-AC17-109AA6A283D1}"/>
            </a:ext>
          </a:extLst>
        </xdr:cNvPr>
        <xdr:cNvSpPr/>
      </xdr:nvSpPr>
      <xdr:spPr>
        <a:xfrm>
          <a:off x="242994" y="6239451"/>
          <a:ext cx="7163325" cy="21790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 : Informations obligatoires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242994</xdr:colOff>
      <xdr:row>34</xdr:row>
      <xdr:rowOff>153789</xdr:rowOff>
    </xdr:from>
    <xdr:to>
      <xdr:col>9</xdr:col>
      <xdr:colOff>272094</xdr:colOff>
      <xdr:row>36</xdr:row>
      <xdr:rowOff>12708</xdr:rowOff>
    </xdr:to>
    <xdr:sp macro="[1]!NOTE_2" textlink="">
      <xdr:nvSpPr>
        <xdr:cNvPr id="10" name="Rectangle à coins arrondis 12">
          <a:extLst>
            <a:ext uri="{FF2B5EF4-FFF2-40B4-BE49-F238E27FC236}">
              <a16:creationId xmlns:a16="http://schemas.microsoft.com/office/drawing/2014/main" id="{3EE2CF09-CABF-4231-A9BA-BE4E1C8EFDFD}"/>
            </a:ext>
          </a:extLst>
        </xdr:cNvPr>
        <xdr:cNvSpPr/>
      </xdr:nvSpPr>
      <xdr:spPr>
        <a:xfrm>
          <a:off x="242994" y="6630789"/>
          <a:ext cx="7163325" cy="2399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 : Informations spécifiques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255376</xdr:colOff>
      <xdr:row>24</xdr:row>
      <xdr:rowOff>94473</xdr:rowOff>
    </xdr:from>
    <xdr:to>
      <xdr:col>9</xdr:col>
      <xdr:colOff>259711</xdr:colOff>
      <xdr:row>25</xdr:row>
      <xdr:rowOff>125687</xdr:rowOff>
    </xdr:to>
    <xdr:sp macro="[1]!TEB" textlink="">
      <xdr:nvSpPr>
        <xdr:cNvPr id="11" name="Rectangle à coins arrondis 13">
          <a:extLst>
            <a:ext uri="{FF2B5EF4-FFF2-40B4-BE49-F238E27FC236}">
              <a16:creationId xmlns:a16="http://schemas.microsoft.com/office/drawing/2014/main" id="{E4FEE4E2-9C0D-4EEC-A948-12B17AE4009A}"/>
            </a:ext>
          </a:extLst>
        </xdr:cNvPr>
        <xdr:cNvSpPr/>
      </xdr:nvSpPr>
      <xdr:spPr>
        <a:xfrm>
          <a:off x="255376" y="4666473"/>
          <a:ext cx="7138560" cy="22171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baseline="0">
              <a:ln>
                <a:noFill/>
              </a:ln>
              <a:solidFill>
                <a:schemeClr val="bg1"/>
              </a:solidFill>
              <a:latin typeface="Cambria" panose="02040503050406030204" pitchFamily="18" charset="0"/>
              <a:ea typeface="Cambria" panose="02040503050406030204" pitchFamily="18" charset="0"/>
            </a:rPr>
            <a:t>Tableau d'exécution budgétaire</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242994</xdr:colOff>
      <xdr:row>26</xdr:row>
      <xdr:rowOff>101002</xdr:rowOff>
    </xdr:from>
    <xdr:to>
      <xdr:col>9</xdr:col>
      <xdr:colOff>272094</xdr:colOff>
      <xdr:row>27</xdr:row>
      <xdr:rowOff>149362</xdr:rowOff>
    </xdr:to>
    <xdr:sp macro="[1]!TRT" textlink="">
      <xdr:nvSpPr>
        <xdr:cNvPr id="12" name="Rectangle à coins arrondis 14">
          <a:extLst>
            <a:ext uri="{FF2B5EF4-FFF2-40B4-BE49-F238E27FC236}">
              <a16:creationId xmlns:a16="http://schemas.microsoft.com/office/drawing/2014/main" id="{23687AD6-E469-43F6-A070-13B5E5918B6D}"/>
            </a:ext>
          </a:extLst>
        </xdr:cNvPr>
        <xdr:cNvSpPr/>
      </xdr:nvSpPr>
      <xdr:spPr>
        <a:xfrm>
          <a:off x="242994" y="5054002"/>
          <a:ext cx="7163325" cy="2388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baseline="0">
              <a:ln>
                <a:noFill/>
              </a:ln>
              <a:solidFill>
                <a:schemeClr val="bg1"/>
              </a:solidFill>
              <a:latin typeface="Cambria" panose="02040503050406030204" pitchFamily="18" charset="0"/>
              <a:ea typeface="Cambria" panose="02040503050406030204" pitchFamily="18" charset="0"/>
            </a:rPr>
            <a:t>Tableau de réconciliation de la trésorerie</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22</xdr:row>
      <xdr:rowOff>87943</xdr:rowOff>
    </xdr:from>
    <xdr:to>
      <xdr:col>9</xdr:col>
      <xdr:colOff>266379</xdr:colOff>
      <xdr:row>23</xdr:row>
      <xdr:rowOff>111539</xdr:rowOff>
    </xdr:to>
    <xdr:sp macro="[1]!TER" textlink="">
      <xdr:nvSpPr>
        <xdr:cNvPr id="13" name="Rectangle à coins arrondis 15">
          <a:extLst>
            <a:ext uri="{FF2B5EF4-FFF2-40B4-BE49-F238E27FC236}">
              <a16:creationId xmlns:a16="http://schemas.microsoft.com/office/drawing/2014/main" id="{AD08F4CE-608A-48AE-B516-35BAC7AC6E2D}"/>
            </a:ext>
          </a:extLst>
        </xdr:cNvPr>
        <xdr:cNvSpPr/>
      </xdr:nvSpPr>
      <xdr:spPr>
        <a:xfrm>
          <a:off x="248709" y="4278943"/>
          <a:ext cx="7151895" cy="21409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Tableau Emplois Ressources</a:t>
          </a:r>
        </a:p>
      </xdr:txBody>
    </xdr:sp>
    <xdr:clientData/>
  </xdr:twoCellAnchor>
  <xdr:twoCellAnchor>
    <xdr:from>
      <xdr:col>0</xdr:col>
      <xdr:colOff>258234</xdr:colOff>
      <xdr:row>41</xdr:row>
      <xdr:rowOff>16321</xdr:rowOff>
    </xdr:from>
    <xdr:to>
      <xdr:col>9</xdr:col>
      <xdr:colOff>256854</xdr:colOff>
      <xdr:row>42</xdr:row>
      <xdr:rowOff>45631</xdr:rowOff>
    </xdr:to>
    <xdr:sp macro="[1]!NOTE_4" textlink="">
      <xdr:nvSpPr>
        <xdr:cNvPr id="14" name="Rectangle à coins arrondis 16">
          <a:extLst>
            <a:ext uri="{FF2B5EF4-FFF2-40B4-BE49-F238E27FC236}">
              <a16:creationId xmlns:a16="http://schemas.microsoft.com/office/drawing/2014/main" id="{495F79F2-8147-4FD0-8C5A-412050A4F733}"/>
            </a:ext>
          </a:extLst>
        </xdr:cNvPr>
        <xdr:cNvSpPr/>
      </xdr:nvSpPr>
      <xdr:spPr>
        <a:xfrm>
          <a:off x="258234" y="7826821"/>
          <a:ext cx="7132845" cy="21981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4 : Actif circulant et dettes circulantes HAO</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258234</xdr:colOff>
      <xdr:row>43</xdr:row>
      <xdr:rowOff>19040</xdr:rowOff>
    </xdr:from>
    <xdr:to>
      <xdr:col>9</xdr:col>
      <xdr:colOff>256854</xdr:colOff>
      <xdr:row>44</xdr:row>
      <xdr:rowOff>48350</xdr:rowOff>
    </xdr:to>
    <xdr:sp macro="[1]!NOTE_5" textlink="">
      <xdr:nvSpPr>
        <xdr:cNvPr id="15" name="Rectangle à coins arrondis 17">
          <a:extLst>
            <a:ext uri="{FF2B5EF4-FFF2-40B4-BE49-F238E27FC236}">
              <a16:creationId xmlns:a16="http://schemas.microsoft.com/office/drawing/2014/main" id="{882F5652-5951-4AB6-AC3E-1526B0D1F79E}"/>
            </a:ext>
          </a:extLst>
        </xdr:cNvPr>
        <xdr:cNvSpPr/>
      </xdr:nvSpPr>
      <xdr:spPr>
        <a:xfrm>
          <a:off x="258234" y="8210540"/>
          <a:ext cx="7132845" cy="21981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5 : Stocks et encours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258234</xdr:colOff>
      <xdr:row>45</xdr:row>
      <xdr:rowOff>21759</xdr:rowOff>
    </xdr:from>
    <xdr:to>
      <xdr:col>9</xdr:col>
      <xdr:colOff>256854</xdr:colOff>
      <xdr:row>46</xdr:row>
      <xdr:rowOff>46200</xdr:rowOff>
    </xdr:to>
    <xdr:sp macro="[1]!NOTE_6" textlink="">
      <xdr:nvSpPr>
        <xdr:cNvPr id="16" name="Rectangle à coins arrondis 23">
          <a:extLst>
            <a:ext uri="{FF2B5EF4-FFF2-40B4-BE49-F238E27FC236}">
              <a16:creationId xmlns:a16="http://schemas.microsoft.com/office/drawing/2014/main" id="{4E6098E6-3F90-4EB1-AFEC-3F94E7275948}"/>
            </a:ext>
          </a:extLst>
        </xdr:cNvPr>
        <xdr:cNvSpPr/>
      </xdr:nvSpPr>
      <xdr:spPr>
        <a:xfrm>
          <a:off x="258234" y="8594259"/>
          <a:ext cx="7132845" cy="21494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6 : Clients - usagers et autres créances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262044</xdr:colOff>
      <xdr:row>47</xdr:row>
      <xdr:rowOff>19610</xdr:rowOff>
    </xdr:from>
    <xdr:to>
      <xdr:col>9</xdr:col>
      <xdr:colOff>253044</xdr:colOff>
      <xdr:row>48</xdr:row>
      <xdr:rowOff>55482</xdr:rowOff>
    </xdr:to>
    <xdr:sp macro="[1]!NOTE_7" textlink="">
      <xdr:nvSpPr>
        <xdr:cNvPr id="17" name="Rectangle à coins arrondis 24">
          <a:extLst>
            <a:ext uri="{FF2B5EF4-FFF2-40B4-BE49-F238E27FC236}">
              <a16:creationId xmlns:a16="http://schemas.microsoft.com/office/drawing/2014/main" id="{ED62DABC-D19B-4163-B563-A61D708C4B5C}"/>
            </a:ext>
          </a:extLst>
        </xdr:cNvPr>
        <xdr:cNvSpPr/>
      </xdr:nvSpPr>
      <xdr:spPr>
        <a:xfrm>
          <a:off x="262044" y="8973110"/>
          <a:ext cx="7125225" cy="2263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7 : Disponibilités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247756</xdr:colOff>
      <xdr:row>49</xdr:row>
      <xdr:rowOff>28891</xdr:rowOff>
    </xdr:from>
    <xdr:to>
      <xdr:col>9</xdr:col>
      <xdr:colOff>267331</xdr:colOff>
      <xdr:row>50</xdr:row>
      <xdr:rowOff>55238</xdr:rowOff>
    </xdr:to>
    <xdr:sp macro="[1]!NOTE_8" textlink="">
      <xdr:nvSpPr>
        <xdr:cNvPr id="18" name="Rectangle à coins arrondis 25">
          <a:extLst>
            <a:ext uri="{FF2B5EF4-FFF2-40B4-BE49-F238E27FC236}">
              <a16:creationId xmlns:a16="http://schemas.microsoft.com/office/drawing/2014/main" id="{1F067A5C-A121-492B-B785-112E171A5F0C}"/>
            </a:ext>
          </a:extLst>
        </xdr:cNvPr>
        <xdr:cNvSpPr/>
      </xdr:nvSpPr>
      <xdr:spPr>
        <a:xfrm>
          <a:off x="247756" y="9363391"/>
          <a:ext cx="7153800" cy="21684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8 : Ecarts de conversion</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51</xdr:row>
      <xdr:rowOff>38172</xdr:rowOff>
    </xdr:from>
    <xdr:to>
      <xdr:col>9</xdr:col>
      <xdr:colOff>266379</xdr:colOff>
      <xdr:row>52</xdr:row>
      <xdr:rowOff>70233</xdr:rowOff>
    </xdr:to>
    <xdr:sp macro="[1]!NOTE_9" textlink="">
      <xdr:nvSpPr>
        <xdr:cNvPr id="19" name="Rectangle à coins arrondis 26">
          <a:extLst>
            <a:ext uri="{FF2B5EF4-FFF2-40B4-BE49-F238E27FC236}">
              <a16:creationId xmlns:a16="http://schemas.microsoft.com/office/drawing/2014/main" id="{17FF2F49-9669-4DD6-A52E-1EA7689A3746}"/>
            </a:ext>
          </a:extLst>
        </xdr:cNvPr>
        <xdr:cNvSpPr/>
      </xdr:nvSpPr>
      <xdr:spPr>
        <a:xfrm>
          <a:off x="248709" y="9753672"/>
          <a:ext cx="7151895" cy="22256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9 : Fonds du bailleur</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53</xdr:row>
      <xdr:rowOff>55073</xdr:rowOff>
    </xdr:from>
    <xdr:to>
      <xdr:col>9</xdr:col>
      <xdr:colOff>266379</xdr:colOff>
      <xdr:row>54</xdr:row>
      <xdr:rowOff>77610</xdr:rowOff>
    </xdr:to>
    <xdr:sp macro="[1]!NOTE_10" textlink="">
      <xdr:nvSpPr>
        <xdr:cNvPr id="20" name="Rectangle à coins arrondis 28">
          <a:extLst>
            <a:ext uri="{FF2B5EF4-FFF2-40B4-BE49-F238E27FC236}">
              <a16:creationId xmlns:a16="http://schemas.microsoft.com/office/drawing/2014/main" id="{3180934A-AD3E-448B-AA21-325420FC946B}"/>
            </a:ext>
          </a:extLst>
        </xdr:cNvPr>
        <xdr:cNvSpPr/>
      </xdr:nvSpPr>
      <xdr:spPr>
        <a:xfrm>
          <a:off x="248709" y="10151573"/>
          <a:ext cx="7151895" cy="21303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10 : Subventions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55</xdr:row>
      <xdr:rowOff>60544</xdr:rowOff>
    </xdr:from>
    <xdr:to>
      <xdr:col>9</xdr:col>
      <xdr:colOff>266379</xdr:colOff>
      <xdr:row>56</xdr:row>
      <xdr:rowOff>93665</xdr:rowOff>
    </xdr:to>
    <xdr:sp macro="[1]!NOTE_11" textlink="">
      <xdr:nvSpPr>
        <xdr:cNvPr id="21" name="Rectangle à coins arrondis 29">
          <a:extLst>
            <a:ext uri="{FF2B5EF4-FFF2-40B4-BE49-F238E27FC236}">
              <a16:creationId xmlns:a16="http://schemas.microsoft.com/office/drawing/2014/main" id="{79B8E9A0-F53F-42F8-9628-F5D9303DAB27}"/>
            </a:ext>
          </a:extLst>
        </xdr:cNvPr>
        <xdr:cNvSpPr/>
      </xdr:nvSpPr>
      <xdr:spPr>
        <a:xfrm>
          <a:off x="248709" y="10538044"/>
          <a:ext cx="7151895" cy="22362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11 : Dettes financières et ressources assimilées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258234</xdr:colOff>
      <xdr:row>57</xdr:row>
      <xdr:rowOff>67074</xdr:rowOff>
    </xdr:from>
    <xdr:to>
      <xdr:col>9</xdr:col>
      <xdr:colOff>256854</xdr:colOff>
      <xdr:row>58</xdr:row>
      <xdr:rowOff>113528</xdr:rowOff>
    </xdr:to>
    <xdr:sp macro="[1]!NOTE_12" textlink="">
      <xdr:nvSpPr>
        <xdr:cNvPr id="22" name="Rectangle à coins arrondis 30">
          <a:extLst>
            <a:ext uri="{FF2B5EF4-FFF2-40B4-BE49-F238E27FC236}">
              <a16:creationId xmlns:a16="http://schemas.microsoft.com/office/drawing/2014/main" id="{34F31397-C2FB-4397-AE43-6ABE9CB1555C}"/>
            </a:ext>
          </a:extLst>
        </xdr:cNvPr>
        <xdr:cNvSpPr/>
      </xdr:nvSpPr>
      <xdr:spPr>
        <a:xfrm>
          <a:off x="258234" y="10925574"/>
          <a:ext cx="7132845" cy="2369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12 : Dettes fournisseurs et assimilées, fiscales et sociales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247756</xdr:colOff>
      <xdr:row>59</xdr:row>
      <xdr:rowOff>96463</xdr:rowOff>
    </xdr:from>
    <xdr:to>
      <xdr:col>9</xdr:col>
      <xdr:colOff>267331</xdr:colOff>
      <xdr:row>60</xdr:row>
      <xdr:rowOff>131488</xdr:rowOff>
    </xdr:to>
    <xdr:sp macro="[1]!NOTE_13" textlink="">
      <xdr:nvSpPr>
        <xdr:cNvPr id="23" name="Rectangle à coins arrondis 31">
          <a:extLst>
            <a:ext uri="{FF2B5EF4-FFF2-40B4-BE49-F238E27FC236}">
              <a16:creationId xmlns:a16="http://schemas.microsoft.com/office/drawing/2014/main" id="{318F8A7F-CDE1-4C95-9096-BE67470EAE6F}"/>
            </a:ext>
          </a:extLst>
        </xdr:cNvPr>
        <xdr:cNvSpPr/>
      </xdr:nvSpPr>
      <xdr:spPr>
        <a:xfrm>
          <a:off x="247756" y="11335963"/>
          <a:ext cx="7153800" cy="2255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13 : Banques, crédit d'escompte et trésorerie</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258234</xdr:colOff>
      <xdr:row>61</xdr:row>
      <xdr:rowOff>114422</xdr:rowOff>
    </xdr:from>
    <xdr:to>
      <xdr:col>9</xdr:col>
      <xdr:colOff>256854</xdr:colOff>
      <xdr:row>62</xdr:row>
      <xdr:rowOff>158973</xdr:rowOff>
    </xdr:to>
    <xdr:sp macro="[1]!NOTE_14" textlink="">
      <xdr:nvSpPr>
        <xdr:cNvPr id="24" name="Rectangle à coins arrondis 32">
          <a:extLst>
            <a:ext uri="{FF2B5EF4-FFF2-40B4-BE49-F238E27FC236}">
              <a16:creationId xmlns:a16="http://schemas.microsoft.com/office/drawing/2014/main" id="{ED623436-EF0B-4972-A95F-CA32023BE676}"/>
            </a:ext>
          </a:extLst>
        </xdr:cNvPr>
        <xdr:cNvSpPr/>
      </xdr:nvSpPr>
      <xdr:spPr>
        <a:xfrm>
          <a:off x="258234" y="11734922"/>
          <a:ext cx="7132845" cy="23505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14 : Revenus et autres produits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63</xdr:row>
      <xdr:rowOff>132382</xdr:rowOff>
    </xdr:from>
    <xdr:to>
      <xdr:col>9</xdr:col>
      <xdr:colOff>266379</xdr:colOff>
      <xdr:row>64</xdr:row>
      <xdr:rowOff>171216</xdr:rowOff>
    </xdr:to>
    <xdr:sp macro="[1]!NOTE_15" textlink="">
      <xdr:nvSpPr>
        <xdr:cNvPr id="25" name="Rectangle à coins arrondis 33">
          <a:extLst>
            <a:ext uri="{FF2B5EF4-FFF2-40B4-BE49-F238E27FC236}">
              <a16:creationId xmlns:a16="http://schemas.microsoft.com/office/drawing/2014/main" id="{FD1905D7-0274-441F-A480-FCF8D5A303C4}"/>
            </a:ext>
          </a:extLst>
        </xdr:cNvPr>
        <xdr:cNvSpPr/>
      </xdr:nvSpPr>
      <xdr:spPr>
        <a:xfrm>
          <a:off x="248709" y="12133882"/>
          <a:ext cx="7151895" cy="22933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15 : Achats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65</xdr:row>
      <xdr:rowOff>154151</xdr:rowOff>
    </xdr:from>
    <xdr:to>
      <xdr:col>9</xdr:col>
      <xdr:colOff>266379</xdr:colOff>
      <xdr:row>66</xdr:row>
      <xdr:rowOff>173936</xdr:rowOff>
    </xdr:to>
    <xdr:sp macro="[1]!NOTE_16" textlink="">
      <xdr:nvSpPr>
        <xdr:cNvPr id="26" name="Rectangle à coins arrondis 34">
          <a:extLst>
            <a:ext uri="{FF2B5EF4-FFF2-40B4-BE49-F238E27FC236}">
              <a16:creationId xmlns:a16="http://schemas.microsoft.com/office/drawing/2014/main" id="{00234B76-B295-46DF-B096-B6405837045D}"/>
            </a:ext>
          </a:extLst>
        </xdr:cNvPr>
        <xdr:cNvSpPr/>
      </xdr:nvSpPr>
      <xdr:spPr>
        <a:xfrm>
          <a:off x="248709" y="12536651"/>
          <a:ext cx="7151895" cy="21028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16 : Transports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67</xdr:row>
      <xdr:rowOff>158775</xdr:rowOff>
    </xdr:from>
    <xdr:to>
      <xdr:col>9</xdr:col>
      <xdr:colOff>266379</xdr:colOff>
      <xdr:row>69</xdr:row>
      <xdr:rowOff>19599</xdr:rowOff>
    </xdr:to>
    <xdr:sp macro="[1]!NOTE_17" textlink="">
      <xdr:nvSpPr>
        <xdr:cNvPr id="27" name="Rectangle à coins arrondis 35">
          <a:extLst>
            <a:ext uri="{FF2B5EF4-FFF2-40B4-BE49-F238E27FC236}">
              <a16:creationId xmlns:a16="http://schemas.microsoft.com/office/drawing/2014/main" id="{D15A8F9D-C62E-4BC4-B48C-6374F97CD4C8}"/>
            </a:ext>
          </a:extLst>
        </xdr:cNvPr>
        <xdr:cNvSpPr/>
      </xdr:nvSpPr>
      <xdr:spPr>
        <a:xfrm>
          <a:off x="248709" y="12922275"/>
          <a:ext cx="7151895" cy="24182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17 : Services extérieurs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69</xdr:row>
      <xdr:rowOff>171020</xdr:rowOff>
    </xdr:from>
    <xdr:to>
      <xdr:col>9</xdr:col>
      <xdr:colOff>266379</xdr:colOff>
      <xdr:row>71</xdr:row>
      <xdr:rowOff>17450</xdr:rowOff>
    </xdr:to>
    <xdr:sp macro="[1]!NOTE_18" textlink="">
      <xdr:nvSpPr>
        <xdr:cNvPr id="28" name="Rectangle à coins arrondis 38">
          <a:extLst>
            <a:ext uri="{FF2B5EF4-FFF2-40B4-BE49-F238E27FC236}">
              <a16:creationId xmlns:a16="http://schemas.microsoft.com/office/drawing/2014/main" id="{12A494C0-1236-4360-83D6-5E9071DF5089}"/>
            </a:ext>
          </a:extLst>
        </xdr:cNvPr>
        <xdr:cNvSpPr/>
      </xdr:nvSpPr>
      <xdr:spPr>
        <a:xfrm>
          <a:off x="248709" y="13315520"/>
          <a:ext cx="7151895" cy="22743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18 : Impots et taxes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72</xdr:row>
      <xdr:rowOff>384</xdr:rowOff>
    </xdr:from>
    <xdr:to>
      <xdr:col>9</xdr:col>
      <xdr:colOff>266379</xdr:colOff>
      <xdr:row>73</xdr:row>
      <xdr:rowOff>27788</xdr:rowOff>
    </xdr:to>
    <xdr:sp macro="[1]!NOTE_19" textlink="">
      <xdr:nvSpPr>
        <xdr:cNvPr id="29" name="Rectangle à coins arrondis 39">
          <a:extLst>
            <a:ext uri="{FF2B5EF4-FFF2-40B4-BE49-F238E27FC236}">
              <a16:creationId xmlns:a16="http://schemas.microsoft.com/office/drawing/2014/main" id="{F7EFDE1E-C6CA-4250-94CB-481A587875E3}"/>
            </a:ext>
          </a:extLst>
        </xdr:cNvPr>
        <xdr:cNvSpPr/>
      </xdr:nvSpPr>
      <xdr:spPr>
        <a:xfrm>
          <a:off x="248709" y="13716384"/>
          <a:ext cx="7151895" cy="21790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19 : Autres charges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74</xdr:row>
      <xdr:rowOff>28079</xdr:rowOff>
    </xdr:from>
    <xdr:to>
      <xdr:col>9</xdr:col>
      <xdr:colOff>266379</xdr:colOff>
      <xdr:row>75</xdr:row>
      <xdr:rowOff>91891</xdr:rowOff>
    </xdr:to>
    <xdr:sp macro="[1]!NOTE_20A" textlink="">
      <xdr:nvSpPr>
        <xdr:cNvPr id="30" name="Rectangle à coins arrondis 40">
          <a:extLst>
            <a:ext uri="{FF2B5EF4-FFF2-40B4-BE49-F238E27FC236}">
              <a16:creationId xmlns:a16="http://schemas.microsoft.com/office/drawing/2014/main" id="{BD7DA146-DBAB-43E8-8D88-47962F62E5EC}"/>
            </a:ext>
          </a:extLst>
        </xdr:cNvPr>
        <xdr:cNvSpPr/>
      </xdr:nvSpPr>
      <xdr:spPr>
        <a:xfrm>
          <a:off x="248709" y="14096504"/>
          <a:ext cx="7151895" cy="22573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20A : Charges de personnel</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76</xdr:row>
      <xdr:rowOff>92182</xdr:rowOff>
    </xdr:from>
    <xdr:to>
      <xdr:col>9</xdr:col>
      <xdr:colOff>266379</xdr:colOff>
      <xdr:row>78</xdr:row>
      <xdr:rowOff>6769</xdr:rowOff>
    </xdr:to>
    <xdr:sp macro="[1]!NOTE_20B" textlink="">
      <xdr:nvSpPr>
        <xdr:cNvPr id="31" name="Rectangle à coins arrondis 41">
          <a:extLst>
            <a:ext uri="{FF2B5EF4-FFF2-40B4-BE49-F238E27FC236}">
              <a16:creationId xmlns:a16="http://schemas.microsoft.com/office/drawing/2014/main" id="{81847A6C-5A10-459A-9922-E8719A024576}"/>
            </a:ext>
          </a:extLst>
        </xdr:cNvPr>
        <xdr:cNvSpPr/>
      </xdr:nvSpPr>
      <xdr:spPr>
        <a:xfrm>
          <a:off x="248709" y="14484457"/>
          <a:ext cx="7151895" cy="23843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20B : Effectifs, masse salariale et personnel extérieur</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79</xdr:row>
      <xdr:rowOff>7060</xdr:rowOff>
    </xdr:from>
    <xdr:to>
      <xdr:col>9</xdr:col>
      <xdr:colOff>266379</xdr:colOff>
      <xdr:row>80</xdr:row>
      <xdr:rowOff>44201</xdr:rowOff>
    </xdr:to>
    <xdr:sp macro="[1]!NOTE_21" textlink="">
      <xdr:nvSpPr>
        <xdr:cNvPr id="32" name="Rectangle à coins arrondis 42">
          <a:extLst>
            <a:ext uri="{FF2B5EF4-FFF2-40B4-BE49-F238E27FC236}">
              <a16:creationId xmlns:a16="http://schemas.microsoft.com/office/drawing/2014/main" id="{673834F0-A7DE-43B0-B982-3D2FB6937583}"/>
            </a:ext>
          </a:extLst>
        </xdr:cNvPr>
        <xdr:cNvSpPr/>
      </xdr:nvSpPr>
      <xdr:spPr>
        <a:xfrm>
          <a:off x="248709" y="14885110"/>
          <a:ext cx="7151895" cy="1990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21 : Charges et revenus financiers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250614</xdr:colOff>
      <xdr:row>83</xdr:row>
      <xdr:rowOff>98002</xdr:rowOff>
    </xdr:from>
    <xdr:to>
      <xdr:col>9</xdr:col>
      <xdr:colOff>264474</xdr:colOff>
      <xdr:row>85</xdr:row>
      <xdr:rowOff>3064</xdr:rowOff>
    </xdr:to>
    <xdr:sp macro="[1]!NOTE_23" textlink="">
      <xdr:nvSpPr>
        <xdr:cNvPr id="33" name="Rectangle à coins arrondis 43">
          <a:extLst>
            <a:ext uri="{FF2B5EF4-FFF2-40B4-BE49-F238E27FC236}">
              <a16:creationId xmlns:a16="http://schemas.microsoft.com/office/drawing/2014/main" id="{AFED3766-04F6-458C-A0E5-A773B90D369A}"/>
            </a:ext>
          </a:extLst>
        </xdr:cNvPr>
        <xdr:cNvSpPr/>
      </xdr:nvSpPr>
      <xdr:spPr>
        <a:xfrm>
          <a:off x="250614" y="15623752"/>
          <a:ext cx="7148085" cy="2289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23 : Autres charges et produits HAO</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248709</xdr:colOff>
      <xdr:row>81</xdr:row>
      <xdr:rowOff>44492</xdr:rowOff>
    </xdr:from>
    <xdr:to>
      <xdr:col>9</xdr:col>
      <xdr:colOff>266379</xdr:colOff>
      <xdr:row>82</xdr:row>
      <xdr:rowOff>93910</xdr:rowOff>
    </xdr:to>
    <xdr:sp macro="[1]!NOTE_22" textlink="">
      <xdr:nvSpPr>
        <xdr:cNvPr id="34" name="Rectangle à coins arrondis 44">
          <a:extLst>
            <a:ext uri="{FF2B5EF4-FFF2-40B4-BE49-F238E27FC236}">
              <a16:creationId xmlns:a16="http://schemas.microsoft.com/office/drawing/2014/main" id="{5E0CE0C0-0F21-4CEA-B950-4F060D11E5AA}"/>
            </a:ext>
          </a:extLst>
        </xdr:cNvPr>
        <xdr:cNvSpPr/>
      </xdr:nvSpPr>
      <xdr:spPr>
        <a:xfrm>
          <a:off x="248709" y="15246392"/>
          <a:ext cx="7151895" cy="2113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22 : Dotations et charges pour provisions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258234</xdr:colOff>
      <xdr:row>36</xdr:row>
      <xdr:rowOff>173654</xdr:rowOff>
    </xdr:from>
    <xdr:to>
      <xdr:col>9</xdr:col>
      <xdr:colOff>256854</xdr:colOff>
      <xdr:row>38</xdr:row>
      <xdr:rowOff>19238</xdr:rowOff>
    </xdr:to>
    <xdr:sp macro="[1]!NOTE_3A" textlink="">
      <xdr:nvSpPr>
        <xdr:cNvPr id="35" name="Rectangle à coins arrondis 57">
          <a:extLst>
            <a:ext uri="{FF2B5EF4-FFF2-40B4-BE49-F238E27FC236}">
              <a16:creationId xmlns:a16="http://schemas.microsoft.com/office/drawing/2014/main" id="{F70117FB-B197-4A3B-A04A-4CF0BB8B4EC9}"/>
            </a:ext>
          </a:extLst>
        </xdr:cNvPr>
        <xdr:cNvSpPr/>
      </xdr:nvSpPr>
      <xdr:spPr>
        <a:xfrm>
          <a:off x="258234" y="7031654"/>
          <a:ext cx="7132845" cy="2265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3A : Immobilisations brutes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247756</xdr:colOff>
      <xdr:row>39</xdr:row>
      <xdr:rowOff>2172</xdr:rowOff>
    </xdr:from>
    <xdr:to>
      <xdr:col>9</xdr:col>
      <xdr:colOff>267331</xdr:colOff>
      <xdr:row>40</xdr:row>
      <xdr:rowOff>31481</xdr:rowOff>
    </xdr:to>
    <xdr:sp macro="[1]!NOTE_3B" textlink="">
      <xdr:nvSpPr>
        <xdr:cNvPr id="36" name="Rectangle à coins arrondis 58">
          <a:extLst>
            <a:ext uri="{FF2B5EF4-FFF2-40B4-BE49-F238E27FC236}">
              <a16:creationId xmlns:a16="http://schemas.microsoft.com/office/drawing/2014/main" id="{5D47019E-893D-491F-B021-5B71E7E6AA15}"/>
            </a:ext>
          </a:extLst>
        </xdr:cNvPr>
        <xdr:cNvSpPr/>
      </xdr:nvSpPr>
      <xdr:spPr>
        <a:xfrm>
          <a:off x="247756" y="7431672"/>
          <a:ext cx="7153800" cy="21980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solidFill>
                <a:schemeClr val="lt1"/>
              </a:solidFill>
              <a:effectLst/>
              <a:latin typeface="Cambria" panose="02040503050406030204" pitchFamily="18" charset="0"/>
              <a:ea typeface="Cambria" panose="02040503050406030204" pitchFamily="18" charset="0"/>
              <a:cs typeface="+mn-cs"/>
            </a:rPr>
            <a:t>Note</a:t>
          </a:r>
          <a:r>
            <a:rPr lang="en-US" sz="1000" b="0" baseline="0">
              <a:solidFill>
                <a:schemeClr val="lt1"/>
              </a:solidFill>
              <a:effectLst/>
              <a:latin typeface="Cambria" panose="02040503050406030204" pitchFamily="18" charset="0"/>
              <a:ea typeface="Cambria" panose="02040503050406030204" pitchFamily="18" charset="0"/>
              <a:cs typeface="+mn-cs"/>
            </a:rPr>
            <a:t> 3B : Biens pris en location -  acquisition</a:t>
          </a:r>
          <a:endParaRPr lang="en-US" sz="800">
            <a:effectLst/>
            <a:latin typeface="Cambria" panose="02040503050406030204" pitchFamily="18" charset="0"/>
            <a:ea typeface="Cambria" panose="02040503050406030204" pitchFamily="18" charset="0"/>
          </a:endParaRPr>
        </a:p>
      </xdr:txBody>
    </xdr:sp>
    <xdr:clientData/>
  </xdr:twoCellAnchor>
  <xdr:twoCellAnchor>
    <xdr:from>
      <xdr:col>13</xdr:col>
      <xdr:colOff>87525</xdr:colOff>
      <xdr:row>1</xdr:row>
      <xdr:rowOff>74083</xdr:rowOff>
    </xdr:from>
    <xdr:to>
      <xdr:col>18</xdr:col>
      <xdr:colOff>728680</xdr:colOff>
      <xdr:row>2</xdr:row>
      <xdr:rowOff>121597</xdr:rowOff>
    </xdr:to>
    <xdr:sp macro="[1]!PageGardeDGI" textlink="">
      <xdr:nvSpPr>
        <xdr:cNvPr id="37" name="Rectangle à coins arrondis 2">
          <a:extLst>
            <a:ext uri="{FF2B5EF4-FFF2-40B4-BE49-F238E27FC236}">
              <a16:creationId xmlns:a16="http://schemas.microsoft.com/office/drawing/2014/main" id="{DB5D12E0-587D-4F4F-BA8E-E9C332380E2C}"/>
            </a:ext>
          </a:extLst>
        </xdr:cNvPr>
        <xdr:cNvSpPr/>
      </xdr:nvSpPr>
      <xdr:spPr>
        <a:xfrm>
          <a:off x="9088650" y="264583"/>
          <a:ext cx="4498780" cy="238014"/>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Page De</a:t>
          </a:r>
          <a:r>
            <a:rPr lang="en-US" sz="1000" b="1" baseline="0">
              <a:ln>
                <a:noFill/>
              </a:ln>
              <a:solidFill>
                <a:schemeClr val="bg1"/>
              </a:solidFill>
              <a:latin typeface="Cambria" panose="02040503050406030204" pitchFamily="18" charset="0"/>
              <a:ea typeface="Cambria" panose="02040503050406030204" pitchFamily="18" charset="0"/>
            </a:rPr>
            <a:t> Garde DGI</a:t>
          </a:r>
          <a:endParaRPr lang="en-US" sz="1000" b="1">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13</xdr:col>
      <xdr:colOff>90382</xdr:colOff>
      <xdr:row>3</xdr:row>
      <xdr:rowOff>170787</xdr:rowOff>
    </xdr:from>
    <xdr:to>
      <xdr:col>18</xdr:col>
      <xdr:colOff>725822</xdr:colOff>
      <xdr:row>5</xdr:row>
      <xdr:rowOff>36478</xdr:rowOff>
    </xdr:to>
    <xdr:sp macro="[1]!LISTE_DGI" textlink="">
      <xdr:nvSpPr>
        <xdr:cNvPr id="38" name="Rectangle à coins arrondis 2">
          <a:extLst>
            <a:ext uri="{FF2B5EF4-FFF2-40B4-BE49-F238E27FC236}">
              <a16:creationId xmlns:a16="http://schemas.microsoft.com/office/drawing/2014/main" id="{6D0E1F81-EAEE-447E-9E6D-A4B48D5135FA}"/>
            </a:ext>
          </a:extLst>
        </xdr:cNvPr>
        <xdr:cNvSpPr/>
      </xdr:nvSpPr>
      <xdr:spPr>
        <a:xfrm>
          <a:off x="9091507" y="742287"/>
          <a:ext cx="4493065" cy="246691"/>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LISTE_DGI</a:t>
          </a:r>
        </a:p>
      </xdr:txBody>
    </xdr:sp>
    <xdr:clientData/>
  </xdr:twoCellAnchor>
  <xdr:twoCellAnchor>
    <xdr:from>
      <xdr:col>13</xdr:col>
      <xdr:colOff>90382</xdr:colOff>
      <xdr:row>6</xdr:row>
      <xdr:rowOff>92971</xdr:rowOff>
    </xdr:from>
    <xdr:to>
      <xdr:col>18</xdr:col>
      <xdr:colOff>725822</xdr:colOff>
      <xdr:row>7</xdr:row>
      <xdr:rowOff>142388</xdr:rowOff>
    </xdr:to>
    <xdr:sp macro="[1]!CHARGES_1" textlink="">
      <xdr:nvSpPr>
        <xdr:cNvPr id="39" name="Rectangle à coins arrondis 2">
          <a:extLst>
            <a:ext uri="{FF2B5EF4-FFF2-40B4-BE49-F238E27FC236}">
              <a16:creationId xmlns:a16="http://schemas.microsoft.com/office/drawing/2014/main" id="{9E0E352A-5F33-44D0-B287-DA9EE41DD351}"/>
            </a:ext>
          </a:extLst>
        </xdr:cNvPr>
        <xdr:cNvSpPr/>
      </xdr:nvSpPr>
      <xdr:spPr>
        <a:xfrm>
          <a:off x="9091507" y="1235971"/>
          <a:ext cx="4493065" cy="239917"/>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CHARGES 1</a:t>
          </a:r>
        </a:p>
      </xdr:txBody>
    </xdr:sp>
    <xdr:clientData/>
  </xdr:twoCellAnchor>
  <xdr:twoCellAnchor>
    <xdr:from>
      <xdr:col>13</xdr:col>
      <xdr:colOff>90382</xdr:colOff>
      <xdr:row>9</xdr:row>
      <xdr:rowOff>7852</xdr:rowOff>
    </xdr:from>
    <xdr:to>
      <xdr:col>18</xdr:col>
      <xdr:colOff>725822</xdr:colOff>
      <xdr:row>10</xdr:row>
      <xdr:rowOff>68700</xdr:rowOff>
    </xdr:to>
    <xdr:sp macro="[1]!CHARGES_2" textlink="">
      <xdr:nvSpPr>
        <xdr:cNvPr id="40" name="Rectangle à coins arrondis 2">
          <a:extLst>
            <a:ext uri="{FF2B5EF4-FFF2-40B4-BE49-F238E27FC236}">
              <a16:creationId xmlns:a16="http://schemas.microsoft.com/office/drawing/2014/main" id="{541D3EC2-F4DD-4668-B03F-DA3EB567CB84}"/>
            </a:ext>
          </a:extLst>
        </xdr:cNvPr>
        <xdr:cNvSpPr/>
      </xdr:nvSpPr>
      <xdr:spPr>
        <a:xfrm>
          <a:off x="9091507" y="1722352"/>
          <a:ext cx="4493065" cy="251348"/>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CHARGES 2</a:t>
          </a:r>
        </a:p>
      </xdr:txBody>
    </xdr:sp>
    <xdr:clientData/>
  </xdr:twoCellAnchor>
  <xdr:twoCellAnchor>
    <xdr:from>
      <xdr:col>13</xdr:col>
      <xdr:colOff>90382</xdr:colOff>
      <xdr:row>11</xdr:row>
      <xdr:rowOff>115668</xdr:rowOff>
    </xdr:from>
    <xdr:to>
      <xdr:col>18</xdr:col>
      <xdr:colOff>725822</xdr:colOff>
      <xdr:row>12</xdr:row>
      <xdr:rowOff>166991</xdr:rowOff>
    </xdr:to>
    <xdr:sp macro="[1]!CHARGES_3" textlink="">
      <xdr:nvSpPr>
        <xdr:cNvPr id="41" name="Rectangle à coins arrondis 2">
          <a:extLst>
            <a:ext uri="{FF2B5EF4-FFF2-40B4-BE49-F238E27FC236}">
              <a16:creationId xmlns:a16="http://schemas.microsoft.com/office/drawing/2014/main" id="{4B5B9F74-0BF6-40AF-BF5A-739B33719B83}"/>
            </a:ext>
          </a:extLst>
        </xdr:cNvPr>
        <xdr:cNvSpPr/>
      </xdr:nvSpPr>
      <xdr:spPr>
        <a:xfrm>
          <a:off x="9091507" y="2211168"/>
          <a:ext cx="4493065" cy="241823"/>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CHARGES 3</a:t>
          </a:r>
        </a:p>
      </xdr:txBody>
    </xdr:sp>
    <xdr:clientData/>
  </xdr:twoCellAnchor>
  <xdr:twoCellAnchor>
    <xdr:from>
      <xdr:col>13</xdr:col>
      <xdr:colOff>87525</xdr:colOff>
      <xdr:row>14</xdr:row>
      <xdr:rowOff>34360</xdr:rowOff>
    </xdr:from>
    <xdr:to>
      <xdr:col>18</xdr:col>
      <xdr:colOff>728680</xdr:colOff>
      <xdr:row>15</xdr:row>
      <xdr:rowOff>91398</xdr:rowOff>
    </xdr:to>
    <xdr:sp macro="[1]!CHARGES_4" textlink="">
      <xdr:nvSpPr>
        <xdr:cNvPr id="42" name="Rectangle à coins arrondis 2">
          <a:extLst>
            <a:ext uri="{FF2B5EF4-FFF2-40B4-BE49-F238E27FC236}">
              <a16:creationId xmlns:a16="http://schemas.microsoft.com/office/drawing/2014/main" id="{40D0EECD-D7F5-4204-811E-6431467CE8B4}"/>
            </a:ext>
          </a:extLst>
        </xdr:cNvPr>
        <xdr:cNvSpPr/>
      </xdr:nvSpPr>
      <xdr:spPr>
        <a:xfrm>
          <a:off x="9088650" y="2701360"/>
          <a:ext cx="4498780" cy="247538"/>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CHARGES 4</a:t>
          </a:r>
        </a:p>
      </xdr:txBody>
    </xdr:sp>
    <xdr:clientData/>
  </xdr:twoCellAnchor>
  <xdr:twoCellAnchor>
    <xdr:from>
      <xdr:col>13</xdr:col>
      <xdr:colOff>87525</xdr:colOff>
      <xdr:row>16</xdr:row>
      <xdr:rowOff>134556</xdr:rowOff>
    </xdr:from>
    <xdr:to>
      <xdr:col>18</xdr:col>
      <xdr:colOff>728680</xdr:colOff>
      <xdr:row>18</xdr:row>
      <xdr:rowOff>25330</xdr:rowOff>
    </xdr:to>
    <xdr:sp macro="[1]!PRODUITS_1" textlink="">
      <xdr:nvSpPr>
        <xdr:cNvPr id="43" name="Rectangle à coins arrondis 2">
          <a:extLst>
            <a:ext uri="{FF2B5EF4-FFF2-40B4-BE49-F238E27FC236}">
              <a16:creationId xmlns:a16="http://schemas.microsoft.com/office/drawing/2014/main" id="{4AABD941-25C5-44C8-BD1E-80750DBF46C7}"/>
            </a:ext>
          </a:extLst>
        </xdr:cNvPr>
        <xdr:cNvSpPr/>
      </xdr:nvSpPr>
      <xdr:spPr>
        <a:xfrm>
          <a:off x="9088650" y="3182556"/>
          <a:ext cx="4498780" cy="271774"/>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PRODUITS 1</a:t>
          </a:r>
        </a:p>
      </xdr:txBody>
    </xdr:sp>
    <xdr:clientData/>
  </xdr:twoCellAnchor>
  <xdr:twoCellAnchor>
    <xdr:from>
      <xdr:col>13</xdr:col>
      <xdr:colOff>87525</xdr:colOff>
      <xdr:row>19</xdr:row>
      <xdr:rowOff>66582</xdr:rowOff>
    </xdr:from>
    <xdr:to>
      <xdr:col>18</xdr:col>
      <xdr:colOff>728680</xdr:colOff>
      <xdr:row>20</xdr:row>
      <xdr:rowOff>127432</xdr:rowOff>
    </xdr:to>
    <xdr:sp macro="[1]!PRODUITS_2" textlink="">
      <xdr:nvSpPr>
        <xdr:cNvPr id="44" name="Rectangle à coins arrondis 2">
          <a:extLst>
            <a:ext uri="{FF2B5EF4-FFF2-40B4-BE49-F238E27FC236}">
              <a16:creationId xmlns:a16="http://schemas.microsoft.com/office/drawing/2014/main" id="{AC7BF5B1-2979-4618-B15E-680B812CCCEB}"/>
            </a:ext>
          </a:extLst>
        </xdr:cNvPr>
        <xdr:cNvSpPr/>
      </xdr:nvSpPr>
      <xdr:spPr>
        <a:xfrm>
          <a:off x="9088650" y="3686082"/>
          <a:ext cx="4498780" cy="25135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PRODUITS 2</a:t>
          </a:r>
        </a:p>
      </xdr:txBody>
    </xdr:sp>
    <xdr:clientData/>
  </xdr:twoCellAnchor>
  <xdr:twoCellAnchor>
    <xdr:from>
      <xdr:col>13</xdr:col>
      <xdr:colOff>87525</xdr:colOff>
      <xdr:row>21</xdr:row>
      <xdr:rowOff>170589</xdr:rowOff>
    </xdr:from>
    <xdr:to>
      <xdr:col>18</xdr:col>
      <xdr:colOff>728680</xdr:colOff>
      <xdr:row>23</xdr:row>
      <xdr:rowOff>48028</xdr:rowOff>
    </xdr:to>
    <xdr:sp macro="[1]!SUPPL3_TVA" textlink="">
      <xdr:nvSpPr>
        <xdr:cNvPr id="45" name="Rectangle à coins arrondis 2">
          <a:extLst>
            <a:ext uri="{FF2B5EF4-FFF2-40B4-BE49-F238E27FC236}">
              <a16:creationId xmlns:a16="http://schemas.microsoft.com/office/drawing/2014/main" id="{50D5D1C1-D935-44CB-83C8-56D1BD09431D}"/>
            </a:ext>
          </a:extLst>
        </xdr:cNvPr>
        <xdr:cNvSpPr/>
      </xdr:nvSpPr>
      <xdr:spPr>
        <a:xfrm>
          <a:off x="9088650" y="4171089"/>
          <a:ext cx="4498780" cy="25843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TVA</a:t>
          </a:r>
        </a:p>
      </xdr:txBody>
    </xdr:sp>
    <xdr:clientData/>
  </xdr:twoCellAnchor>
  <xdr:twoCellAnchor>
    <xdr:from>
      <xdr:col>13</xdr:col>
      <xdr:colOff>87525</xdr:colOff>
      <xdr:row>24</xdr:row>
      <xdr:rowOff>94996</xdr:rowOff>
    </xdr:from>
    <xdr:to>
      <xdr:col>18</xdr:col>
      <xdr:colOff>728680</xdr:colOff>
      <xdr:row>25</xdr:row>
      <xdr:rowOff>161558</xdr:rowOff>
    </xdr:to>
    <xdr:sp macro="[1]!SUPPL4_STAT_UEMOA" textlink="">
      <xdr:nvSpPr>
        <xdr:cNvPr id="46" name="Rectangle à coins arrondis 2">
          <a:extLst>
            <a:ext uri="{FF2B5EF4-FFF2-40B4-BE49-F238E27FC236}">
              <a16:creationId xmlns:a16="http://schemas.microsoft.com/office/drawing/2014/main" id="{D901FA11-23C6-44B9-8166-A5242868EF80}"/>
            </a:ext>
          </a:extLst>
        </xdr:cNvPr>
        <xdr:cNvSpPr/>
      </xdr:nvSpPr>
      <xdr:spPr>
        <a:xfrm>
          <a:off x="9088650" y="4666996"/>
          <a:ext cx="4498780" cy="257062"/>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ELEMENTS STATISTIQUES UEMOA</a:t>
          </a:r>
        </a:p>
      </xdr:txBody>
    </xdr:sp>
    <xdr:clientData/>
  </xdr:twoCellAnchor>
  <xdr:twoCellAnchor>
    <xdr:from>
      <xdr:col>13</xdr:col>
      <xdr:colOff>87525</xdr:colOff>
      <xdr:row>27</xdr:row>
      <xdr:rowOff>24800</xdr:rowOff>
    </xdr:from>
    <xdr:to>
      <xdr:col>18</xdr:col>
      <xdr:colOff>728680</xdr:colOff>
      <xdr:row>28</xdr:row>
      <xdr:rowOff>89776</xdr:rowOff>
    </xdr:to>
    <xdr:sp macro="[1]!SUPPL5_IMMO_AMORT" textlink="">
      <xdr:nvSpPr>
        <xdr:cNvPr id="47" name="Rectangle à coins arrondis 2">
          <a:extLst>
            <a:ext uri="{FF2B5EF4-FFF2-40B4-BE49-F238E27FC236}">
              <a16:creationId xmlns:a16="http://schemas.microsoft.com/office/drawing/2014/main" id="{4F34CE47-4528-4E5E-8CEB-B27FDE4FDC9C}"/>
            </a:ext>
          </a:extLst>
        </xdr:cNvPr>
        <xdr:cNvSpPr/>
      </xdr:nvSpPr>
      <xdr:spPr>
        <a:xfrm>
          <a:off x="9088650" y="5168300"/>
          <a:ext cx="4498780" cy="255476"/>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TABLEAU DES IMMOBILISATIONS ET DES AMORTISSEMENTS </a:t>
          </a:r>
        </a:p>
      </xdr:txBody>
    </xdr:sp>
    <xdr:clientData/>
  </xdr:twoCellAnchor>
  <xdr:twoCellAnchor>
    <xdr:from>
      <xdr:col>13</xdr:col>
      <xdr:colOff>87525</xdr:colOff>
      <xdr:row>29</xdr:row>
      <xdr:rowOff>131029</xdr:rowOff>
    </xdr:from>
    <xdr:to>
      <xdr:col>18</xdr:col>
      <xdr:colOff>728680</xdr:colOff>
      <xdr:row>31</xdr:row>
      <xdr:rowOff>8150</xdr:rowOff>
    </xdr:to>
    <xdr:sp macro="[1]!SUPPL6_FRAIS_ACCES_ACHATS" textlink="">
      <xdr:nvSpPr>
        <xdr:cNvPr id="48" name="Rectangle à coins arrondis 2">
          <a:extLst>
            <a:ext uri="{FF2B5EF4-FFF2-40B4-BE49-F238E27FC236}">
              <a16:creationId xmlns:a16="http://schemas.microsoft.com/office/drawing/2014/main" id="{B354B717-3E79-4B2D-B2A2-50F751A77EC9}"/>
            </a:ext>
          </a:extLst>
        </xdr:cNvPr>
        <xdr:cNvSpPr/>
      </xdr:nvSpPr>
      <xdr:spPr>
        <a:xfrm>
          <a:off x="9088650" y="5655529"/>
          <a:ext cx="4498780" cy="258121"/>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FRAIS ACCESSOIRES SUR ACHATS</a:t>
          </a:r>
        </a:p>
      </xdr:txBody>
    </xdr:sp>
    <xdr:clientData/>
  </xdr:twoCellAnchor>
  <xdr:twoCellAnchor>
    <xdr:from>
      <xdr:col>13</xdr:col>
      <xdr:colOff>87525</xdr:colOff>
      <xdr:row>32</xdr:row>
      <xdr:rowOff>64961</xdr:rowOff>
    </xdr:from>
    <xdr:to>
      <xdr:col>18</xdr:col>
      <xdr:colOff>728680</xdr:colOff>
      <xdr:row>33</xdr:row>
      <xdr:rowOff>112474</xdr:rowOff>
    </xdr:to>
    <xdr:sp macro="[1]!SUPPL7_AVANTA_NATURE" textlink="">
      <xdr:nvSpPr>
        <xdr:cNvPr id="49" name="Rectangle à coins arrondis 2">
          <a:extLst>
            <a:ext uri="{FF2B5EF4-FFF2-40B4-BE49-F238E27FC236}">
              <a16:creationId xmlns:a16="http://schemas.microsoft.com/office/drawing/2014/main" id="{266DBA79-C868-42A7-A39D-4AFF1619B464}"/>
            </a:ext>
          </a:extLst>
        </xdr:cNvPr>
        <xdr:cNvSpPr/>
      </xdr:nvSpPr>
      <xdr:spPr>
        <a:xfrm>
          <a:off x="9088650" y="6160961"/>
          <a:ext cx="4498780" cy="238013"/>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AVANTAGES EN NATURE  ALLOUES  AU PERSONNEL</a:t>
          </a:r>
        </a:p>
      </xdr:txBody>
    </xdr:sp>
    <xdr:clientData/>
  </xdr:twoCellAnchor>
  <xdr:twoCellAnchor>
    <xdr:from>
      <xdr:col>13</xdr:col>
      <xdr:colOff>87525</xdr:colOff>
      <xdr:row>34</xdr:row>
      <xdr:rowOff>167062</xdr:rowOff>
    </xdr:from>
    <xdr:to>
      <xdr:col>18</xdr:col>
      <xdr:colOff>728680</xdr:colOff>
      <xdr:row>36</xdr:row>
      <xdr:rowOff>44183</xdr:rowOff>
    </xdr:to>
    <xdr:sp macro="[1]!SUPPL8_CREANCES" textlink="">
      <xdr:nvSpPr>
        <xdr:cNvPr id="50" name="Rectangle à coins arrondis 2">
          <a:extLst>
            <a:ext uri="{FF2B5EF4-FFF2-40B4-BE49-F238E27FC236}">
              <a16:creationId xmlns:a16="http://schemas.microsoft.com/office/drawing/2014/main" id="{A423EFA7-514A-4385-AB3A-DFE90D3B9ED8}"/>
            </a:ext>
          </a:extLst>
        </xdr:cNvPr>
        <xdr:cNvSpPr/>
      </xdr:nvSpPr>
      <xdr:spPr>
        <a:xfrm>
          <a:off x="9088650" y="6644062"/>
          <a:ext cx="4498780" cy="258121"/>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CREANCES DE L'EXERCICE</a:t>
          </a:r>
        </a:p>
      </xdr:txBody>
    </xdr:sp>
    <xdr:clientData/>
  </xdr:twoCellAnchor>
  <xdr:twoCellAnchor>
    <xdr:from>
      <xdr:col>13</xdr:col>
      <xdr:colOff>87525</xdr:colOff>
      <xdr:row>37</xdr:row>
      <xdr:rowOff>91468</xdr:rowOff>
    </xdr:from>
    <xdr:to>
      <xdr:col>18</xdr:col>
      <xdr:colOff>728680</xdr:colOff>
      <xdr:row>40</xdr:row>
      <xdr:rowOff>65435</xdr:rowOff>
    </xdr:to>
    <xdr:sp macro="[1]!SUPPL9_DEB_MOB_MAT_LOG" textlink="">
      <xdr:nvSpPr>
        <xdr:cNvPr id="51" name="Rectangle à coins arrondis 2">
          <a:extLst>
            <a:ext uri="{FF2B5EF4-FFF2-40B4-BE49-F238E27FC236}">
              <a16:creationId xmlns:a16="http://schemas.microsoft.com/office/drawing/2014/main" id="{948EE150-AF31-4B49-BB8C-0D072209F274}"/>
            </a:ext>
          </a:extLst>
        </xdr:cNvPr>
        <xdr:cNvSpPr/>
      </xdr:nvSpPr>
      <xdr:spPr>
        <a:xfrm>
          <a:off x="9088650" y="7139968"/>
          <a:ext cx="4498780" cy="545467"/>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DEBITEURS DIVERS-MOBILIERS ET MATERIELS DE LOGEMENT-VEHICULES AFFECTES AU PERSONNEL</a:t>
          </a:r>
        </a:p>
      </xdr:txBody>
    </xdr:sp>
    <xdr:clientData/>
  </xdr:twoCellAnchor>
  <xdr:twoCellAnchor>
    <xdr:from>
      <xdr:col>13</xdr:col>
      <xdr:colOff>87525</xdr:colOff>
      <xdr:row>41</xdr:row>
      <xdr:rowOff>121928</xdr:rowOff>
    </xdr:from>
    <xdr:to>
      <xdr:col>18</xdr:col>
      <xdr:colOff>728680</xdr:colOff>
      <xdr:row>42</xdr:row>
      <xdr:rowOff>167537</xdr:rowOff>
    </xdr:to>
    <xdr:sp macro="[1]!SUPPL10_DETTES" textlink="">
      <xdr:nvSpPr>
        <xdr:cNvPr id="52" name="Rectangle à coins arrondis 2">
          <a:extLst>
            <a:ext uri="{FF2B5EF4-FFF2-40B4-BE49-F238E27FC236}">
              <a16:creationId xmlns:a16="http://schemas.microsoft.com/office/drawing/2014/main" id="{36182905-9A63-4965-8C78-CC2C730EF8B2}"/>
            </a:ext>
          </a:extLst>
        </xdr:cNvPr>
        <xdr:cNvSpPr/>
      </xdr:nvSpPr>
      <xdr:spPr>
        <a:xfrm>
          <a:off x="9088650" y="7932428"/>
          <a:ext cx="4498780" cy="23610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DETTES  DE L'EXERCICE</a:t>
          </a:r>
        </a:p>
      </xdr:txBody>
    </xdr:sp>
    <xdr:clientData/>
  </xdr:twoCellAnchor>
  <xdr:twoCellAnchor>
    <xdr:from>
      <xdr:col>13</xdr:col>
      <xdr:colOff>87525</xdr:colOff>
      <xdr:row>44</xdr:row>
      <xdr:rowOff>40303</xdr:rowOff>
    </xdr:from>
    <xdr:to>
      <xdr:col>18</xdr:col>
      <xdr:colOff>728680</xdr:colOff>
      <xdr:row>45</xdr:row>
      <xdr:rowOff>103373</xdr:rowOff>
    </xdr:to>
    <xdr:sp macro="[1]!SUPPL11_CRED_DIV_IMPOT" textlink="">
      <xdr:nvSpPr>
        <xdr:cNvPr id="53" name="Rectangle à coins arrondis 2">
          <a:extLst>
            <a:ext uri="{FF2B5EF4-FFF2-40B4-BE49-F238E27FC236}">
              <a16:creationId xmlns:a16="http://schemas.microsoft.com/office/drawing/2014/main" id="{29FD6508-03FD-4120-A22E-CBE8A936AE46}"/>
            </a:ext>
          </a:extLst>
        </xdr:cNvPr>
        <xdr:cNvSpPr/>
      </xdr:nvSpPr>
      <xdr:spPr>
        <a:xfrm>
          <a:off x="9088650" y="8422303"/>
          <a:ext cx="4498780" cy="25357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CREDITEURS DIVERS- CHARGES D'IMPOTS ET TAXES</a:t>
          </a:r>
        </a:p>
      </xdr:txBody>
    </xdr:sp>
    <xdr:clientData/>
  </xdr:twoCellAnchor>
  <xdr:twoCellAnchor>
    <xdr:from>
      <xdr:col>13</xdr:col>
      <xdr:colOff>85620</xdr:colOff>
      <xdr:row>46</xdr:row>
      <xdr:rowOff>148436</xdr:rowOff>
    </xdr:from>
    <xdr:to>
      <xdr:col>18</xdr:col>
      <xdr:colOff>730585</xdr:colOff>
      <xdr:row>48</xdr:row>
      <xdr:rowOff>38892</xdr:rowOff>
    </xdr:to>
    <xdr:sp macro="[1]!SUPPL12_ETAT_ANNUEL_SALAIRES" textlink="">
      <xdr:nvSpPr>
        <xdr:cNvPr id="54" name="Rectangle à coins arrondis 2">
          <a:extLst>
            <a:ext uri="{FF2B5EF4-FFF2-40B4-BE49-F238E27FC236}">
              <a16:creationId xmlns:a16="http://schemas.microsoft.com/office/drawing/2014/main" id="{17BB6FEC-BDAA-40A3-B240-58F871ED886E}"/>
            </a:ext>
          </a:extLst>
        </xdr:cNvPr>
        <xdr:cNvSpPr/>
      </xdr:nvSpPr>
      <xdr:spPr>
        <a:xfrm>
          <a:off x="9086745" y="8911436"/>
          <a:ext cx="4502590" cy="271456"/>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ETAT ANNUEL DES SALAIRES</a:t>
          </a:r>
        </a:p>
      </xdr:txBody>
    </xdr:sp>
    <xdr:clientData/>
  </xdr:twoCellAnchor>
  <xdr:twoCellAnchor>
    <xdr:from>
      <xdr:col>13</xdr:col>
      <xdr:colOff>84667</xdr:colOff>
      <xdr:row>63</xdr:row>
      <xdr:rowOff>8927</xdr:rowOff>
    </xdr:from>
    <xdr:to>
      <xdr:col>18</xdr:col>
      <xdr:colOff>731537</xdr:colOff>
      <xdr:row>64</xdr:row>
      <xdr:rowOff>92634</xdr:rowOff>
    </xdr:to>
    <xdr:sp macro="[1]!SUPPL17_PRINC_DONATEURS" textlink="">
      <xdr:nvSpPr>
        <xdr:cNvPr id="55" name="Rectangle à coins arrondis 2">
          <a:extLst>
            <a:ext uri="{FF2B5EF4-FFF2-40B4-BE49-F238E27FC236}">
              <a16:creationId xmlns:a16="http://schemas.microsoft.com/office/drawing/2014/main" id="{450DB29F-91F6-410A-9EC9-B0673342C312}"/>
            </a:ext>
          </a:extLst>
        </xdr:cNvPr>
        <xdr:cNvSpPr/>
      </xdr:nvSpPr>
      <xdr:spPr>
        <a:xfrm>
          <a:off x="9085792" y="12010427"/>
          <a:ext cx="4504495" cy="274207"/>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LISTE DES PRINCIPAUX DONATEURS ET/OU BAILLEURS DE FONDS</a:t>
          </a:r>
        </a:p>
      </xdr:txBody>
    </xdr:sp>
    <xdr:clientData/>
  </xdr:twoCellAnchor>
  <xdr:twoCellAnchor>
    <xdr:from>
      <xdr:col>13</xdr:col>
      <xdr:colOff>85620</xdr:colOff>
      <xdr:row>57</xdr:row>
      <xdr:rowOff>147096</xdr:rowOff>
    </xdr:from>
    <xdr:to>
      <xdr:col>18</xdr:col>
      <xdr:colOff>730585</xdr:colOff>
      <xdr:row>59</xdr:row>
      <xdr:rowOff>33743</xdr:rowOff>
    </xdr:to>
    <xdr:sp macro="[1]!SUPPL15_PRINC_CLIENTS" textlink="">
      <xdr:nvSpPr>
        <xdr:cNvPr id="56" name="Rectangle à coins arrondis 2">
          <a:extLst>
            <a:ext uri="{FF2B5EF4-FFF2-40B4-BE49-F238E27FC236}">
              <a16:creationId xmlns:a16="http://schemas.microsoft.com/office/drawing/2014/main" id="{CAC35B14-97A1-448C-BF3C-8AD077E1646F}"/>
            </a:ext>
          </a:extLst>
        </xdr:cNvPr>
        <xdr:cNvSpPr/>
      </xdr:nvSpPr>
      <xdr:spPr>
        <a:xfrm>
          <a:off x="9086745" y="11005596"/>
          <a:ext cx="4502590" cy="267647"/>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Liste des principaux clients</a:t>
          </a:r>
        </a:p>
      </xdr:txBody>
    </xdr:sp>
    <xdr:clientData/>
  </xdr:twoCellAnchor>
  <xdr:twoCellAnchor>
    <xdr:from>
      <xdr:col>13</xdr:col>
      <xdr:colOff>85620</xdr:colOff>
      <xdr:row>60</xdr:row>
      <xdr:rowOff>76900</xdr:rowOff>
    </xdr:from>
    <xdr:to>
      <xdr:col>18</xdr:col>
      <xdr:colOff>730585</xdr:colOff>
      <xdr:row>61</xdr:row>
      <xdr:rowOff>147590</xdr:rowOff>
    </xdr:to>
    <xdr:sp macro="[1]!SUPPL16_PRINC_FOURNISSEURS" textlink="">
      <xdr:nvSpPr>
        <xdr:cNvPr id="57" name="Rectangle à coins arrondis 2">
          <a:extLst>
            <a:ext uri="{FF2B5EF4-FFF2-40B4-BE49-F238E27FC236}">
              <a16:creationId xmlns:a16="http://schemas.microsoft.com/office/drawing/2014/main" id="{2FEE4A07-3BBF-4AAD-BF15-4689E17EFE04}"/>
            </a:ext>
          </a:extLst>
        </xdr:cNvPr>
        <xdr:cNvSpPr/>
      </xdr:nvSpPr>
      <xdr:spPr>
        <a:xfrm>
          <a:off x="9086745" y="11506900"/>
          <a:ext cx="4502590" cy="26119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Liste des principaux fournisseurs</a:t>
          </a:r>
        </a:p>
      </xdr:txBody>
    </xdr:sp>
    <xdr:clientData/>
  </xdr:twoCellAnchor>
  <xdr:twoCellAnchor>
    <xdr:from>
      <xdr:col>13</xdr:col>
      <xdr:colOff>87525</xdr:colOff>
      <xdr:row>49</xdr:row>
      <xdr:rowOff>83955</xdr:rowOff>
    </xdr:from>
    <xdr:to>
      <xdr:col>18</xdr:col>
      <xdr:colOff>728680</xdr:colOff>
      <xdr:row>52</xdr:row>
      <xdr:rowOff>65541</xdr:rowOff>
    </xdr:to>
    <xdr:sp macro="[1]!SUPPL13_COMM_VACATIONS" textlink="">
      <xdr:nvSpPr>
        <xdr:cNvPr id="58" name="Rectangle à coins arrondis 2">
          <a:extLst>
            <a:ext uri="{FF2B5EF4-FFF2-40B4-BE49-F238E27FC236}">
              <a16:creationId xmlns:a16="http://schemas.microsoft.com/office/drawing/2014/main" id="{2FCFF660-C7CD-48DE-BF00-E62C2E5676C2}"/>
            </a:ext>
          </a:extLst>
        </xdr:cNvPr>
        <xdr:cNvSpPr/>
      </xdr:nvSpPr>
      <xdr:spPr>
        <a:xfrm>
          <a:off x="9088650" y="9418455"/>
          <a:ext cx="4498780" cy="553086"/>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ETAT ANNUEL des commissions, courtages, ristournes, honoraires, droits d'auteurs et autres rémunérations versées à des tiers</a:t>
          </a:r>
        </a:p>
      </xdr:txBody>
    </xdr:sp>
    <xdr:clientData/>
  </xdr:twoCellAnchor>
  <xdr:twoCellAnchor>
    <xdr:from>
      <xdr:col>13</xdr:col>
      <xdr:colOff>87525</xdr:colOff>
      <xdr:row>53</xdr:row>
      <xdr:rowOff>124257</xdr:rowOff>
    </xdr:from>
    <xdr:to>
      <xdr:col>18</xdr:col>
      <xdr:colOff>728680</xdr:colOff>
      <xdr:row>56</xdr:row>
      <xdr:rowOff>101716</xdr:rowOff>
    </xdr:to>
    <xdr:sp macro="[1]!SUPPL14_LOYERS" textlink="">
      <xdr:nvSpPr>
        <xdr:cNvPr id="59" name="Rectangle à coins arrondis 2">
          <a:extLst>
            <a:ext uri="{FF2B5EF4-FFF2-40B4-BE49-F238E27FC236}">
              <a16:creationId xmlns:a16="http://schemas.microsoft.com/office/drawing/2014/main" id="{3A189B3E-6B76-44DE-85E9-1860D0C2ADBC}"/>
            </a:ext>
          </a:extLst>
        </xdr:cNvPr>
        <xdr:cNvSpPr/>
      </xdr:nvSpPr>
      <xdr:spPr>
        <a:xfrm>
          <a:off x="9088650" y="10220757"/>
          <a:ext cx="4498780" cy="54895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Relevé détaillé des loyers d'immeubles passés en charges avec indication de l'identité et de l'adresse des bailleurs</a:t>
          </a:r>
        </a:p>
      </xdr:txBody>
    </xdr:sp>
    <xdr:clientData/>
  </xdr:twoCellAnchor>
  <xdr:twoCellAnchor>
    <xdr:from>
      <xdr:col>13</xdr:col>
      <xdr:colOff>87525</xdr:colOff>
      <xdr:row>65</xdr:row>
      <xdr:rowOff>139912</xdr:rowOff>
    </xdr:from>
    <xdr:to>
      <xdr:col>18</xdr:col>
      <xdr:colOff>728680</xdr:colOff>
      <xdr:row>68</xdr:row>
      <xdr:rowOff>124991</xdr:rowOff>
    </xdr:to>
    <xdr:sp macro="[1]!SUPPL18_SOM_VERSES_CA" textlink="">
      <xdr:nvSpPr>
        <xdr:cNvPr id="60" name="Rectangle à coins arrondis 2">
          <a:extLst>
            <a:ext uri="{FF2B5EF4-FFF2-40B4-BE49-F238E27FC236}">
              <a16:creationId xmlns:a16="http://schemas.microsoft.com/office/drawing/2014/main" id="{DA5C0E93-3742-4EC4-B0D1-9A333A05C6A8}"/>
            </a:ext>
          </a:extLst>
        </xdr:cNvPr>
        <xdr:cNvSpPr/>
      </xdr:nvSpPr>
      <xdr:spPr>
        <a:xfrm>
          <a:off x="9088650" y="12522412"/>
          <a:ext cx="4498780" cy="55657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ETAT ANNUEL DES REMUNERATIONS VERSEES AUX MEMBRES DU CONSEIL D'ADMINISTRATION OU ASSIMILES</a:t>
          </a:r>
        </a:p>
      </xdr:txBody>
    </xdr:sp>
    <xdr:clientData/>
  </xdr:twoCellAnchor>
  <xdr:twoCellAnchor>
    <xdr:from>
      <xdr:col>0</xdr:col>
      <xdr:colOff>250614</xdr:colOff>
      <xdr:row>4</xdr:row>
      <xdr:rowOff>35105</xdr:rowOff>
    </xdr:from>
    <xdr:to>
      <xdr:col>9</xdr:col>
      <xdr:colOff>264474</xdr:colOff>
      <xdr:row>5</xdr:row>
      <xdr:rowOff>68226</xdr:rowOff>
    </xdr:to>
    <xdr:sp macro="[1]!Fiche_Conditions" textlink="">
      <xdr:nvSpPr>
        <xdr:cNvPr id="61" name="Rectangle à coins arrondis 2">
          <a:extLst>
            <a:ext uri="{FF2B5EF4-FFF2-40B4-BE49-F238E27FC236}">
              <a16:creationId xmlns:a16="http://schemas.microsoft.com/office/drawing/2014/main" id="{20CFFAB0-5D21-4E4F-B658-77E9254868DD}"/>
            </a:ext>
          </a:extLst>
        </xdr:cNvPr>
        <xdr:cNvSpPr/>
      </xdr:nvSpPr>
      <xdr:spPr>
        <a:xfrm>
          <a:off x="250614" y="797105"/>
          <a:ext cx="7148085" cy="223621"/>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Fiche_Conditions</a:t>
          </a:r>
        </a:p>
      </xdr:txBody>
    </xdr:sp>
    <xdr:clientData/>
  </xdr:twoCellAnchor>
  <xdr:twoCellAnchor>
    <xdr:from>
      <xdr:col>0</xdr:col>
      <xdr:colOff>246804</xdr:colOff>
      <xdr:row>6</xdr:row>
      <xdr:rowOff>51160</xdr:rowOff>
    </xdr:from>
    <xdr:to>
      <xdr:col>9</xdr:col>
      <xdr:colOff>268284</xdr:colOff>
      <xdr:row>7</xdr:row>
      <xdr:rowOff>74755</xdr:rowOff>
    </xdr:to>
    <xdr:sp macro="[1]!Table_Codes" textlink="">
      <xdr:nvSpPr>
        <xdr:cNvPr id="62" name="Rectangle à coins arrondis 2">
          <a:extLst>
            <a:ext uri="{FF2B5EF4-FFF2-40B4-BE49-F238E27FC236}">
              <a16:creationId xmlns:a16="http://schemas.microsoft.com/office/drawing/2014/main" id="{FDA38C4F-1E29-4C79-A051-0B22E7D92794}"/>
            </a:ext>
          </a:extLst>
        </xdr:cNvPr>
        <xdr:cNvSpPr/>
      </xdr:nvSpPr>
      <xdr:spPr>
        <a:xfrm>
          <a:off x="246804" y="1194160"/>
          <a:ext cx="7155705" cy="21409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Table_Codes</a:t>
          </a:r>
        </a:p>
      </xdr:txBody>
    </xdr:sp>
    <xdr:clientData/>
  </xdr:twoCellAnchor>
  <xdr:twoCellAnchor>
    <xdr:from>
      <xdr:col>0</xdr:col>
      <xdr:colOff>248709</xdr:colOff>
      <xdr:row>8</xdr:row>
      <xdr:rowOff>57690</xdr:rowOff>
    </xdr:from>
    <xdr:to>
      <xdr:col>9</xdr:col>
      <xdr:colOff>266379</xdr:colOff>
      <xdr:row>9</xdr:row>
      <xdr:rowOff>75570</xdr:rowOff>
    </xdr:to>
    <xdr:sp macro="[1]!Fiche_R1" textlink="">
      <xdr:nvSpPr>
        <xdr:cNvPr id="63" name="Rectangle à coins arrondis 2">
          <a:extLst>
            <a:ext uri="{FF2B5EF4-FFF2-40B4-BE49-F238E27FC236}">
              <a16:creationId xmlns:a16="http://schemas.microsoft.com/office/drawing/2014/main" id="{8B32609B-A17F-46A3-8B80-DB6BD7CA6B81}"/>
            </a:ext>
          </a:extLst>
        </xdr:cNvPr>
        <xdr:cNvSpPr/>
      </xdr:nvSpPr>
      <xdr:spPr>
        <a:xfrm>
          <a:off x="248709" y="1581690"/>
          <a:ext cx="7151895" cy="20838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Fiche_R1</a:t>
          </a:r>
        </a:p>
      </xdr:txBody>
    </xdr:sp>
    <xdr:clientData/>
  </xdr:twoCellAnchor>
  <xdr:twoCellAnchor>
    <xdr:from>
      <xdr:col>0</xdr:col>
      <xdr:colOff>248709</xdr:colOff>
      <xdr:row>10</xdr:row>
      <xdr:rowOff>58504</xdr:rowOff>
    </xdr:from>
    <xdr:to>
      <xdr:col>9</xdr:col>
      <xdr:colOff>266379</xdr:colOff>
      <xdr:row>11</xdr:row>
      <xdr:rowOff>76385</xdr:rowOff>
    </xdr:to>
    <xdr:sp macro="[1]!Fiche_R2" textlink="">
      <xdr:nvSpPr>
        <xdr:cNvPr id="64" name="Rectangle à coins arrondis 2">
          <a:extLst>
            <a:ext uri="{FF2B5EF4-FFF2-40B4-BE49-F238E27FC236}">
              <a16:creationId xmlns:a16="http://schemas.microsoft.com/office/drawing/2014/main" id="{B7A52A7C-3262-4009-B1BC-DD42028A9082}"/>
            </a:ext>
          </a:extLst>
        </xdr:cNvPr>
        <xdr:cNvSpPr/>
      </xdr:nvSpPr>
      <xdr:spPr>
        <a:xfrm>
          <a:off x="248709" y="1963504"/>
          <a:ext cx="7151895" cy="208381"/>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Fiche_R2</a:t>
          </a:r>
        </a:p>
      </xdr:txBody>
    </xdr:sp>
    <xdr:clientData/>
  </xdr:twoCellAnchor>
  <xdr:twoCellAnchor>
    <xdr:from>
      <xdr:col>0</xdr:col>
      <xdr:colOff>246804</xdr:colOff>
      <xdr:row>12</xdr:row>
      <xdr:rowOff>59319</xdr:rowOff>
    </xdr:from>
    <xdr:to>
      <xdr:col>9</xdr:col>
      <xdr:colOff>268284</xdr:colOff>
      <xdr:row>13</xdr:row>
      <xdr:rowOff>77199</xdr:rowOff>
    </xdr:to>
    <xdr:sp macro="[1]!Fiche_R3" textlink="">
      <xdr:nvSpPr>
        <xdr:cNvPr id="65" name="Rectangle à coins arrondis 2">
          <a:extLst>
            <a:ext uri="{FF2B5EF4-FFF2-40B4-BE49-F238E27FC236}">
              <a16:creationId xmlns:a16="http://schemas.microsoft.com/office/drawing/2014/main" id="{E5E756E2-1B56-4F4E-8858-4C01E04FE33D}"/>
            </a:ext>
          </a:extLst>
        </xdr:cNvPr>
        <xdr:cNvSpPr/>
      </xdr:nvSpPr>
      <xdr:spPr>
        <a:xfrm>
          <a:off x="246804" y="2345319"/>
          <a:ext cx="7155705" cy="20838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Fiche_3</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55245</xdr:colOff>
      <xdr:row>2</xdr:row>
      <xdr:rowOff>20955</xdr:rowOff>
    </xdr:from>
    <xdr:to>
      <xdr:col>3</xdr:col>
      <xdr:colOff>161925</xdr:colOff>
      <xdr:row>3</xdr:row>
      <xdr:rowOff>110490</xdr:rowOff>
    </xdr:to>
    <xdr:sp macro="[1]!ImprimerSelectionEtats" textlink="">
      <xdr:nvSpPr>
        <xdr:cNvPr id="2" name="Rectangle 1">
          <a:extLst>
            <a:ext uri="{FF2B5EF4-FFF2-40B4-BE49-F238E27FC236}">
              <a16:creationId xmlns:a16="http://schemas.microsoft.com/office/drawing/2014/main" id="{F0F4F086-4E8F-4675-B52F-52F1175402F3}"/>
            </a:ext>
          </a:extLst>
        </xdr:cNvPr>
        <xdr:cNvSpPr/>
      </xdr:nvSpPr>
      <xdr:spPr>
        <a:xfrm>
          <a:off x="826770" y="401955"/>
          <a:ext cx="1649730" cy="280035"/>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BE" sz="1100" b="1">
              <a:solidFill>
                <a:schemeClr val="bg1"/>
              </a:solidFill>
            </a:rPr>
            <a:t>Imprimer Selection</a:t>
          </a:r>
          <a:r>
            <a:rPr lang="fr-BE" sz="1100" b="1" baseline="0">
              <a:solidFill>
                <a:schemeClr val="bg1"/>
              </a:solidFill>
            </a:rPr>
            <a:t> Etats</a:t>
          </a:r>
          <a:endParaRPr lang="fr-BE" sz="1100" b="1">
            <a:solidFill>
              <a:schemeClr val="bg1"/>
            </a:solidFill>
          </a:endParaRPr>
        </a:p>
      </xdr:txBody>
    </xdr:sp>
    <xdr:clientData/>
  </xdr:twoCellAnchor>
  <xdr:twoCellAnchor>
    <xdr:from>
      <xdr:col>4</xdr:col>
      <xdr:colOff>55246</xdr:colOff>
      <xdr:row>2</xdr:row>
      <xdr:rowOff>24765</xdr:rowOff>
    </xdr:from>
    <xdr:to>
      <xdr:col>6</xdr:col>
      <xdr:colOff>409576</xdr:colOff>
      <xdr:row>3</xdr:row>
      <xdr:rowOff>133350</xdr:rowOff>
    </xdr:to>
    <xdr:sp macro="[1]!ExporterSelectionEtatsEnPDF" textlink="">
      <xdr:nvSpPr>
        <xdr:cNvPr id="3" name="Rectangle 2">
          <a:extLst>
            <a:ext uri="{FF2B5EF4-FFF2-40B4-BE49-F238E27FC236}">
              <a16:creationId xmlns:a16="http://schemas.microsoft.com/office/drawing/2014/main" id="{7F0C52F0-BD14-40EE-8738-C9B2E2AA04A5}"/>
            </a:ext>
          </a:extLst>
        </xdr:cNvPr>
        <xdr:cNvSpPr/>
      </xdr:nvSpPr>
      <xdr:spPr>
        <a:xfrm>
          <a:off x="3141346" y="405765"/>
          <a:ext cx="1897380" cy="299085"/>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BE" sz="1100" b="1">
              <a:solidFill>
                <a:schemeClr val="bg1"/>
              </a:solidFill>
            </a:rPr>
            <a:t>Imprimer Selection</a:t>
          </a:r>
          <a:r>
            <a:rPr lang="fr-BE" sz="1100" b="1" baseline="0">
              <a:solidFill>
                <a:schemeClr val="bg1"/>
              </a:solidFill>
            </a:rPr>
            <a:t> En PDF</a:t>
          </a:r>
          <a:endParaRPr lang="fr-BE" sz="11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56726</xdr:colOff>
      <xdr:row>1</xdr:row>
      <xdr:rowOff>0</xdr:rowOff>
    </xdr:from>
    <xdr:to>
      <xdr:col>11</xdr:col>
      <xdr:colOff>21166</xdr:colOff>
      <xdr:row>2</xdr:row>
      <xdr:rowOff>137584</xdr:rowOff>
    </xdr:to>
    <xdr:sp macro="[1]!LancerN" textlink="">
      <xdr:nvSpPr>
        <xdr:cNvPr id="2" name="Rectangle 1">
          <a:extLst>
            <a:ext uri="{FF2B5EF4-FFF2-40B4-BE49-F238E27FC236}">
              <a16:creationId xmlns:a16="http://schemas.microsoft.com/office/drawing/2014/main" id="{42D93DC4-95C8-425F-9580-AB5660AADBE0}"/>
            </a:ext>
          </a:extLst>
        </xdr:cNvPr>
        <xdr:cNvSpPr/>
      </xdr:nvSpPr>
      <xdr:spPr>
        <a:xfrm>
          <a:off x="12296351" y="190500"/>
          <a:ext cx="1488440" cy="318559"/>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BE" sz="1100" b="1">
              <a:solidFill>
                <a:schemeClr val="bg1"/>
              </a:solidFill>
            </a:rPr>
            <a:t>Actualiser 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533400</xdr:colOff>
      <xdr:row>0</xdr:row>
      <xdr:rowOff>104775</xdr:rowOff>
    </xdr:from>
    <xdr:to>
      <xdr:col>10</xdr:col>
      <xdr:colOff>504825</xdr:colOff>
      <xdr:row>2</xdr:row>
      <xdr:rowOff>19050</xdr:rowOff>
    </xdr:to>
    <xdr:sp macro="[1]!LancerN_1" textlink="">
      <xdr:nvSpPr>
        <xdr:cNvPr id="2" name="Rectangle 1">
          <a:extLst>
            <a:ext uri="{FF2B5EF4-FFF2-40B4-BE49-F238E27FC236}">
              <a16:creationId xmlns:a16="http://schemas.microsoft.com/office/drawing/2014/main" id="{6A8463CD-E7D1-4675-92C9-BF5B76533776}"/>
            </a:ext>
          </a:extLst>
        </xdr:cNvPr>
        <xdr:cNvSpPr/>
      </xdr:nvSpPr>
      <xdr:spPr>
        <a:xfrm>
          <a:off x="11772900" y="104775"/>
          <a:ext cx="1495425" cy="295275"/>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BE" sz="1100" b="1">
              <a:solidFill>
                <a:schemeClr val="bg1"/>
              </a:solidFill>
            </a:rPr>
            <a:t>Actualiser</a:t>
          </a:r>
          <a:r>
            <a:rPr lang="fr-BE" sz="1100" b="1" baseline="0">
              <a:solidFill>
                <a:schemeClr val="bg1"/>
              </a:solidFill>
            </a:rPr>
            <a:t> N-1</a:t>
          </a:r>
          <a:endParaRPr lang="fr-BE" sz="1100" b="1">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123825</xdr:colOff>
          <xdr:row>33</xdr:row>
          <xdr:rowOff>276225</xdr:rowOff>
        </xdr:from>
        <xdr:to>
          <xdr:col>7</xdr:col>
          <xdr:colOff>476250</xdr:colOff>
          <xdr:row>36</xdr:row>
          <xdr:rowOff>0</xdr:rowOff>
        </xdr:to>
        <xdr:sp macro="" textlink="">
          <xdr:nvSpPr>
            <xdr:cNvPr id="6145" name="Check Box 4"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35</xdr:row>
          <xdr:rowOff>38100</xdr:rowOff>
        </xdr:from>
        <xdr:to>
          <xdr:col>7</xdr:col>
          <xdr:colOff>485775</xdr:colOff>
          <xdr:row>36</xdr:row>
          <xdr:rowOff>123825</xdr:rowOff>
        </xdr:to>
        <xdr:sp macro="" textlink="">
          <xdr:nvSpPr>
            <xdr:cNvPr id="6146" name="Check Box 5"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37</xdr:row>
          <xdr:rowOff>19050</xdr:rowOff>
        </xdr:from>
        <xdr:to>
          <xdr:col>7</xdr:col>
          <xdr:colOff>485775</xdr:colOff>
          <xdr:row>38</xdr:row>
          <xdr:rowOff>104775</xdr:rowOff>
        </xdr:to>
        <xdr:sp macro="" textlink="">
          <xdr:nvSpPr>
            <xdr:cNvPr id="6147" name="Check Box 6"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39</xdr:row>
          <xdr:rowOff>19050</xdr:rowOff>
        </xdr:from>
        <xdr:to>
          <xdr:col>7</xdr:col>
          <xdr:colOff>476250</xdr:colOff>
          <xdr:row>40</xdr:row>
          <xdr:rowOff>104775</xdr:rowOff>
        </xdr:to>
        <xdr:sp macro="" textlink="">
          <xdr:nvSpPr>
            <xdr:cNvPr id="6148" name="Check Box 7"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17</xdr:col>
      <xdr:colOff>569575</xdr:colOff>
      <xdr:row>1</xdr:row>
      <xdr:rowOff>23091</xdr:rowOff>
    </xdr:from>
    <xdr:to>
      <xdr:col>20</xdr:col>
      <xdr:colOff>254000</xdr:colOff>
      <xdr:row>2</xdr:row>
      <xdr:rowOff>254000</xdr:rowOff>
    </xdr:to>
    <xdr:sp macro="[1]!Navigation" textlink="">
      <xdr:nvSpPr>
        <xdr:cNvPr id="2" name="Rectangle à coins arrondis 6">
          <a:extLst>
            <a:ext uri="{FF2B5EF4-FFF2-40B4-BE49-F238E27FC236}">
              <a16:creationId xmlns:a16="http://schemas.microsoft.com/office/drawing/2014/main" id="{EB501AF7-149E-43D7-A9AD-ACD65EA20F56}"/>
            </a:ext>
          </a:extLst>
        </xdr:cNvPr>
        <xdr:cNvSpPr/>
      </xdr:nvSpPr>
      <xdr:spPr>
        <a:xfrm>
          <a:off x="9294475" y="127866"/>
          <a:ext cx="1970425" cy="335684"/>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7</xdr:col>
          <xdr:colOff>123825</xdr:colOff>
          <xdr:row>41</xdr:row>
          <xdr:rowOff>19050</xdr:rowOff>
        </xdr:from>
        <xdr:to>
          <xdr:col>7</xdr:col>
          <xdr:colOff>476250</xdr:colOff>
          <xdr:row>42</xdr:row>
          <xdr:rowOff>95250</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43</xdr:row>
          <xdr:rowOff>19050</xdr:rowOff>
        </xdr:from>
        <xdr:to>
          <xdr:col>7</xdr:col>
          <xdr:colOff>476250</xdr:colOff>
          <xdr:row>44</xdr:row>
          <xdr:rowOff>104775</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66675</xdr:colOff>
      <xdr:row>8</xdr:row>
      <xdr:rowOff>66675</xdr:rowOff>
    </xdr:from>
    <xdr:to>
      <xdr:col>0</xdr:col>
      <xdr:colOff>133350</xdr:colOff>
      <xdr:row>8</xdr:row>
      <xdr:rowOff>142875</xdr:rowOff>
    </xdr:to>
    <xdr:sp macro="" textlink="">
      <xdr:nvSpPr>
        <xdr:cNvPr id="2" name="AutoShape 1">
          <a:extLst>
            <a:ext uri="{FF2B5EF4-FFF2-40B4-BE49-F238E27FC236}">
              <a16:creationId xmlns:a16="http://schemas.microsoft.com/office/drawing/2014/main" id="{BD948232-0579-4A78-A271-B4341AECD5CA}"/>
            </a:ext>
          </a:extLst>
        </xdr:cNvPr>
        <xdr:cNvSpPr>
          <a:spLocks noChangeArrowheads="1"/>
        </xdr:cNvSpPr>
      </xdr:nvSpPr>
      <xdr:spPr bwMode="auto">
        <a:xfrm>
          <a:off x="66675" y="164782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10</xdr:row>
      <xdr:rowOff>66675</xdr:rowOff>
    </xdr:from>
    <xdr:to>
      <xdr:col>0</xdr:col>
      <xdr:colOff>133350</xdr:colOff>
      <xdr:row>10</xdr:row>
      <xdr:rowOff>142875</xdr:rowOff>
    </xdr:to>
    <xdr:sp macro="" textlink="">
      <xdr:nvSpPr>
        <xdr:cNvPr id="3" name="AutoShape 2">
          <a:extLst>
            <a:ext uri="{FF2B5EF4-FFF2-40B4-BE49-F238E27FC236}">
              <a16:creationId xmlns:a16="http://schemas.microsoft.com/office/drawing/2014/main" id="{3189D3F7-FC13-4901-A297-1CEFFD763A82}"/>
            </a:ext>
          </a:extLst>
        </xdr:cNvPr>
        <xdr:cNvSpPr>
          <a:spLocks noChangeArrowheads="1"/>
        </xdr:cNvSpPr>
      </xdr:nvSpPr>
      <xdr:spPr bwMode="auto">
        <a:xfrm>
          <a:off x="66675" y="2047875"/>
          <a:ext cx="66675" cy="76200"/>
        </a:xfrm>
        <a:prstGeom prst="flowChartConnector">
          <a:avLst/>
        </a:prstGeom>
        <a:solidFill>
          <a:srgbClr val="FFFFFF"/>
        </a:solidFill>
        <a:ln w="9525">
          <a:solidFill>
            <a:srgbClr val="000000"/>
          </a:solidFill>
          <a:round/>
          <a:headEnd/>
          <a:tailEnd/>
        </a:ln>
      </xdr:spPr>
    </xdr:sp>
    <xdr:clientData/>
  </xdr:twoCellAnchor>
  <xdr:twoCellAnchor>
    <xdr:from>
      <xdr:col>0</xdr:col>
      <xdr:colOff>66675</xdr:colOff>
      <xdr:row>10</xdr:row>
      <xdr:rowOff>66675</xdr:rowOff>
    </xdr:from>
    <xdr:to>
      <xdr:col>0</xdr:col>
      <xdr:colOff>133350</xdr:colOff>
      <xdr:row>10</xdr:row>
      <xdr:rowOff>142875</xdr:rowOff>
    </xdr:to>
    <xdr:sp macro="" textlink="">
      <xdr:nvSpPr>
        <xdr:cNvPr id="4" name="AutoShape 5">
          <a:extLst>
            <a:ext uri="{FF2B5EF4-FFF2-40B4-BE49-F238E27FC236}">
              <a16:creationId xmlns:a16="http://schemas.microsoft.com/office/drawing/2014/main" id="{6CB662CD-7AD2-4E44-B6BC-91389DD8B039}"/>
            </a:ext>
          </a:extLst>
        </xdr:cNvPr>
        <xdr:cNvSpPr>
          <a:spLocks noChangeArrowheads="1"/>
        </xdr:cNvSpPr>
      </xdr:nvSpPr>
      <xdr:spPr bwMode="auto">
        <a:xfrm>
          <a:off x="66675" y="204787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24</xdr:row>
      <xdr:rowOff>66675</xdr:rowOff>
    </xdr:from>
    <xdr:to>
      <xdr:col>0</xdr:col>
      <xdr:colOff>133350</xdr:colOff>
      <xdr:row>24</xdr:row>
      <xdr:rowOff>142875</xdr:rowOff>
    </xdr:to>
    <xdr:sp macro="" textlink="">
      <xdr:nvSpPr>
        <xdr:cNvPr id="5" name="AutoShape 10">
          <a:extLst>
            <a:ext uri="{FF2B5EF4-FFF2-40B4-BE49-F238E27FC236}">
              <a16:creationId xmlns:a16="http://schemas.microsoft.com/office/drawing/2014/main" id="{120D1461-62FA-4CAF-B7EE-9CD58075B0A7}"/>
            </a:ext>
          </a:extLst>
        </xdr:cNvPr>
        <xdr:cNvSpPr>
          <a:spLocks noChangeArrowheads="1"/>
        </xdr:cNvSpPr>
      </xdr:nvSpPr>
      <xdr:spPr bwMode="auto">
        <a:xfrm>
          <a:off x="66675" y="484822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26</xdr:row>
      <xdr:rowOff>66675</xdr:rowOff>
    </xdr:from>
    <xdr:to>
      <xdr:col>0</xdr:col>
      <xdr:colOff>133350</xdr:colOff>
      <xdr:row>26</xdr:row>
      <xdr:rowOff>142875</xdr:rowOff>
    </xdr:to>
    <xdr:sp macro="" textlink="">
      <xdr:nvSpPr>
        <xdr:cNvPr id="6" name="AutoShape 11">
          <a:extLst>
            <a:ext uri="{FF2B5EF4-FFF2-40B4-BE49-F238E27FC236}">
              <a16:creationId xmlns:a16="http://schemas.microsoft.com/office/drawing/2014/main" id="{97079D55-1E01-4663-A9F6-E9FC0AD0BA8E}"/>
            </a:ext>
          </a:extLst>
        </xdr:cNvPr>
        <xdr:cNvSpPr>
          <a:spLocks noChangeArrowheads="1"/>
        </xdr:cNvSpPr>
      </xdr:nvSpPr>
      <xdr:spPr bwMode="auto">
        <a:xfrm>
          <a:off x="66675" y="524827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29</xdr:row>
      <xdr:rowOff>66675</xdr:rowOff>
    </xdr:from>
    <xdr:to>
      <xdr:col>0</xdr:col>
      <xdr:colOff>133350</xdr:colOff>
      <xdr:row>29</xdr:row>
      <xdr:rowOff>142875</xdr:rowOff>
    </xdr:to>
    <xdr:sp macro="" textlink="">
      <xdr:nvSpPr>
        <xdr:cNvPr id="7" name="AutoShape 13">
          <a:extLst>
            <a:ext uri="{FF2B5EF4-FFF2-40B4-BE49-F238E27FC236}">
              <a16:creationId xmlns:a16="http://schemas.microsoft.com/office/drawing/2014/main" id="{D486F832-B4C9-4D9C-B0AC-9B9FE6026D1A}"/>
            </a:ext>
          </a:extLst>
        </xdr:cNvPr>
        <xdr:cNvSpPr>
          <a:spLocks noChangeArrowheads="1"/>
        </xdr:cNvSpPr>
      </xdr:nvSpPr>
      <xdr:spPr bwMode="auto">
        <a:xfrm>
          <a:off x="66675" y="5848350"/>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33</xdr:row>
      <xdr:rowOff>66675</xdr:rowOff>
    </xdr:from>
    <xdr:to>
      <xdr:col>0</xdr:col>
      <xdr:colOff>133350</xdr:colOff>
      <xdr:row>33</xdr:row>
      <xdr:rowOff>142875</xdr:rowOff>
    </xdr:to>
    <xdr:sp macro="" textlink="">
      <xdr:nvSpPr>
        <xdr:cNvPr id="8" name="AutoShape 17">
          <a:extLst>
            <a:ext uri="{FF2B5EF4-FFF2-40B4-BE49-F238E27FC236}">
              <a16:creationId xmlns:a16="http://schemas.microsoft.com/office/drawing/2014/main" id="{D350D2DF-77E4-4892-9F93-35EBEAE24F81}"/>
            </a:ext>
          </a:extLst>
        </xdr:cNvPr>
        <xdr:cNvSpPr>
          <a:spLocks noChangeArrowheads="1"/>
        </xdr:cNvSpPr>
      </xdr:nvSpPr>
      <xdr:spPr bwMode="auto">
        <a:xfrm>
          <a:off x="66675" y="6648450"/>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12</xdr:row>
      <xdr:rowOff>66675</xdr:rowOff>
    </xdr:from>
    <xdr:to>
      <xdr:col>0</xdr:col>
      <xdr:colOff>133350</xdr:colOff>
      <xdr:row>12</xdr:row>
      <xdr:rowOff>142875</xdr:rowOff>
    </xdr:to>
    <xdr:sp macro="" textlink="">
      <xdr:nvSpPr>
        <xdr:cNvPr id="9" name="AutoShape 19">
          <a:extLst>
            <a:ext uri="{FF2B5EF4-FFF2-40B4-BE49-F238E27FC236}">
              <a16:creationId xmlns:a16="http://schemas.microsoft.com/office/drawing/2014/main" id="{BDDF0EF5-DCCA-4C5F-9A94-1AE04300BA00}"/>
            </a:ext>
          </a:extLst>
        </xdr:cNvPr>
        <xdr:cNvSpPr>
          <a:spLocks noChangeArrowheads="1"/>
        </xdr:cNvSpPr>
      </xdr:nvSpPr>
      <xdr:spPr bwMode="auto">
        <a:xfrm>
          <a:off x="66675" y="244792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14</xdr:row>
      <xdr:rowOff>66675</xdr:rowOff>
    </xdr:from>
    <xdr:to>
      <xdr:col>0</xdr:col>
      <xdr:colOff>133350</xdr:colOff>
      <xdr:row>14</xdr:row>
      <xdr:rowOff>142875</xdr:rowOff>
    </xdr:to>
    <xdr:sp macro="" textlink="">
      <xdr:nvSpPr>
        <xdr:cNvPr id="10" name="AutoShape 21">
          <a:extLst>
            <a:ext uri="{FF2B5EF4-FFF2-40B4-BE49-F238E27FC236}">
              <a16:creationId xmlns:a16="http://schemas.microsoft.com/office/drawing/2014/main" id="{39D0C8C3-481C-42F7-88EE-5252713FC1F1}"/>
            </a:ext>
          </a:extLst>
        </xdr:cNvPr>
        <xdr:cNvSpPr>
          <a:spLocks noChangeArrowheads="1"/>
        </xdr:cNvSpPr>
      </xdr:nvSpPr>
      <xdr:spPr bwMode="auto">
        <a:xfrm>
          <a:off x="66675" y="284797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16</xdr:row>
      <xdr:rowOff>66675</xdr:rowOff>
    </xdr:from>
    <xdr:to>
      <xdr:col>0</xdr:col>
      <xdr:colOff>133350</xdr:colOff>
      <xdr:row>16</xdr:row>
      <xdr:rowOff>142875</xdr:rowOff>
    </xdr:to>
    <xdr:sp macro="" textlink="">
      <xdr:nvSpPr>
        <xdr:cNvPr id="11" name="AutoShape 22">
          <a:extLst>
            <a:ext uri="{FF2B5EF4-FFF2-40B4-BE49-F238E27FC236}">
              <a16:creationId xmlns:a16="http://schemas.microsoft.com/office/drawing/2014/main" id="{23A9C6E3-CA06-42F6-8674-DE1107AFF398}"/>
            </a:ext>
          </a:extLst>
        </xdr:cNvPr>
        <xdr:cNvSpPr>
          <a:spLocks noChangeArrowheads="1"/>
        </xdr:cNvSpPr>
      </xdr:nvSpPr>
      <xdr:spPr bwMode="auto">
        <a:xfrm>
          <a:off x="66675" y="324802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18</xdr:row>
      <xdr:rowOff>66675</xdr:rowOff>
    </xdr:from>
    <xdr:to>
      <xdr:col>0</xdr:col>
      <xdr:colOff>133350</xdr:colOff>
      <xdr:row>18</xdr:row>
      <xdr:rowOff>142875</xdr:rowOff>
    </xdr:to>
    <xdr:sp macro="" textlink="">
      <xdr:nvSpPr>
        <xdr:cNvPr id="12" name="AutoShape 23">
          <a:extLst>
            <a:ext uri="{FF2B5EF4-FFF2-40B4-BE49-F238E27FC236}">
              <a16:creationId xmlns:a16="http://schemas.microsoft.com/office/drawing/2014/main" id="{0D40AD15-165F-4488-9BBA-BA5684BE9964}"/>
            </a:ext>
          </a:extLst>
        </xdr:cNvPr>
        <xdr:cNvSpPr>
          <a:spLocks noChangeArrowheads="1"/>
        </xdr:cNvSpPr>
      </xdr:nvSpPr>
      <xdr:spPr bwMode="auto">
        <a:xfrm>
          <a:off x="66675" y="364807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31</xdr:row>
      <xdr:rowOff>66675</xdr:rowOff>
    </xdr:from>
    <xdr:to>
      <xdr:col>0</xdr:col>
      <xdr:colOff>133350</xdr:colOff>
      <xdr:row>31</xdr:row>
      <xdr:rowOff>142875</xdr:rowOff>
    </xdr:to>
    <xdr:sp macro="" textlink="">
      <xdr:nvSpPr>
        <xdr:cNvPr id="13" name="AutoShape 25">
          <a:extLst>
            <a:ext uri="{FF2B5EF4-FFF2-40B4-BE49-F238E27FC236}">
              <a16:creationId xmlns:a16="http://schemas.microsoft.com/office/drawing/2014/main" id="{495458EB-AD89-4A26-B7E0-F7B70F5DCFA7}"/>
            </a:ext>
          </a:extLst>
        </xdr:cNvPr>
        <xdr:cNvSpPr>
          <a:spLocks noChangeArrowheads="1"/>
        </xdr:cNvSpPr>
      </xdr:nvSpPr>
      <xdr:spPr bwMode="auto">
        <a:xfrm>
          <a:off x="66675" y="6248400"/>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57150</xdr:colOff>
      <xdr:row>38</xdr:row>
      <xdr:rowOff>76200</xdr:rowOff>
    </xdr:from>
    <xdr:to>
      <xdr:col>0</xdr:col>
      <xdr:colOff>123825</xdr:colOff>
      <xdr:row>38</xdr:row>
      <xdr:rowOff>152400</xdr:rowOff>
    </xdr:to>
    <xdr:sp macro="" textlink="">
      <xdr:nvSpPr>
        <xdr:cNvPr id="14" name="AutoShape 25">
          <a:extLst>
            <a:ext uri="{FF2B5EF4-FFF2-40B4-BE49-F238E27FC236}">
              <a16:creationId xmlns:a16="http://schemas.microsoft.com/office/drawing/2014/main" id="{1D3F17F1-58A3-4E16-ABF3-AC5D8FC51250}"/>
            </a:ext>
          </a:extLst>
        </xdr:cNvPr>
        <xdr:cNvSpPr>
          <a:spLocks noChangeArrowheads="1"/>
        </xdr:cNvSpPr>
      </xdr:nvSpPr>
      <xdr:spPr bwMode="auto">
        <a:xfrm>
          <a:off x="57150" y="7658100"/>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57150</xdr:colOff>
      <xdr:row>39</xdr:row>
      <xdr:rowOff>95250</xdr:rowOff>
    </xdr:from>
    <xdr:to>
      <xdr:col>0</xdr:col>
      <xdr:colOff>123825</xdr:colOff>
      <xdr:row>39</xdr:row>
      <xdr:rowOff>171450</xdr:rowOff>
    </xdr:to>
    <xdr:sp macro="" textlink="">
      <xdr:nvSpPr>
        <xdr:cNvPr id="15" name="AutoShape 25">
          <a:extLst>
            <a:ext uri="{FF2B5EF4-FFF2-40B4-BE49-F238E27FC236}">
              <a16:creationId xmlns:a16="http://schemas.microsoft.com/office/drawing/2014/main" id="{06F86E72-7E56-40A9-80EC-FFE2E6DB02AC}"/>
            </a:ext>
          </a:extLst>
        </xdr:cNvPr>
        <xdr:cNvSpPr>
          <a:spLocks noChangeArrowheads="1"/>
        </xdr:cNvSpPr>
      </xdr:nvSpPr>
      <xdr:spPr bwMode="auto">
        <a:xfrm>
          <a:off x="57150" y="8191500"/>
          <a:ext cx="66675" cy="76200"/>
        </a:xfrm>
        <a:prstGeom prst="flowChartConnector">
          <a:avLst/>
        </a:prstGeom>
        <a:solidFill>
          <a:srgbClr val="424242"/>
        </a:solidFill>
        <a:ln w="9525">
          <a:solidFill>
            <a:srgbClr val="000000"/>
          </a:solidFill>
          <a:round/>
          <a:headEnd/>
          <a:tailEnd/>
        </a:ln>
      </xdr:spPr>
    </xdr:sp>
    <xdr:clientData/>
  </xdr:twoCellAnchor>
  <xdr:twoCellAnchor>
    <xdr:from>
      <xdr:col>10</xdr:col>
      <xdr:colOff>457200</xdr:colOff>
      <xdr:row>2</xdr:row>
      <xdr:rowOff>28575</xdr:rowOff>
    </xdr:from>
    <xdr:to>
      <xdr:col>13</xdr:col>
      <xdr:colOff>121362</xdr:colOff>
      <xdr:row>3</xdr:row>
      <xdr:rowOff>161501</xdr:rowOff>
    </xdr:to>
    <xdr:sp macro="[1]!Navigation" textlink="">
      <xdr:nvSpPr>
        <xdr:cNvPr id="16" name="Rectangle à coins arrondis 2">
          <a:extLst>
            <a:ext uri="{FF2B5EF4-FFF2-40B4-BE49-F238E27FC236}">
              <a16:creationId xmlns:a16="http://schemas.microsoft.com/office/drawing/2014/main" id="{C33FB049-4815-4B1A-9CC8-8F105F1026AA}"/>
            </a:ext>
          </a:extLst>
        </xdr:cNvPr>
        <xdr:cNvSpPr/>
      </xdr:nvSpPr>
      <xdr:spPr>
        <a:xfrm>
          <a:off x="8553450" y="409575"/>
          <a:ext cx="1950162" cy="33295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38</xdr:col>
      <xdr:colOff>257175</xdr:colOff>
      <xdr:row>2</xdr:row>
      <xdr:rowOff>0</xdr:rowOff>
    </xdr:from>
    <xdr:to>
      <xdr:col>40</xdr:col>
      <xdr:colOff>711912</xdr:colOff>
      <xdr:row>3</xdr:row>
      <xdr:rowOff>144356</xdr:rowOff>
    </xdr:to>
    <xdr:sp macro="[1]!Navigation" textlink="">
      <xdr:nvSpPr>
        <xdr:cNvPr id="2" name="Rectangle à coins arrondis 2">
          <a:extLst>
            <a:ext uri="{FF2B5EF4-FFF2-40B4-BE49-F238E27FC236}">
              <a16:creationId xmlns:a16="http://schemas.microsoft.com/office/drawing/2014/main" id="{10BAC8B8-6424-4A81-A0CE-137BC48FA73B}"/>
            </a:ext>
          </a:extLst>
        </xdr:cNvPr>
        <xdr:cNvSpPr/>
      </xdr:nvSpPr>
      <xdr:spPr>
        <a:xfrm>
          <a:off x="8239125" y="381000"/>
          <a:ext cx="1978737" cy="34438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21</xdr:col>
      <xdr:colOff>304800</xdr:colOff>
      <xdr:row>2</xdr:row>
      <xdr:rowOff>57150</xdr:rowOff>
    </xdr:from>
    <xdr:to>
      <xdr:col>23</xdr:col>
      <xdr:colOff>759537</xdr:colOff>
      <xdr:row>4</xdr:row>
      <xdr:rowOff>125306</xdr:rowOff>
    </xdr:to>
    <xdr:sp macro="[1]!Navigation" textlink="">
      <xdr:nvSpPr>
        <xdr:cNvPr id="2" name="Rectangle à coins arrondis 2">
          <a:extLst>
            <a:ext uri="{FF2B5EF4-FFF2-40B4-BE49-F238E27FC236}">
              <a16:creationId xmlns:a16="http://schemas.microsoft.com/office/drawing/2014/main" id="{18E0894C-AD09-47A1-A9ED-564C1421E6A3}"/>
            </a:ext>
          </a:extLst>
        </xdr:cNvPr>
        <xdr:cNvSpPr/>
      </xdr:nvSpPr>
      <xdr:spPr>
        <a:xfrm>
          <a:off x="8715375" y="285750"/>
          <a:ext cx="1978737" cy="33485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38</xdr:col>
      <xdr:colOff>238125</xdr:colOff>
      <xdr:row>0</xdr:row>
      <xdr:rowOff>114300</xdr:rowOff>
    </xdr:from>
    <xdr:to>
      <xdr:col>40</xdr:col>
      <xdr:colOff>692862</xdr:colOff>
      <xdr:row>2</xdr:row>
      <xdr:rowOff>89111</xdr:rowOff>
    </xdr:to>
    <xdr:sp macro="[1]!Navigation" textlink="">
      <xdr:nvSpPr>
        <xdr:cNvPr id="2" name="Rectangle à coins arrondis 2">
          <a:extLst>
            <a:ext uri="{FF2B5EF4-FFF2-40B4-BE49-F238E27FC236}">
              <a16:creationId xmlns:a16="http://schemas.microsoft.com/office/drawing/2014/main" id="{FC09078E-C2F7-4597-B86A-0EFC72BB0901}"/>
            </a:ext>
          </a:extLst>
        </xdr:cNvPr>
        <xdr:cNvSpPr/>
      </xdr:nvSpPr>
      <xdr:spPr>
        <a:xfrm>
          <a:off x="8572500" y="114300"/>
          <a:ext cx="1978737" cy="35581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93345</xdr:colOff>
      <xdr:row>0</xdr:row>
      <xdr:rowOff>142875</xdr:rowOff>
    </xdr:from>
    <xdr:to>
      <xdr:col>13</xdr:col>
      <xdr:colOff>546177</xdr:colOff>
      <xdr:row>2</xdr:row>
      <xdr:rowOff>117686</xdr:rowOff>
    </xdr:to>
    <xdr:sp macro="[1]!Navigation" textlink="">
      <xdr:nvSpPr>
        <xdr:cNvPr id="2" name="Rectangle à coins arrondis 2">
          <a:extLst>
            <a:ext uri="{FF2B5EF4-FFF2-40B4-BE49-F238E27FC236}">
              <a16:creationId xmlns:a16="http://schemas.microsoft.com/office/drawing/2014/main" id="{FE13BD24-0A96-4D50-A59F-2CE33B2C5868}"/>
            </a:ext>
          </a:extLst>
        </xdr:cNvPr>
        <xdr:cNvSpPr/>
      </xdr:nvSpPr>
      <xdr:spPr>
        <a:xfrm>
          <a:off x="8818245" y="142875"/>
          <a:ext cx="1976832" cy="35581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784860</xdr:colOff>
      <xdr:row>0</xdr:row>
      <xdr:rowOff>83820</xdr:rowOff>
    </xdr:from>
    <xdr:to>
      <xdr:col>10</xdr:col>
      <xdr:colOff>447117</xdr:colOff>
      <xdr:row>2</xdr:row>
      <xdr:rowOff>56726</xdr:rowOff>
    </xdr:to>
    <xdr:sp macro="[1]!Navigation" textlink="">
      <xdr:nvSpPr>
        <xdr:cNvPr id="2" name="Rectangle à coins arrondis 2">
          <a:extLst>
            <a:ext uri="{FF2B5EF4-FFF2-40B4-BE49-F238E27FC236}">
              <a16:creationId xmlns:a16="http://schemas.microsoft.com/office/drawing/2014/main" id="{4159A603-FAF7-40BE-814A-27432FE08473}"/>
            </a:ext>
          </a:extLst>
        </xdr:cNvPr>
        <xdr:cNvSpPr/>
      </xdr:nvSpPr>
      <xdr:spPr>
        <a:xfrm>
          <a:off x="6099810" y="83820"/>
          <a:ext cx="196730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12</xdr:col>
      <xdr:colOff>190500</xdr:colOff>
      <xdr:row>1</xdr:row>
      <xdr:rowOff>15240</xdr:rowOff>
    </xdr:from>
    <xdr:to>
      <xdr:col>14</xdr:col>
      <xdr:colOff>645237</xdr:colOff>
      <xdr:row>2</xdr:row>
      <xdr:rowOff>171026</xdr:rowOff>
    </xdr:to>
    <xdr:sp macro="[1]!Navigation" textlink="">
      <xdr:nvSpPr>
        <xdr:cNvPr id="2" name="Rectangle à coins arrondis 2">
          <a:extLst>
            <a:ext uri="{FF2B5EF4-FFF2-40B4-BE49-F238E27FC236}">
              <a16:creationId xmlns:a16="http://schemas.microsoft.com/office/drawing/2014/main" id="{7D549BDB-0ACD-4989-B705-D1CCDC8D9DA4}"/>
            </a:ext>
          </a:extLst>
        </xdr:cNvPr>
        <xdr:cNvSpPr/>
      </xdr:nvSpPr>
      <xdr:spPr>
        <a:xfrm>
          <a:off x="14401800" y="205740"/>
          <a:ext cx="1978737" cy="34628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144780</xdr:colOff>
      <xdr:row>0</xdr:row>
      <xdr:rowOff>144780</xdr:rowOff>
    </xdr:from>
    <xdr:to>
      <xdr:col>10</xdr:col>
      <xdr:colOff>599517</xdr:colOff>
      <xdr:row>2</xdr:row>
      <xdr:rowOff>117686</xdr:rowOff>
    </xdr:to>
    <xdr:sp macro="[1]!Navigation" textlink="">
      <xdr:nvSpPr>
        <xdr:cNvPr id="2" name="Rectangle à coins arrondis 2">
          <a:extLst>
            <a:ext uri="{FF2B5EF4-FFF2-40B4-BE49-F238E27FC236}">
              <a16:creationId xmlns:a16="http://schemas.microsoft.com/office/drawing/2014/main" id="{F7AF51C0-422D-4E6B-AF0C-CFF4B1AB956C}"/>
            </a:ext>
          </a:extLst>
        </xdr:cNvPr>
        <xdr:cNvSpPr/>
      </xdr:nvSpPr>
      <xdr:spPr>
        <a:xfrm>
          <a:off x="6240780" y="14478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342900</xdr:colOff>
      <xdr:row>0</xdr:row>
      <xdr:rowOff>68580</xdr:rowOff>
    </xdr:from>
    <xdr:to>
      <xdr:col>12</xdr:col>
      <xdr:colOff>5157</xdr:colOff>
      <xdr:row>2</xdr:row>
      <xdr:rowOff>41486</xdr:rowOff>
    </xdr:to>
    <xdr:sp macro="[1]!Navigation" textlink="">
      <xdr:nvSpPr>
        <xdr:cNvPr id="2" name="Rectangle à coins arrondis 2">
          <a:extLst>
            <a:ext uri="{FF2B5EF4-FFF2-40B4-BE49-F238E27FC236}">
              <a16:creationId xmlns:a16="http://schemas.microsoft.com/office/drawing/2014/main" id="{AF4ACF61-F364-4BCF-A257-6466B6C93803}"/>
            </a:ext>
          </a:extLst>
        </xdr:cNvPr>
        <xdr:cNvSpPr/>
      </xdr:nvSpPr>
      <xdr:spPr>
        <a:xfrm>
          <a:off x="10668000" y="68580"/>
          <a:ext cx="196730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9</xdr:col>
      <xdr:colOff>777240</xdr:colOff>
      <xdr:row>1</xdr:row>
      <xdr:rowOff>0</xdr:rowOff>
    </xdr:from>
    <xdr:to>
      <xdr:col>12</xdr:col>
      <xdr:colOff>439497</xdr:colOff>
      <xdr:row>2</xdr:row>
      <xdr:rowOff>155786</xdr:rowOff>
    </xdr:to>
    <xdr:sp macro="[1]!Navigation" textlink="">
      <xdr:nvSpPr>
        <xdr:cNvPr id="2" name="Rectangle à coins arrondis 2">
          <a:extLst>
            <a:ext uri="{FF2B5EF4-FFF2-40B4-BE49-F238E27FC236}">
              <a16:creationId xmlns:a16="http://schemas.microsoft.com/office/drawing/2014/main" id="{D8F04249-8B81-448A-9EE7-94532F0338A8}"/>
            </a:ext>
          </a:extLst>
        </xdr:cNvPr>
        <xdr:cNvSpPr/>
      </xdr:nvSpPr>
      <xdr:spPr>
        <a:xfrm>
          <a:off x="10826115" y="190500"/>
          <a:ext cx="1967307" cy="34628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11</xdr:col>
      <xdr:colOff>259080</xdr:colOff>
      <xdr:row>0</xdr:row>
      <xdr:rowOff>114300</xdr:rowOff>
    </xdr:from>
    <xdr:to>
      <xdr:col>13</xdr:col>
      <xdr:colOff>713817</xdr:colOff>
      <xdr:row>2</xdr:row>
      <xdr:rowOff>87206</xdr:rowOff>
    </xdr:to>
    <xdr:sp macro="[1]!Navigation" textlink="">
      <xdr:nvSpPr>
        <xdr:cNvPr id="2" name="Rectangle à coins arrondis 2">
          <a:extLst>
            <a:ext uri="{FF2B5EF4-FFF2-40B4-BE49-F238E27FC236}">
              <a16:creationId xmlns:a16="http://schemas.microsoft.com/office/drawing/2014/main" id="{887F4F9A-11E5-4EFE-84A0-836DF06F4A7B}"/>
            </a:ext>
          </a:extLst>
        </xdr:cNvPr>
        <xdr:cNvSpPr/>
      </xdr:nvSpPr>
      <xdr:spPr>
        <a:xfrm>
          <a:off x="11679555" y="11430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11</xdr:col>
      <xdr:colOff>68580</xdr:colOff>
      <xdr:row>0</xdr:row>
      <xdr:rowOff>83820</xdr:rowOff>
    </xdr:from>
    <xdr:to>
      <xdr:col>13</xdr:col>
      <xdr:colOff>523317</xdr:colOff>
      <xdr:row>2</xdr:row>
      <xdr:rowOff>56726</xdr:rowOff>
    </xdr:to>
    <xdr:sp macro="[1]!Navigation" textlink="">
      <xdr:nvSpPr>
        <xdr:cNvPr id="2" name="Rectangle à coins arrondis 2">
          <a:extLst>
            <a:ext uri="{FF2B5EF4-FFF2-40B4-BE49-F238E27FC236}">
              <a16:creationId xmlns:a16="http://schemas.microsoft.com/office/drawing/2014/main" id="{F5FA8CFD-5036-4B49-A947-3BA4D0AE756C}"/>
            </a:ext>
          </a:extLst>
        </xdr:cNvPr>
        <xdr:cNvSpPr/>
      </xdr:nvSpPr>
      <xdr:spPr>
        <a:xfrm>
          <a:off x="8860155" y="8382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twoCellAnchor>
    <xdr:from>
      <xdr:col>11</xdr:col>
      <xdr:colOff>68580</xdr:colOff>
      <xdr:row>0</xdr:row>
      <xdr:rowOff>83820</xdr:rowOff>
    </xdr:from>
    <xdr:to>
      <xdr:col>13</xdr:col>
      <xdr:colOff>523317</xdr:colOff>
      <xdr:row>2</xdr:row>
      <xdr:rowOff>56726</xdr:rowOff>
    </xdr:to>
    <xdr:sp macro="[1]!Navigation" textlink="">
      <xdr:nvSpPr>
        <xdr:cNvPr id="3" name="Rectangle à coins arrondis 2">
          <a:extLst>
            <a:ext uri="{FF2B5EF4-FFF2-40B4-BE49-F238E27FC236}">
              <a16:creationId xmlns:a16="http://schemas.microsoft.com/office/drawing/2014/main" id="{1D7E05E1-7D8D-4477-AF6F-924AEC23776D}"/>
            </a:ext>
          </a:extLst>
        </xdr:cNvPr>
        <xdr:cNvSpPr/>
      </xdr:nvSpPr>
      <xdr:spPr>
        <a:xfrm>
          <a:off x="8860155" y="8382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8</xdr:col>
      <xdr:colOff>190500</xdr:colOff>
      <xdr:row>0</xdr:row>
      <xdr:rowOff>129540</xdr:rowOff>
    </xdr:from>
    <xdr:to>
      <xdr:col>10</xdr:col>
      <xdr:colOff>645237</xdr:colOff>
      <xdr:row>2</xdr:row>
      <xdr:rowOff>102446</xdr:rowOff>
    </xdr:to>
    <xdr:sp macro="[1]!Navigation" textlink="">
      <xdr:nvSpPr>
        <xdr:cNvPr id="2" name="Rectangle à coins arrondis 2">
          <a:extLst>
            <a:ext uri="{FF2B5EF4-FFF2-40B4-BE49-F238E27FC236}">
              <a16:creationId xmlns:a16="http://schemas.microsoft.com/office/drawing/2014/main" id="{A53D8BB7-DFA0-434E-8E52-FA57C4677BE9}"/>
            </a:ext>
          </a:extLst>
        </xdr:cNvPr>
        <xdr:cNvSpPr/>
      </xdr:nvSpPr>
      <xdr:spPr>
        <a:xfrm>
          <a:off x="6286500" y="12954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10</xdr:col>
      <xdr:colOff>281940</xdr:colOff>
      <xdr:row>0</xdr:row>
      <xdr:rowOff>152400</xdr:rowOff>
    </xdr:from>
    <xdr:to>
      <xdr:col>12</xdr:col>
      <xdr:colOff>736677</xdr:colOff>
      <xdr:row>2</xdr:row>
      <xdr:rowOff>125306</xdr:rowOff>
    </xdr:to>
    <xdr:sp macro="[1]!Navigation" textlink="">
      <xdr:nvSpPr>
        <xdr:cNvPr id="2" name="Rectangle à coins arrondis 2">
          <a:extLst>
            <a:ext uri="{FF2B5EF4-FFF2-40B4-BE49-F238E27FC236}">
              <a16:creationId xmlns:a16="http://schemas.microsoft.com/office/drawing/2014/main" id="{DCC0C429-737F-4A15-AA35-9A5DDCE85725}"/>
            </a:ext>
          </a:extLst>
        </xdr:cNvPr>
        <xdr:cNvSpPr/>
      </xdr:nvSpPr>
      <xdr:spPr>
        <a:xfrm>
          <a:off x="9178290" y="15240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327660</xdr:colOff>
      <xdr:row>0</xdr:row>
      <xdr:rowOff>114300</xdr:rowOff>
    </xdr:from>
    <xdr:to>
      <xdr:col>12</xdr:col>
      <xdr:colOff>782397</xdr:colOff>
      <xdr:row>2</xdr:row>
      <xdr:rowOff>87206</xdr:rowOff>
    </xdr:to>
    <xdr:sp macro="[1]!Navigation" textlink="">
      <xdr:nvSpPr>
        <xdr:cNvPr id="2" name="Rectangle à coins arrondis 2">
          <a:extLst>
            <a:ext uri="{FF2B5EF4-FFF2-40B4-BE49-F238E27FC236}">
              <a16:creationId xmlns:a16="http://schemas.microsoft.com/office/drawing/2014/main" id="{56BC2B7F-DCCE-418E-AB83-A822A6D0FB35}"/>
            </a:ext>
          </a:extLst>
        </xdr:cNvPr>
        <xdr:cNvSpPr/>
      </xdr:nvSpPr>
      <xdr:spPr>
        <a:xfrm>
          <a:off x="9281160" y="114300"/>
          <a:ext cx="195968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10</xdr:col>
      <xdr:colOff>34290</xdr:colOff>
      <xdr:row>0</xdr:row>
      <xdr:rowOff>167640</xdr:rowOff>
    </xdr:from>
    <xdr:to>
      <xdr:col>12</xdr:col>
      <xdr:colOff>485217</xdr:colOff>
      <xdr:row>2</xdr:row>
      <xdr:rowOff>144356</xdr:rowOff>
    </xdr:to>
    <xdr:sp macro="[1]!Navigation" textlink="">
      <xdr:nvSpPr>
        <xdr:cNvPr id="2" name="Rectangle à coins arrondis 2">
          <a:extLst>
            <a:ext uri="{FF2B5EF4-FFF2-40B4-BE49-F238E27FC236}">
              <a16:creationId xmlns:a16="http://schemas.microsoft.com/office/drawing/2014/main" id="{3882E91F-EE4C-43A8-AAA2-4C65EE776313}"/>
            </a:ext>
          </a:extLst>
        </xdr:cNvPr>
        <xdr:cNvSpPr/>
      </xdr:nvSpPr>
      <xdr:spPr>
        <a:xfrm>
          <a:off x="8768715" y="167640"/>
          <a:ext cx="1974927" cy="35771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769620</xdr:colOff>
      <xdr:row>0</xdr:row>
      <xdr:rowOff>91440</xdr:rowOff>
    </xdr:from>
    <xdr:to>
      <xdr:col>13</xdr:col>
      <xdr:colOff>431877</xdr:colOff>
      <xdr:row>2</xdr:row>
      <xdr:rowOff>64346</xdr:rowOff>
    </xdr:to>
    <xdr:sp macro="[1]!Navigation" textlink="">
      <xdr:nvSpPr>
        <xdr:cNvPr id="2" name="Rectangle à coins arrondis 2">
          <a:extLst>
            <a:ext uri="{FF2B5EF4-FFF2-40B4-BE49-F238E27FC236}">
              <a16:creationId xmlns:a16="http://schemas.microsoft.com/office/drawing/2014/main" id="{A3E30C78-D1BB-4329-B0EF-CBA11B82F2FC}"/>
            </a:ext>
          </a:extLst>
        </xdr:cNvPr>
        <xdr:cNvSpPr/>
      </xdr:nvSpPr>
      <xdr:spPr>
        <a:xfrm>
          <a:off x="11713845" y="91440"/>
          <a:ext cx="1957782"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11</xdr:col>
      <xdr:colOff>182880</xdr:colOff>
      <xdr:row>0</xdr:row>
      <xdr:rowOff>106680</xdr:rowOff>
    </xdr:from>
    <xdr:to>
      <xdr:col>13</xdr:col>
      <xdr:colOff>637617</xdr:colOff>
      <xdr:row>2</xdr:row>
      <xdr:rowOff>79586</xdr:rowOff>
    </xdr:to>
    <xdr:sp macro="[1]!Navigation" textlink="">
      <xdr:nvSpPr>
        <xdr:cNvPr id="2" name="Rectangle à coins arrondis 2">
          <a:extLst>
            <a:ext uri="{FF2B5EF4-FFF2-40B4-BE49-F238E27FC236}">
              <a16:creationId xmlns:a16="http://schemas.microsoft.com/office/drawing/2014/main" id="{C2FAD396-CC1C-4A70-9C36-D8664FB01E8A}"/>
            </a:ext>
          </a:extLst>
        </xdr:cNvPr>
        <xdr:cNvSpPr/>
      </xdr:nvSpPr>
      <xdr:spPr>
        <a:xfrm>
          <a:off x="12127230" y="10668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11</xdr:col>
      <xdr:colOff>213360</xdr:colOff>
      <xdr:row>0</xdr:row>
      <xdr:rowOff>91440</xdr:rowOff>
    </xdr:from>
    <xdr:to>
      <xdr:col>13</xdr:col>
      <xdr:colOff>668097</xdr:colOff>
      <xdr:row>2</xdr:row>
      <xdr:rowOff>64346</xdr:rowOff>
    </xdr:to>
    <xdr:sp macro="[1]!Navigation" textlink="">
      <xdr:nvSpPr>
        <xdr:cNvPr id="2" name="Rectangle à coins arrondis 2">
          <a:extLst>
            <a:ext uri="{FF2B5EF4-FFF2-40B4-BE49-F238E27FC236}">
              <a16:creationId xmlns:a16="http://schemas.microsoft.com/office/drawing/2014/main" id="{2A02E894-46C9-4E22-931B-A1D936AD3E11}"/>
            </a:ext>
          </a:extLst>
        </xdr:cNvPr>
        <xdr:cNvSpPr/>
      </xdr:nvSpPr>
      <xdr:spPr>
        <a:xfrm>
          <a:off x="10395585" y="9144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11</xdr:col>
      <xdr:colOff>83820</xdr:colOff>
      <xdr:row>0</xdr:row>
      <xdr:rowOff>121920</xdr:rowOff>
    </xdr:from>
    <xdr:to>
      <xdr:col>13</xdr:col>
      <xdr:colOff>538557</xdr:colOff>
      <xdr:row>2</xdr:row>
      <xdr:rowOff>94826</xdr:rowOff>
    </xdr:to>
    <xdr:sp macro="[1]!Navigation" textlink="">
      <xdr:nvSpPr>
        <xdr:cNvPr id="2" name="Rectangle à coins arrondis 2">
          <a:extLst>
            <a:ext uri="{FF2B5EF4-FFF2-40B4-BE49-F238E27FC236}">
              <a16:creationId xmlns:a16="http://schemas.microsoft.com/office/drawing/2014/main" id="{DF9C9EE9-E27D-4218-9797-C7E24F03D305}"/>
            </a:ext>
          </a:extLst>
        </xdr:cNvPr>
        <xdr:cNvSpPr/>
      </xdr:nvSpPr>
      <xdr:spPr>
        <a:xfrm>
          <a:off x="11389995" y="12192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11</xdr:col>
      <xdr:colOff>396240</xdr:colOff>
      <xdr:row>1</xdr:row>
      <xdr:rowOff>45720</xdr:rowOff>
    </xdr:from>
    <xdr:to>
      <xdr:col>14</xdr:col>
      <xdr:colOff>58497</xdr:colOff>
      <xdr:row>3</xdr:row>
      <xdr:rowOff>18626</xdr:rowOff>
    </xdr:to>
    <xdr:sp macro="[1]!Navigation" textlink="">
      <xdr:nvSpPr>
        <xdr:cNvPr id="2" name="Rectangle à coins arrondis 2">
          <a:extLst>
            <a:ext uri="{FF2B5EF4-FFF2-40B4-BE49-F238E27FC236}">
              <a16:creationId xmlns:a16="http://schemas.microsoft.com/office/drawing/2014/main" id="{78087FE3-506A-4F00-8E86-6B476B0C57B1}"/>
            </a:ext>
          </a:extLst>
        </xdr:cNvPr>
        <xdr:cNvSpPr/>
      </xdr:nvSpPr>
      <xdr:spPr>
        <a:xfrm>
          <a:off x="12292965" y="23622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10</xdr:col>
      <xdr:colOff>571500</xdr:colOff>
      <xdr:row>1</xdr:row>
      <xdr:rowOff>99060</xdr:rowOff>
    </xdr:from>
    <xdr:to>
      <xdr:col>13</xdr:col>
      <xdr:colOff>233757</xdr:colOff>
      <xdr:row>3</xdr:row>
      <xdr:rowOff>71966</xdr:rowOff>
    </xdr:to>
    <xdr:sp macro="[1]!Navigation" textlink="">
      <xdr:nvSpPr>
        <xdr:cNvPr id="2" name="Rectangle à coins arrondis 2">
          <a:extLst>
            <a:ext uri="{FF2B5EF4-FFF2-40B4-BE49-F238E27FC236}">
              <a16:creationId xmlns:a16="http://schemas.microsoft.com/office/drawing/2014/main" id="{F366DB2F-9C3B-499B-8457-A84ED3516028}"/>
            </a:ext>
          </a:extLst>
        </xdr:cNvPr>
        <xdr:cNvSpPr/>
      </xdr:nvSpPr>
      <xdr:spPr>
        <a:xfrm>
          <a:off x="10934700" y="28956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10</xdr:col>
      <xdr:colOff>754380</xdr:colOff>
      <xdr:row>0</xdr:row>
      <xdr:rowOff>144780</xdr:rowOff>
    </xdr:from>
    <xdr:to>
      <xdr:col>13</xdr:col>
      <xdr:colOff>416637</xdr:colOff>
      <xdr:row>2</xdr:row>
      <xdr:rowOff>117686</xdr:rowOff>
    </xdr:to>
    <xdr:sp macro="[1]!Navigation" textlink="">
      <xdr:nvSpPr>
        <xdr:cNvPr id="2" name="Rectangle à coins arrondis 2">
          <a:extLst>
            <a:ext uri="{FF2B5EF4-FFF2-40B4-BE49-F238E27FC236}">
              <a16:creationId xmlns:a16="http://schemas.microsoft.com/office/drawing/2014/main" id="{1DEA121C-3659-4760-95C9-2838A0827CC2}"/>
            </a:ext>
          </a:extLst>
        </xdr:cNvPr>
        <xdr:cNvSpPr/>
      </xdr:nvSpPr>
      <xdr:spPr>
        <a:xfrm>
          <a:off x="9450705" y="14478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11</xdr:col>
      <xdr:colOff>243840</xdr:colOff>
      <xdr:row>0</xdr:row>
      <xdr:rowOff>160020</xdr:rowOff>
    </xdr:from>
    <xdr:to>
      <xdr:col>13</xdr:col>
      <xdr:colOff>698577</xdr:colOff>
      <xdr:row>2</xdr:row>
      <xdr:rowOff>132926</xdr:rowOff>
    </xdr:to>
    <xdr:sp macro="[1]!Navigation" textlink="">
      <xdr:nvSpPr>
        <xdr:cNvPr id="2" name="Rectangle à coins arrondis 2">
          <a:extLst>
            <a:ext uri="{FF2B5EF4-FFF2-40B4-BE49-F238E27FC236}">
              <a16:creationId xmlns:a16="http://schemas.microsoft.com/office/drawing/2014/main" id="{841E1A81-73CB-49BF-B3C6-BC3676B64CC8}"/>
            </a:ext>
          </a:extLst>
        </xdr:cNvPr>
        <xdr:cNvSpPr/>
      </xdr:nvSpPr>
      <xdr:spPr>
        <a:xfrm>
          <a:off x="9940290" y="16002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11</xdr:col>
      <xdr:colOff>76200</xdr:colOff>
      <xdr:row>0</xdr:row>
      <xdr:rowOff>68580</xdr:rowOff>
    </xdr:from>
    <xdr:to>
      <xdr:col>13</xdr:col>
      <xdr:colOff>530937</xdr:colOff>
      <xdr:row>2</xdr:row>
      <xdr:rowOff>41486</xdr:rowOff>
    </xdr:to>
    <xdr:sp macro="[1]!Navigation" textlink="">
      <xdr:nvSpPr>
        <xdr:cNvPr id="2" name="Rectangle à coins arrondis 2">
          <a:extLst>
            <a:ext uri="{FF2B5EF4-FFF2-40B4-BE49-F238E27FC236}">
              <a16:creationId xmlns:a16="http://schemas.microsoft.com/office/drawing/2014/main" id="{9C56DA23-D286-4745-B365-D3224645E885}"/>
            </a:ext>
          </a:extLst>
        </xdr:cNvPr>
        <xdr:cNvSpPr/>
      </xdr:nvSpPr>
      <xdr:spPr>
        <a:xfrm>
          <a:off x="11220450" y="6858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11</xdr:col>
      <xdr:colOff>160020</xdr:colOff>
      <xdr:row>0</xdr:row>
      <xdr:rowOff>129540</xdr:rowOff>
    </xdr:from>
    <xdr:to>
      <xdr:col>13</xdr:col>
      <xdr:colOff>614757</xdr:colOff>
      <xdr:row>2</xdr:row>
      <xdr:rowOff>102446</xdr:rowOff>
    </xdr:to>
    <xdr:sp macro="[1]!Navigation" textlink="">
      <xdr:nvSpPr>
        <xdr:cNvPr id="2" name="Rectangle à coins arrondis 2">
          <a:extLst>
            <a:ext uri="{FF2B5EF4-FFF2-40B4-BE49-F238E27FC236}">
              <a16:creationId xmlns:a16="http://schemas.microsoft.com/office/drawing/2014/main" id="{A7143E06-4B2A-462E-A384-FDC1CFEFF152}"/>
            </a:ext>
          </a:extLst>
        </xdr:cNvPr>
        <xdr:cNvSpPr/>
      </xdr:nvSpPr>
      <xdr:spPr>
        <a:xfrm>
          <a:off x="13180695" y="12954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11</xdr:col>
      <xdr:colOff>106680</xdr:colOff>
      <xdr:row>0</xdr:row>
      <xdr:rowOff>144780</xdr:rowOff>
    </xdr:from>
    <xdr:to>
      <xdr:col>13</xdr:col>
      <xdr:colOff>561417</xdr:colOff>
      <xdr:row>2</xdr:row>
      <xdr:rowOff>117686</xdr:rowOff>
    </xdr:to>
    <xdr:sp macro="[1]!Navigation" textlink="">
      <xdr:nvSpPr>
        <xdr:cNvPr id="2" name="Rectangle à coins arrondis 2">
          <a:extLst>
            <a:ext uri="{FF2B5EF4-FFF2-40B4-BE49-F238E27FC236}">
              <a16:creationId xmlns:a16="http://schemas.microsoft.com/office/drawing/2014/main" id="{A077905A-9962-47DA-B1E9-5277B9A83AD2}"/>
            </a:ext>
          </a:extLst>
        </xdr:cNvPr>
        <xdr:cNvSpPr/>
      </xdr:nvSpPr>
      <xdr:spPr>
        <a:xfrm>
          <a:off x="12393930" y="14478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9</xdr:col>
      <xdr:colOff>632460</xdr:colOff>
      <xdr:row>0</xdr:row>
      <xdr:rowOff>137160</xdr:rowOff>
    </xdr:from>
    <xdr:to>
      <xdr:col>12</xdr:col>
      <xdr:colOff>294717</xdr:colOff>
      <xdr:row>2</xdr:row>
      <xdr:rowOff>110066</xdr:rowOff>
    </xdr:to>
    <xdr:sp macro="[1]!Navigation" textlink="">
      <xdr:nvSpPr>
        <xdr:cNvPr id="2" name="Rectangle à coins arrondis 2">
          <a:extLst>
            <a:ext uri="{FF2B5EF4-FFF2-40B4-BE49-F238E27FC236}">
              <a16:creationId xmlns:a16="http://schemas.microsoft.com/office/drawing/2014/main" id="{609365E0-B2E4-4DBB-9919-77BBFDBF23B5}"/>
            </a:ext>
          </a:extLst>
        </xdr:cNvPr>
        <xdr:cNvSpPr/>
      </xdr:nvSpPr>
      <xdr:spPr>
        <a:xfrm>
          <a:off x="10271760" y="13716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9</xdr:col>
      <xdr:colOff>640080</xdr:colOff>
      <xdr:row>1</xdr:row>
      <xdr:rowOff>45720</xdr:rowOff>
    </xdr:from>
    <xdr:to>
      <xdr:col>12</xdr:col>
      <xdr:colOff>302337</xdr:colOff>
      <xdr:row>3</xdr:row>
      <xdr:rowOff>18626</xdr:rowOff>
    </xdr:to>
    <xdr:sp macro="[1]!Navigation" textlink="">
      <xdr:nvSpPr>
        <xdr:cNvPr id="2" name="Rectangle à coins arrondis 2">
          <a:extLst>
            <a:ext uri="{FF2B5EF4-FFF2-40B4-BE49-F238E27FC236}">
              <a16:creationId xmlns:a16="http://schemas.microsoft.com/office/drawing/2014/main" id="{2089FF4B-108C-4C11-838E-2036BE5EA5E0}"/>
            </a:ext>
          </a:extLst>
        </xdr:cNvPr>
        <xdr:cNvSpPr/>
      </xdr:nvSpPr>
      <xdr:spPr>
        <a:xfrm>
          <a:off x="9707880" y="23622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10</xdr:col>
      <xdr:colOff>30480</xdr:colOff>
      <xdr:row>1</xdr:row>
      <xdr:rowOff>60960</xdr:rowOff>
    </xdr:from>
    <xdr:to>
      <xdr:col>12</xdr:col>
      <xdr:colOff>485217</xdr:colOff>
      <xdr:row>3</xdr:row>
      <xdr:rowOff>33866</xdr:rowOff>
    </xdr:to>
    <xdr:sp macro="[1]!Navigation" textlink="">
      <xdr:nvSpPr>
        <xdr:cNvPr id="2" name="Rectangle à coins arrondis 2">
          <a:extLst>
            <a:ext uri="{FF2B5EF4-FFF2-40B4-BE49-F238E27FC236}">
              <a16:creationId xmlns:a16="http://schemas.microsoft.com/office/drawing/2014/main" id="{93FED56B-3D56-4AD0-881C-92F966678C22}"/>
            </a:ext>
          </a:extLst>
        </xdr:cNvPr>
        <xdr:cNvSpPr/>
      </xdr:nvSpPr>
      <xdr:spPr>
        <a:xfrm>
          <a:off x="9955530" y="2514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9</xdr:col>
      <xdr:colOff>731520</xdr:colOff>
      <xdr:row>0</xdr:row>
      <xdr:rowOff>160020</xdr:rowOff>
    </xdr:from>
    <xdr:to>
      <xdr:col>12</xdr:col>
      <xdr:colOff>393777</xdr:colOff>
      <xdr:row>2</xdr:row>
      <xdr:rowOff>132926</xdr:rowOff>
    </xdr:to>
    <xdr:sp macro="[1]!Navigation" textlink="">
      <xdr:nvSpPr>
        <xdr:cNvPr id="2" name="Rectangle à coins arrondis 2">
          <a:extLst>
            <a:ext uri="{FF2B5EF4-FFF2-40B4-BE49-F238E27FC236}">
              <a16:creationId xmlns:a16="http://schemas.microsoft.com/office/drawing/2014/main" id="{8F20C74F-8741-4A42-A87A-E89438E723DA}"/>
            </a:ext>
          </a:extLst>
        </xdr:cNvPr>
        <xdr:cNvSpPr/>
      </xdr:nvSpPr>
      <xdr:spPr>
        <a:xfrm>
          <a:off x="8780145" y="16002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10</xdr:col>
      <xdr:colOff>22860</xdr:colOff>
      <xdr:row>1</xdr:row>
      <xdr:rowOff>144780</xdr:rowOff>
    </xdr:from>
    <xdr:to>
      <xdr:col>12</xdr:col>
      <xdr:colOff>477597</xdr:colOff>
      <xdr:row>3</xdr:row>
      <xdr:rowOff>117686</xdr:rowOff>
    </xdr:to>
    <xdr:sp macro="[1]!Navigation" textlink="">
      <xdr:nvSpPr>
        <xdr:cNvPr id="2" name="Rectangle à coins arrondis 2">
          <a:extLst>
            <a:ext uri="{FF2B5EF4-FFF2-40B4-BE49-F238E27FC236}">
              <a16:creationId xmlns:a16="http://schemas.microsoft.com/office/drawing/2014/main" id="{FE997F65-165B-45DF-93BF-ABF6E30081BE}"/>
            </a:ext>
          </a:extLst>
        </xdr:cNvPr>
        <xdr:cNvSpPr/>
      </xdr:nvSpPr>
      <xdr:spPr>
        <a:xfrm>
          <a:off x="9071610" y="33528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10</xdr:col>
      <xdr:colOff>144780</xdr:colOff>
      <xdr:row>1</xdr:row>
      <xdr:rowOff>53340</xdr:rowOff>
    </xdr:from>
    <xdr:to>
      <xdr:col>12</xdr:col>
      <xdr:colOff>599517</xdr:colOff>
      <xdr:row>3</xdr:row>
      <xdr:rowOff>26246</xdr:rowOff>
    </xdr:to>
    <xdr:sp macro="[1]!Navigation" textlink="">
      <xdr:nvSpPr>
        <xdr:cNvPr id="2" name="Rectangle à coins arrondis 2">
          <a:extLst>
            <a:ext uri="{FF2B5EF4-FFF2-40B4-BE49-F238E27FC236}">
              <a16:creationId xmlns:a16="http://schemas.microsoft.com/office/drawing/2014/main" id="{397F6CEE-D52E-46FA-9971-104180FA9276}"/>
            </a:ext>
          </a:extLst>
        </xdr:cNvPr>
        <xdr:cNvSpPr/>
      </xdr:nvSpPr>
      <xdr:spPr>
        <a:xfrm>
          <a:off x="9222105" y="24384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10</xdr:col>
      <xdr:colOff>182880</xdr:colOff>
      <xdr:row>1</xdr:row>
      <xdr:rowOff>60960</xdr:rowOff>
    </xdr:from>
    <xdr:to>
      <xdr:col>12</xdr:col>
      <xdr:colOff>637617</xdr:colOff>
      <xdr:row>3</xdr:row>
      <xdr:rowOff>33866</xdr:rowOff>
    </xdr:to>
    <xdr:sp macro="[1]!Navigation" textlink="">
      <xdr:nvSpPr>
        <xdr:cNvPr id="2" name="Rectangle à coins arrondis 2">
          <a:extLst>
            <a:ext uri="{FF2B5EF4-FFF2-40B4-BE49-F238E27FC236}">
              <a16:creationId xmlns:a16="http://schemas.microsoft.com/office/drawing/2014/main" id="{9A6A207B-29CC-4C7C-A177-8FA9B08CCA1F}"/>
            </a:ext>
          </a:extLst>
        </xdr:cNvPr>
        <xdr:cNvSpPr/>
      </xdr:nvSpPr>
      <xdr:spPr>
        <a:xfrm>
          <a:off x="10603230" y="2514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10</xdr:col>
      <xdr:colOff>373380</xdr:colOff>
      <xdr:row>1</xdr:row>
      <xdr:rowOff>68580</xdr:rowOff>
    </xdr:from>
    <xdr:to>
      <xdr:col>13</xdr:col>
      <xdr:colOff>35637</xdr:colOff>
      <xdr:row>3</xdr:row>
      <xdr:rowOff>41486</xdr:rowOff>
    </xdr:to>
    <xdr:sp macro="[1]!Navigation" textlink="">
      <xdr:nvSpPr>
        <xdr:cNvPr id="2" name="Rectangle à coins arrondis 2">
          <a:extLst>
            <a:ext uri="{FF2B5EF4-FFF2-40B4-BE49-F238E27FC236}">
              <a16:creationId xmlns:a16="http://schemas.microsoft.com/office/drawing/2014/main" id="{55EF11FA-9D36-4F91-AB66-F54432B33732}"/>
            </a:ext>
          </a:extLst>
        </xdr:cNvPr>
        <xdr:cNvSpPr/>
      </xdr:nvSpPr>
      <xdr:spPr>
        <a:xfrm>
          <a:off x="10460355" y="25908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1</xdr:col>
      <xdr:colOff>0</xdr:colOff>
      <xdr:row>16</xdr:row>
      <xdr:rowOff>0</xdr:rowOff>
    </xdr:from>
    <xdr:to>
      <xdr:col>2</xdr:col>
      <xdr:colOff>9525</xdr:colOff>
      <xdr:row>20</xdr:row>
      <xdr:rowOff>0</xdr:rowOff>
    </xdr:to>
    <xdr:sp macro="" textlink="">
      <xdr:nvSpPr>
        <xdr:cNvPr id="2" name="Line 1">
          <a:extLst>
            <a:ext uri="{FF2B5EF4-FFF2-40B4-BE49-F238E27FC236}">
              <a16:creationId xmlns:a16="http://schemas.microsoft.com/office/drawing/2014/main" id="{90BBDBC0-A9C4-4655-BFD6-0F012EBFB043}"/>
            </a:ext>
          </a:extLst>
        </xdr:cNvPr>
        <xdr:cNvSpPr>
          <a:spLocks noChangeShapeType="1"/>
        </xdr:cNvSpPr>
      </xdr:nvSpPr>
      <xdr:spPr bwMode="auto">
        <a:xfrm>
          <a:off x="190500" y="2962275"/>
          <a:ext cx="2466975" cy="762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152400</xdr:colOff>
      <xdr:row>1</xdr:row>
      <xdr:rowOff>99060</xdr:rowOff>
    </xdr:from>
    <xdr:to>
      <xdr:col>20</xdr:col>
      <xdr:colOff>607137</xdr:colOff>
      <xdr:row>3</xdr:row>
      <xdr:rowOff>71966</xdr:rowOff>
    </xdr:to>
    <xdr:sp macro="[1]!Navigation" textlink="">
      <xdr:nvSpPr>
        <xdr:cNvPr id="3" name="Rectangle à coins arrondis 3">
          <a:extLst>
            <a:ext uri="{FF2B5EF4-FFF2-40B4-BE49-F238E27FC236}">
              <a16:creationId xmlns:a16="http://schemas.microsoft.com/office/drawing/2014/main" id="{69ABD0B9-CC1B-4070-AA6A-72358034B47B}"/>
            </a:ext>
          </a:extLst>
        </xdr:cNvPr>
        <xdr:cNvSpPr/>
      </xdr:nvSpPr>
      <xdr:spPr>
        <a:xfrm>
          <a:off x="12525375" y="2895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9</xdr:col>
      <xdr:colOff>777240</xdr:colOff>
      <xdr:row>1</xdr:row>
      <xdr:rowOff>99060</xdr:rowOff>
    </xdr:from>
    <xdr:to>
      <xdr:col>12</xdr:col>
      <xdr:colOff>439497</xdr:colOff>
      <xdr:row>3</xdr:row>
      <xdr:rowOff>71966</xdr:rowOff>
    </xdr:to>
    <xdr:sp macro="[1]!Navigation" textlink="">
      <xdr:nvSpPr>
        <xdr:cNvPr id="2" name="Rectangle à coins arrondis 2">
          <a:extLst>
            <a:ext uri="{FF2B5EF4-FFF2-40B4-BE49-F238E27FC236}">
              <a16:creationId xmlns:a16="http://schemas.microsoft.com/office/drawing/2014/main" id="{CAA21373-D1AB-4EA1-821E-BF30B0A5BE01}"/>
            </a:ext>
          </a:extLst>
        </xdr:cNvPr>
        <xdr:cNvSpPr/>
      </xdr:nvSpPr>
      <xdr:spPr>
        <a:xfrm>
          <a:off x="9502140" y="289560"/>
          <a:ext cx="196730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11</xdr:col>
      <xdr:colOff>60960</xdr:colOff>
      <xdr:row>1</xdr:row>
      <xdr:rowOff>53340</xdr:rowOff>
    </xdr:from>
    <xdr:to>
      <xdr:col>13</xdr:col>
      <xdr:colOff>515697</xdr:colOff>
      <xdr:row>3</xdr:row>
      <xdr:rowOff>26246</xdr:rowOff>
    </xdr:to>
    <xdr:sp macro="[1]!Navigation" textlink="">
      <xdr:nvSpPr>
        <xdr:cNvPr id="2" name="Rectangle à coins arrondis 2">
          <a:extLst>
            <a:ext uri="{FF2B5EF4-FFF2-40B4-BE49-F238E27FC236}">
              <a16:creationId xmlns:a16="http://schemas.microsoft.com/office/drawing/2014/main" id="{E095FE41-A4E6-48E2-AEE3-5B0DDBE06D97}"/>
            </a:ext>
          </a:extLst>
        </xdr:cNvPr>
        <xdr:cNvSpPr/>
      </xdr:nvSpPr>
      <xdr:spPr>
        <a:xfrm>
          <a:off x="13900785" y="24384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11</xdr:col>
      <xdr:colOff>342900</xdr:colOff>
      <xdr:row>1</xdr:row>
      <xdr:rowOff>106680</xdr:rowOff>
    </xdr:from>
    <xdr:to>
      <xdr:col>14</xdr:col>
      <xdr:colOff>5157</xdr:colOff>
      <xdr:row>3</xdr:row>
      <xdr:rowOff>79586</xdr:rowOff>
    </xdr:to>
    <xdr:sp macro="[1]!Navigation" textlink="">
      <xdr:nvSpPr>
        <xdr:cNvPr id="2" name="Rectangle à coins arrondis 2">
          <a:extLst>
            <a:ext uri="{FF2B5EF4-FFF2-40B4-BE49-F238E27FC236}">
              <a16:creationId xmlns:a16="http://schemas.microsoft.com/office/drawing/2014/main" id="{894F8205-84AC-4291-86AC-91AE406B77D2}"/>
            </a:ext>
          </a:extLst>
        </xdr:cNvPr>
        <xdr:cNvSpPr/>
      </xdr:nvSpPr>
      <xdr:spPr>
        <a:xfrm>
          <a:off x="11087100" y="29718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9</xdr:col>
      <xdr:colOff>112395</xdr:colOff>
      <xdr:row>1</xdr:row>
      <xdr:rowOff>7620</xdr:rowOff>
    </xdr:from>
    <xdr:to>
      <xdr:col>11</xdr:col>
      <xdr:colOff>593802</xdr:colOff>
      <xdr:row>2</xdr:row>
      <xdr:rowOff>169121</xdr:rowOff>
    </xdr:to>
    <xdr:sp macro="[1]!Navigation" textlink="">
      <xdr:nvSpPr>
        <xdr:cNvPr id="2" name="Rectangle à coins arrondis 2">
          <a:extLst>
            <a:ext uri="{FF2B5EF4-FFF2-40B4-BE49-F238E27FC236}">
              <a16:creationId xmlns:a16="http://schemas.microsoft.com/office/drawing/2014/main" id="{5EAAEEAE-D9D5-46C5-9C34-E153B6979D0C}"/>
            </a:ext>
          </a:extLst>
        </xdr:cNvPr>
        <xdr:cNvSpPr/>
      </xdr:nvSpPr>
      <xdr:spPr>
        <a:xfrm>
          <a:off x="8999220" y="217170"/>
          <a:ext cx="2005407" cy="35200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481407</xdr:colOff>
      <xdr:row>2</xdr:row>
      <xdr:rowOff>171026</xdr:rowOff>
    </xdr:to>
    <xdr:sp macro="[1]!Navigation" textlink="">
      <xdr:nvSpPr>
        <xdr:cNvPr id="2" name="Rectangle à coins arrondis 2">
          <a:extLst>
            <a:ext uri="{FF2B5EF4-FFF2-40B4-BE49-F238E27FC236}">
              <a16:creationId xmlns:a16="http://schemas.microsoft.com/office/drawing/2014/main" id="{0AD58E41-8584-4BD3-9E29-B3EDAD3A4A1E}"/>
            </a:ext>
          </a:extLst>
        </xdr:cNvPr>
        <xdr:cNvSpPr/>
      </xdr:nvSpPr>
      <xdr:spPr>
        <a:xfrm>
          <a:off x="10620375" y="114300"/>
          <a:ext cx="2005407" cy="35200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13</xdr:col>
      <xdr:colOff>723900</xdr:colOff>
      <xdr:row>1</xdr:row>
      <xdr:rowOff>0</xdr:rowOff>
    </xdr:from>
    <xdr:to>
      <xdr:col>16</xdr:col>
      <xdr:colOff>420447</xdr:colOff>
      <xdr:row>3</xdr:row>
      <xdr:rowOff>3386</xdr:rowOff>
    </xdr:to>
    <xdr:sp macro="[1]!Navigation" textlink="">
      <xdr:nvSpPr>
        <xdr:cNvPr id="2" name="Rectangle à coins arrondis 2">
          <a:extLst>
            <a:ext uri="{FF2B5EF4-FFF2-40B4-BE49-F238E27FC236}">
              <a16:creationId xmlns:a16="http://schemas.microsoft.com/office/drawing/2014/main" id="{CBBE9D81-856D-4B5C-BCE9-37BA9EE2EBC7}"/>
            </a:ext>
          </a:extLst>
        </xdr:cNvPr>
        <xdr:cNvSpPr/>
      </xdr:nvSpPr>
      <xdr:spPr>
        <a:xfrm>
          <a:off x="10791825" y="142875"/>
          <a:ext cx="1982547" cy="36533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13</xdr:col>
      <xdr:colOff>415636</xdr:colOff>
      <xdr:row>0</xdr:row>
      <xdr:rowOff>136547</xdr:rowOff>
    </xdr:from>
    <xdr:to>
      <xdr:col>16</xdr:col>
      <xdr:colOff>111864</xdr:colOff>
      <xdr:row>2</xdr:row>
      <xdr:rowOff>114582</xdr:rowOff>
    </xdr:to>
    <xdr:sp macro="[1]!Navigation" textlink="">
      <xdr:nvSpPr>
        <xdr:cNvPr id="2" name="Rectangle à coins arrondis 2">
          <a:extLst>
            <a:ext uri="{FF2B5EF4-FFF2-40B4-BE49-F238E27FC236}">
              <a16:creationId xmlns:a16="http://schemas.microsoft.com/office/drawing/2014/main" id="{2D6B260B-F9B5-4BD2-AD87-7A8422F44CD6}"/>
            </a:ext>
          </a:extLst>
        </xdr:cNvPr>
        <xdr:cNvSpPr/>
      </xdr:nvSpPr>
      <xdr:spPr>
        <a:xfrm>
          <a:off x="9683461" y="136547"/>
          <a:ext cx="1982228" cy="349510"/>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481407</xdr:colOff>
      <xdr:row>2</xdr:row>
      <xdr:rowOff>161501</xdr:rowOff>
    </xdr:to>
    <xdr:sp macro="[1]!Navigation" textlink="">
      <xdr:nvSpPr>
        <xdr:cNvPr id="2" name="Rectangle à coins arrondis 2">
          <a:extLst>
            <a:ext uri="{FF2B5EF4-FFF2-40B4-BE49-F238E27FC236}">
              <a16:creationId xmlns:a16="http://schemas.microsoft.com/office/drawing/2014/main" id="{CB9A65DE-9B7B-4A05-9B2C-B457D8155618}"/>
            </a:ext>
          </a:extLst>
        </xdr:cNvPr>
        <xdr:cNvSpPr/>
      </xdr:nvSpPr>
      <xdr:spPr>
        <a:xfrm>
          <a:off x="10125075" y="133350"/>
          <a:ext cx="2005407" cy="35200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12</xdr:col>
      <xdr:colOff>771525</xdr:colOff>
      <xdr:row>1</xdr:row>
      <xdr:rowOff>85725</xdr:rowOff>
    </xdr:from>
    <xdr:to>
      <xdr:col>15</xdr:col>
      <xdr:colOff>468072</xdr:colOff>
      <xdr:row>3</xdr:row>
      <xdr:rowOff>68156</xdr:rowOff>
    </xdr:to>
    <xdr:sp macro="[1]!Navigation" textlink="">
      <xdr:nvSpPr>
        <xdr:cNvPr id="2" name="Rectangle à coins arrondis 2">
          <a:extLst>
            <a:ext uri="{FF2B5EF4-FFF2-40B4-BE49-F238E27FC236}">
              <a16:creationId xmlns:a16="http://schemas.microsoft.com/office/drawing/2014/main" id="{7A392E5B-4101-4438-BD92-524C5F04989B}"/>
            </a:ext>
          </a:extLst>
        </xdr:cNvPr>
        <xdr:cNvSpPr/>
      </xdr:nvSpPr>
      <xdr:spPr>
        <a:xfrm>
          <a:off x="10020300" y="133350"/>
          <a:ext cx="1992072" cy="36343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13</xdr:col>
      <xdr:colOff>409575</xdr:colOff>
      <xdr:row>0</xdr:row>
      <xdr:rowOff>114300</xdr:rowOff>
    </xdr:from>
    <xdr:to>
      <xdr:col>16</xdr:col>
      <xdr:colOff>106122</xdr:colOff>
      <xdr:row>2</xdr:row>
      <xdr:rowOff>144356</xdr:rowOff>
    </xdr:to>
    <xdr:sp macro="[1]!Navigation" textlink="">
      <xdr:nvSpPr>
        <xdr:cNvPr id="2" name="Rectangle à coins arrondis 2">
          <a:extLst>
            <a:ext uri="{FF2B5EF4-FFF2-40B4-BE49-F238E27FC236}">
              <a16:creationId xmlns:a16="http://schemas.microsoft.com/office/drawing/2014/main" id="{DF3B6F35-C75D-4F07-9D75-B8F5CA99E5A7}"/>
            </a:ext>
          </a:extLst>
        </xdr:cNvPr>
        <xdr:cNvSpPr/>
      </xdr:nvSpPr>
      <xdr:spPr>
        <a:xfrm>
          <a:off x="10467975" y="114300"/>
          <a:ext cx="198254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13</xdr:col>
      <xdr:colOff>0</xdr:colOff>
      <xdr:row>1</xdr:row>
      <xdr:rowOff>0</xdr:rowOff>
    </xdr:from>
    <xdr:to>
      <xdr:col>15</xdr:col>
      <xdr:colOff>481407</xdr:colOff>
      <xdr:row>2</xdr:row>
      <xdr:rowOff>161501</xdr:rowOff>
    </xdr:to>
    <xdr:sp macro="[1]!Navigation" textlink="">
      <xdr:nvSpPr>
        <xdr:cNvPr id="2" name="Rectangle à coins arrondis 2">
          <a:extLst>
            <a:ext uri="{FF2B5EF4-FFF2-40B4-BE49-F238E27FC236}">
              <a16:creationId xmlns:a16="http://schemas.microsoft.com/office/drawing/2014/main" id="{01FBAE8F-6423-4AB4-B8B6-88C3E234A2D1}"/>
            </a:ext>
          </a:extLst>
        </xdr:cNvPr>
        <xdr:cNvSpPr/>
      </xdr:nvSpPr>
      <xdr:spPr>
        <a:xfrm>
          <a:off x="10610850" y="142875"/>
          <a:ext cx="2005407" cy="35200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13</xdr:col>
      <xdr:colOff>295275</xdr:colOff>
      <xdr:row>1</xdr:row>
      <xdr:rowOff>0</xdr:rowOff>
    </xdr:from>
    <xdr:to>
      <xdr:col>15</xdr:col>
      <xdr:colOff>772872</xdr:colOff>
      <xdr:row>2</xdr:row>
      <xdr:rowOff>163406</xdr:rowOff>
    </xdr:to>
    <xdr:sp macro="[1]!Navigation" textlink="">
      <xdr:nvSpPr>
        <xdr:cNvPr id="2" name="Rectangle à coins arrondis 2">
          <a:extLst>
            <a:ext uri="{FF2B5EF4-FFF2-40B4-BE49-F238E27FC236}">
              <a16:creationId xmlns:a16="http://schemas.microsoft.com/office/drawing/2014/main" id="{91AD7E2C-60F4-427F-95EA-476776E27E8B}"/>
            </a:ext>
          </a:extLst>
        </xdr:cNvPr>
        <xdr:cNvSpPr/>
      </xdr:nvSpPr>
      <xdr:spPr>
        <a:xfrm>
          <a:off x="10496550" y="133350"/>
          <a:ext cx="1992072"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17</xdr:col>
      <xdr:colOff>236220</xdr:colOff>
      <xdr:row>1</xdr:row>
      <xdr:rowOff>26670</xdr:rowOff>
    </xdr:from>
    <xdr:to>
      <xdr:col>19</xdr:col>
      <xdr:colOff>713817</xdr:colOff>
      <xdr:row>2</xdr:row>
      <xdr:rowOff>178646</xdr:rowOff>
    </xdr:to>
    <xdr:sp macro="[1]!Navigation" textlink="">
      <xdr:nvSpPr>
        <xdr:cNvPr id="2" name="Rectangle à coins arrondis 2">
          <a:extLst>
            <a:ext uri="{FF2B5EF4-FFF2-40B4-BE49-F238E27FC236}">
              <a16:creationId xmlns:a16="http://schemas.microsoft.com/office/drawing/2014/main" id="{963A2BB9-1148-4DF9-919D-D8246238DF3C}"/>
            </a:ext>
          </a:extLst>
        </xdr:cNvPr>
        <xdr:cNvSpPr/>
      </xdr:nvSpPr>
      <xdr:spPr>
        <a:xfrm>
          <a:off x="11199495" y="160020"/>
          <a:ext cx="200159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14</xdr:col>
      <xdr:colOff>609600</xdr:colOff>
      <xdr:row>1</xdr:row>
      <xdr:rowOff>47625</xdr:rowOff>
    </xdr:from>
    <xdr:to>
      <xdr:col>17</xdr:col>
      <xdr:colOff>306147</xdr:colOff>
      <xdr:row>3</xdr:row>
      <xdr:rowOff>20531</xdr:rowOff>
    </xdr:to>
    <xdr:sp macro="[1]!Navigation" textlink="">
      <xdr:nvSpPr>
        <xdr:cNvPr id="2" name="Rectangle à coins arrondis 2">
          <a:extLst>
            <a:ext uri="{FF2B5EF4-FFF2-40B4-BE49-F238E27FC236}">
              <a16:creationId xmlns:a16="http://schemas.microsoft.com/office/drawing/2014/main" id="{70454DBD-7E86-4788-9ED6-A58F888ADF2A}"/>
            </a:ext>
          </a:extLst>
        </xdr:cNvPr>
        <xdr:cNvSpPr/>
      </xdr:nvSpPr>
      <xdr:spPr>
        <a:xfrm>
          <a:off x="11953875" y="114300"/>
          <a:ext cx="198254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14</xdr:col>
      <xdr:colOff>609600</xdr:colOff>
      <xdr:row>1</xdr:row>
      <xdr:rowOff>47625</xdr:rowOff>
    </xdr:from>
    <xdr:to>
      <xdr:col>17</xdr:col>
      <xdr:colOff>306147</xdr:colOff>
      <xdr:row>3</xdr:row>
      <xdr:rowOff>20531</xdr:rowOff>
    </xdr:to>
    <xdr:sp macro="[1]!Navigation" textlink="">
      <xdr:nvSpPr>
        <xdr:cNvPr id="2" name="Rectangle à coins arrondis 2">
          <a:extLst>
            <a:ext uri="{FF2B5EF4-FFF2-40B4-BE49-F238E27FC236}">
              <a16:creationId xmlns:a16="http://schemas.microsoft.com/office/drawing/2014/main" id="{EC946561-2D0D-44BB-B38F-759C8CC2FD87}"/>
            </a:ext>
          </a:extLst>
        </xdr:cNvPr>
        <xdr:cNvSpPr/>
      </xdr:nvSpPr>
      <xdr:spPr>
        <a:xfrm>
          <a:off x="11953875" y="114300"/>
          <a:ext cx="198254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13</xdr:col>
      <xdr:colOff>466725</xdr:colOff>
      <xdr:row>0</xdr:row>
      <xdr:rowOff>114300</xdr:rowOff>
    </xdr:from>
    <xdr:to>
      <xdr:col>16</xdr:col>
      <xdr:colOff>159462</xdr:colOff>
      <xdr:row>2</xdr:row>
      <xdr:rowOff>146261</xdr:rowOff>
    </xdr:to>
    <xdr:sp macro="[1]!Navigation" textlink="">
      <xdr:nvSpPr>
        <xdr:cNvPr id="2" name="Rectangle à coins arrondis 2">
          <a:extLst>
            <a:ext uri="{FF2B5EF4-FFF2-40B4-BE49-F238E27FC236}">
              <a16:creationId xmlns:a16="http://schemas.microsoft.com/office/drawing/2014/main" id="{CA2CA7D1-4372-4C4C-9D10-93DBFF02F944}"/>
            </a:ext>
          </a:extLst>
        </xdr:cNvPr>
        <xdr:cNvSpPr/>
      </xdr:nvSpPr>
      <xdr:spPr>
        <a:xfrm>
          <a:off x="9810750" y="114300"/>
          <a:ext cx="1978737" cy="35581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14</xdr:col>
      <xdr:colOff>114300</xdr:colOff>
      <xdr:row>1</xdr:row>
      <xdr:rowOff>19050</xdr:rowOff>
    </xdr:from>
    <xdr:to>
      <xdr:col>16</xdr:col>
      <xdr:colOff>591897</xdr:colOff>
      <xdr:row>2</xdr:row>
      <xdr:rowOff>182456</xdr:rowOff>
    </xdr:to>
    <xdr:sp macro="[1]!Navigation" textlink="">
      <xdr:nvSpPr>
        <xdr:cNvPr id="2" name="Rectangle à coins arrondis 2">
          <a:extLst>
            <a:ext uri="{FF2B5EF4-FFF2-40B4-BE49-F238E27FC236}">
              <a16:creationId xmlns:a16="http://schemas.microsoft.com/office/drawing/2014/main" id="{3249D749-EF95-46AB-B369-FA68CF485130}"/>
            </a:ext>
          </a:extLst>
        </xdr:cNvPr>
        <xdr:cNvSpPr/>
      </xdr:nvSpPr>
      <xdr:spPr>
        <a:xfrm>
          <a:off x="11020425" y="152400"/>
          <a:ext cx="200159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13</xdr:col>
      <xdr:colOff>255270</xdr:colOff>
      <xdr:row>0</xdr:row>
      <xdr:rowOff>116205</xdr:rowOff>
    </xdr:from>
    <xdr:to>
      <xdr:col>15</xdr:col>
      <xdr:colOff>732867</xdr:colOff>
      <xdr:row>2</xdr:row>
      <xdr:rowOff>94826</xdr:rowOff>
    </xdr:to>
    <xdr:sp macro="[1]!Navigation" textlink="">
      <xdr:nvSpPr>
        <xdr:cNvPr id="2" name="Rectangle à coins arrondis 2">
          <a:extLst>
            <a:ext uri="{FF2B5EF4-FFF2-40B4-BE49-F238E27FC236}">
              <a16:creationId xmlns:a16="http://schemas.microsoft.com/office/drawing/2014/main" id="{144E4B8F-B3A3-4EFC-9E0A-6B19298952AF}"/>
            </a:ext>
          </a:extLst>
        </xdr:cNvPr>
        <xdr:cNvSpPr/>
      </xdr:nvSpPr>
      <xdr:spPr>
        <a:xfrm>
          <a:off x="10599420" y="116205"/>
          <a:ext cx="2001597" cy="35962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13</xdr:col>
      <xdr:colOff>647700</xdr:colOff>
      <xdr:row>1</xdr:row>
      <xdr:rowOff>38100</xdr:rowOff>
    </xdr:from>
    <xdr:to>
      <xdr:col>16</xdr:col>
      <xdr:colOff>344247</xdr:colOff>
      <xdr:row>3</xdr:row>
      <xdr:rowOff>20531</xdr:rowOff>
    </xdr:to>
    <xdr:sp macro="[1]!Navigation" textlink="">
      <xdr:nvSpPr>
        <xdr:cNvPr id="2" name="Rectangle à coins arrondis 2">
          <a:extLst>
            <a:ext uri="{FF2B5EF4-FFF2-40B4-BE49-F238E27FC236}">
              <a16:creationId xmlns:a16="http://schemas.microsoft.com/office/drawing/2014/main" id="{B7E550B0-F468-44F8-B910-CE1B07592FE5}"/>
            </a:ext>
          </a:extLst>
        </xdr:cNvPr>
        <xdr:cNvSpPr/>
      </xdr:nvSpPr>
      <xdr:spPr>
        <a:xfrm>
          <a:off x="10725150" y="123825"/>
          <a:ext cx="1982547" cy="36343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twoCellAnchor>
    <xdr:from>
      <xdr:col>13</xdr:col>
      <xdr:colOff>647700</xdr:colOff>
      <xdr:row>1</xdr:row>
      <xdr:rowOff>38100</xdr:rowOff>
    </xdr:from>
    <xdr:to>
      <xdr:col>16</xdr:col>
      <xdr:colOff>344247</xdr:colOff>
      <xdr:row>3</xdr:row>
      <xdr:rowOff>20531</xdr:rowOff>
    </xdr:to>
    <xdr:sp macro="[1]!Navigation" textlink="">
      <xdr:nvSpPr>
        <xdr:cNvPr id="3" name="Rectangle à coins arrondis 2">
          <a:extLst>
            <a:ext uri="{FF2B5EF4-FFF2-40B4-BE49-F238E27FC236}">
              <a16:creationId xmlns:a16="http://schemas.microsoft.com/office/drawing/2014/main" id="{6E8E2CE2-6153-4B04-9DD1-9F2D8655168B}"/>
            </a:ext>
          </a:extLst>
        </xdr:cNvPr>
        <xdr:cNvSpPr/>
      </xdr:nvSpPr>
      <xdr:spPr>
        <a:xfrm>
          <a:off x="10725150" y="123825"/>
          <a:ext cx="1982547" cy="36343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14</xdr:col>
      <xdr:colOff>276225</xdr:colOff>
      <xdr:row>1</xdr:row>
      <xdr:rowOff>47625</xdr:rowOff>
    </xdr:from>
    <xdr:to>
      <xdr:col>16</xdr:col>
      <xdr:colOff>753822</xdr:colOff>
      <xdr:row>3</xdr:row>
      <xdr:rowOff>30056</xdr:rowOff>
    </xdr:to>
    <xdr:sp macro="[1]!Navigation" textlink="">
      <xdr:nvSpPr>
        <xdr:cNvPr id="2" name="Rectangle à coins arrondis 2">
          <a:extLst>
            <a:ext uri="{FF2B5EF4-FFF2-40B4-BE49-F238E27FC236}">
              <a16:creationId xmlns:a16="http://schemas.microsoft.com/office/drawing/2014/main" id="{6682CFB8-989C-4244-820C-8603D3D1A03C}"/>
            </a:ext>
          </a:extLst>
        </xdr:cNvPr>
        <xdr:cNvSpPr/>
      </xdr:nvSpPr>
      <xdr:spPr>
        <a:xfrm>
          <a:off x="11449050" y="142875"/>
          <a:ext cx="2001597" cy="36343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15</xdr:col>
      <xdr:colOff>419100</xdr:colOff>
      <xdr:row>1</xdr:row>
      <xdr:rowOff>19050</xdr:rowOff>
    </xdr:from>
    <xdr:to>
      <xdr:col>18</xdr:col>
      <xdr:colOff>115647</xdr:colOff>
      <xdr:row>2</xdr:row>
      <xdr:rowOff>171026</xdr:rowOff>
    </xdr:to>
    <xdr:sp macro="[1]!Navigation" textlink="">
      <xdr:nvSpPr>
        <xdr:cNvPr id="2" name="Rectangle à coins arrondis 2">
          <a:extLst>
            <a:ext uri="{FF2B5EF4-FFF2-40B4-BE49-F238E27FC236}">
              <a16:creationId xmlns:a16="http://schemas.microsoft.com/office/drawing/2014/main" id="{6AAA5D77-4108-4108-8378-E3D8BEB97D60}"/>
            </a:ext>
          </a:extLst>
        </xdr:cNvPr>
        <xdr:cNvSpPr/>
      </xdr:nvSpPr>
      <xdr:spPr>
        <a:xfrm>
          <a:off x="12534900" y="152400"/>
          <a:ext cx="198254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3.xml><?xml version="1.0" encoding="utf-8"?>
<xdr:wsDr xmlns:xdr="http://schemas.openxmlformats.org/drawingml/2006/spreadsheetDrawing" xmlns:a="http://schemas.openxmlformats.org/drawingml/2006/main">
  <xdr:twoCellAnchor>
    <xdr:from>
      <xdr:col>15</xdr:col>
      <xdr:colOff>95250</xdr:colOff>
      <xdr:row>1</xdr:row>
      <xdr:rowOff>57150</xdr:rowOff>
    </xdr:from>
    <xdr:to>
      <xdr:col>17</xdr:col>
      <xdr:colOff>572847</xdr:colOff>
      <xdr:row>3</xdr:row>
      <xdr:rowOff>18626</xdr:rowOff>
    </xdr:to>
    <xdr:sp macro="[1]!Navigation" textlink="">
      <xdr:nvSpPr>
        <xdr:cNvPr id="2" name="Rectangle à coins arrondis 2">
          <a:extLst>
            <a:ext uri="{FF2B5EF4-FFF2-40B4-BE49-F238E27FC236}">
              <a16:creationId xmlns:a16="http://schemas.microsoft.com/office/drawing/2014/main" id="{807A9840-B517-4598-B2A0-A068FF5D3A7D}"/>
            </a:ext>
          </a:extLst>
        </xdr:cNvPr>
        <xdr:cNvSpPr/>
      </xdr:nvSpPr>
      <xdr:spPr>
        <a:xfrm>
          <a:off x="11972925" y="142875"/>
          <a:ext cx="200159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14</xdr:col>
      <xdr:colOff>371475</xdr:colOff>
      <xdr:row>1</xdr:row>
      <xdr:rowOff>57150</xdr:rowOff>
    </xdr:from>
    <xdr:to>
      <xdr:col>17</xdr:col>
      <xdr:colOff>68022</xdr:colOff>
      <xdr:row>3</xdr:row>
      <xdr:rowOff>18626</xdr:rowOff>
    </xdr:to>
    <xdr:sp macro="[1]!Navigation" textlink="">
      <xdr:nvSpPr>
        <xdr:cNvPr id="2" name="Rectangle à coins arrondis 2">
          <a:extLst>
            <a:ext uri="{FF2B5EF4-FFF2-40B4-BE49-F238E27FC236}">
              <a16:creationId xmlns:a16="http://schemas.microsoft.com/office/drawing/2014/main" id="{FC777C52-05F6-4AFE-B482-B6CAC38DCEAA}"/>
            </a:ext>
          </a:extLst>
        </xdr:cNvPr>
        <xdr:cNvSpPr/>
      </xdr:nvSpPr>
      <xdr:spPr>
        <a:xfrm>
          <a:off x="11153775" y="142875"/>
          <a:ext cx="198254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13</xdr:col>
      <xdr:colOff>38100</xdr:colOff>
      <xdr:row>1</xdr:row>
      <xdr:rowOff>9525</xdr:rowOff>
    </xdr:from>
    <xdr:to>
      <xdr:col>15</xdr:col>
      <xdr:colOff>515697</xdr:colOff>
      <xdr:row>2</xdr:row>
      <xdr:rowOff>161501</xdr:rowOff>
    </xdr:to>
    <xdr:sp macro="[1]!Navigation" textlink="">
      <xdr:nvSpPr>
        <xdr:cNvPr id="2" name="Rectangle à coins arrondis 2">
          <a:extLst>
            <a:ext uri="{FF2B5EF4-FFF2-40B4-BE49-F238E27FC236}">
              <a16:creationId xmlns:a16="http://schemas.microsoft.com/office/drawing/2014/main" id="{FF780FC8-FC4E-4BB2-99FD-99213998B013}"/>
            </a:ext>
          </a:extLst>
        </xdr:cNvPr>
        <xdr:cNvSpPr/>
      </xdr:nvSpPr>
      <xdr:spPr>
        <a:xfrm>
          <a:off x="11372850" y="142875"/>
          <a:ext cx="200159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14</xdr:col>
      <xdr:colOff>381000</xdr:colOff>
      <xdr:row>1</xdr:row>
      <xdr:rowOff>28575</xdr:rowOff>
    </xdr:from>
    <xdr:to>
      <xdr:col>17</xdr:col>
      <xdr:colOff>77547</xdr:colOff>
      <xdr:row>2</xdr:row>
      <xdr:rowOff>180551</xdr:rowOff>
    </xdr:to>
    <xdr:sp macro="[1]!Navigation" textlink="">
      <xdr:nvSpPr>
        <xdr:cNvPr id="2" name="Rectangle à coins arrondis 2">
          <a:extLst>
            <a:ext uri="{FF2B5EF4-FFF2-40B4-BE49-F238E27FC236}">
              <a16:creationId xmlns:a16="http://schemas.microsoft.com/office/drawing/2014/main" id="{5E8C8936-81F1-47B4-8A32-8534FA04C938}"/>
            </a:ext>
          </a:extLst>
        </xdr:cNvPr>
        <xdr:cNvSpPr/>
      </xdr:nvSpPr>
      <xdr:spPr>
        <a:xfrm>
          <a:off x="12315825" y="161925"/>
          <a:ext cx="198254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13</xdr:col>
      <xdr:colOff>436245</xdr:colOff>
      <xdr:row>1</xdr:row>
      <xdr:rowOff>26670</xdr:rowOff>
    </xdr:from>
    <xdr:to>
      <xdr:col>16</xdr:col>
      <xdr:colOff>136602</xdr:colOff>
      <xdr:row>2</xdr:row>
      <xdr:rowOff>178646</xdr:rowOff>
    </xdr:to>
    <xdr:sp macro="[1]!Navigation" textlink="">
      <xdr:nvSpPr>
        <xdr:cNvPr id="2" name="Rectangle à coins arrondis 2">
          <a:extLst>
            <a:ext uri="{FF2B5EF4-FFF2-40B4-BE49-F238E27FC236}">
              <a16:creationId xmlns:a16="http://schemas.microsoft.com/office/drawing/2014/main" id="{31851802-41DF-4736-8D2F-AA51BA71F814}"/>
            </a:ext>
          </a:extLst>
        </xdr:cNvPr>
        <xdr:cNvSpPr/>
      </xdr:nvSpPr>
      <xdr:spPr>
        <a:xfrm>
          <a:off x="11609070" y="160020"/>
          <a:ext cx="198635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8.xml><?xml version="1.0" encoding="utf-8"?>
<xdr:wsDr xmlns:xdr="http://schemas.openxmlformats.org/drawingml/2006/spreadsheetDrawing" xmlns:a="http://schemas.openxmlformats.org/drawingml/2006/main">
  <xdr:twoCellAnchor>
    <xdr:from>
      <xdr:col>13</xdr:col>
      <xdr:colOff>245745</xdr:colOff>
      <xdr:row>1</xdr:row>
      <xdr:rowOff>5715</xdr:rowOff>
    </xdr:from>
    <xdr:to>
      <xdr:col>15</xdr:col>
      <xdr:colOff>723342</xdr:colOff>
      <xdr:row>2</xdr:row>
      <xdr:rowOff>165311</xdr:rowOff>
    </xdr:to>
    <xdr:sp macro="[1]!Navigation" textlink="">
      <xdr:nvSpPr>
        <xdr:cNvPr id="2" name="Rectangle à coins arrondis 2">
          <a:extLst>
            <a:ext uri="{FF2B5EF4-FFF2-40B4-BE49-F238E27FC236}">
              <a16:creationId xmlns:a16="http://schemas.microsoft.com/office/drawing/2014/main" id="{EE0F52A9-E027-4504-8E3F-67C1EFBB45FF}"/>
            </a:ext>
          </a:extLst>
        </xdr:cNvPr>
        <xdr:cNvSpPr/>
      </xdr:nvSpPr>
      <xdr:spPr>
        <a:xfrm>
          <a:off x="10904220" y="139065"/>
          <a:ext cx="2001597" cy="35009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esktop\EtaFi_SYCEBNL_v4_24052026\EtaFi_SYCEBNL_ProDev_v4-24052026.xlsm" TargetMode="External"/><Relationship Id="rId1" Type="http://schemas.openxmlformats.org/officeDocument/2006/relationships/externalLinkPath" Target="EtaFi_SYCEBNL_v4_24052026/EtaFi_SYCEBNL_ProDev_v4-2405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ferentiels"/>
      <sheetName val="Avertissement"/>
      <sheetName val="MDP"/>
      <sheetName val="IDENTIFICATION"/>
      <sheetName val="Navigation"/>
      <sheetName val="ImpresSion"/>
      <sheetName val="ANNEE_N"/>
      <sheetName val="SAGE_N"/>
      <sheetName val="ANNEE_N_1"/>
      <sheetName val="SAGE_N_1"/>
      <sheetName val="Pageap"/>
      <sheetName val="PageDeGarde1"/>
      <sheetName val="Fiche_Conditions"/>
      <sheetName val="Table_Codes"/>
      <sheetName val="Fiche_R1"/>
      <sheetName val="Fiche_R2"/>
      <sheetName val="Fiche_3"/>
      <sheetName val="PageDeGardeBilan"/>
      <sheetName val="BILAN"/>
      <sheetName val="PageDeGardeCpteExploitation"/>
      <sheetName val="COMPTE_EXPLOITATION"/>
      <sheetName val="TER"/>
      <sheetName val="TEB"/>
      <sheetName val="TRT"/>
      <sheetName val="PageDeGardeNote"/>
      <sheetName val="NOTES"/>
      <sheetName val="NOTE_1"/>
      <sheetName val="NOTE_2"/>
      <sheetName val="NOTE_3A"/>
      <sheetName val="NOTE_3B"/>
      <sheetName val="NOTE_4"/>
      <sheetName val="NOTE_5"/>
      <sheetName val="NOTE_6"/>
      <sheetName val="NOTE_7"/>
      <sheetName val="NOTE_8"/>
      <sheetName val="NOTE_9"/>
      <sheetName val="NOTE_10"/>
      <sheetName val="NOTE_11"/>
      <sheetName val="NOTE_12"/>
      <sheetName val="NOTE_13"/>
      <sheetName val="NOTE_14"/>
      <sheetName val="NOTE_15"/>
      <sheetName val="NOTE_16"/>
      <sheetName val="NOTE_17"/>
      <sheetName val="NOTE_18"/>
      <sheetName val="NOTE_19"/>
      <sheetName val="NOTE_20A"/>
      <sheetName val="NOTE_20B"/>
      <sheetName val="NOTE_21"/>
      <sheetName val="NOTE_22"/>
      <sheetName val="NOTE_23"/>
      <sheetName val="PageGardeDGI"/>
      <sheetName val="LISTE_DGI"/>
      <sheetName val="CHARGES_1"/>
      <sheetName val="CHARGES_2"/>
      <sheetName val="CHARGES_3"/>
      <sheetName val="CHARGES_4"/>
      <sheetName val="PRODUITS_1"/>
      <sheetName val="PRODUITS_2"/>
      <sheetName val="SUPPL3_TVA"/>
      <sheetName val="SUPPL4_STAT_UEMOA"/>
      <sheetName val="SUPPL5_IMMO_AMORT"/>
      <sheetName val="SUPPL6_FRAIS_ACCES_ACHATS"/>
      <sheetName val="SUPPL7_AVANTA_NATURE"/>
      <sheetName val="SUPPL8_CREANCES"/>
      <sheetName val="SUPPL9_DEB_MOB_MAT_LOG"/>
      <sheetName val="SUPPL10_DETTES"/>
      <sheetName val="SUPPL11_CRED_DIV_IMPOT"/>
      <sheetName val="SUPPL12_ETAT_ANNUEL_SALAIRES"/>
      <sheetName val="SUPPL13_COMM_VACATIONS"/>
      <sheetName val="SUPPL14_LOYERS"/>
      <sheetName val="SUPPL15_PRINC_CLIENTS"/>
      <sheetName val="SUPPL16_PRINC_FOURNISSEURS"/>
      <sheetName val="SUPPL17_PRINC_DONATEURS"/>
      <sheetName val="SUPPL18_SOM_VERSES_CA"/>
    </sheetNames>
    <definedNames>
      <definedName name="BILAN"/>
      <definedName name="CHARGES_1"/>
      <definedName name="CHARGES_2"/>
      <definedName name="CHARGES_3"/>
      <definedName name="CHARGES_4"/>
      <definedName name="COMPTE_DE_Exploitation"/>
      <definedName name="ExporterSelectionEtatsEnPDF"/>
      <definedName name="Fiche_Conditions"/>
      <definedName name="Fiche_R1"/>
      <definedName name="Fiche_R2"/>
      <definedName name="Fiche_R3"/>
      <definedName name="ImprimerSelectionEtats"/>
      <definedName name="LancerN"/>
      <definedName name="LancerN_1"/>
      <definedName name="LISTE_DGI"/>
      <definedName name="Navigation"/>
      <definedName name="NOTE_1"/>
      <definedName name="NOTE_10"/>
      <definedName name="NOTE_11"/>
      <definedName name="NOTE_12"/>
      <definedName name="NOTE_13"/>
      <definedName name="NOTE_14"/>
      <definedName name="NOTE_15"/>
      <definedName name="NOTE_16"/>
      <definedName name="NOTE_17"/>
      <definedName name="NOTE_18"/>
      <definedName name="NOTE_19"/>
      <definedName name="NOTE_2"/>
      <definedName name="NOTE_20A"/>
      <definedName name="NOTE_20B"/>
      <definedName name="NOTE_21"/>
      <definedName name="NOTE_22"/>
      <definedName name="NOTE_23"/>
      <definedName name="NOTE_3A"/>
      <definedName name="NOTE_3B"/>
      <definedName name="NOTE_4"/>
      <definedName name="NOTE_5"/>
      <definedName name="NOTE_6"/>
      <definedName name="NOTE_7"/>
      <definedName name="NOTE_8"/>
      <definedName name="NOTE_9"/>
      <definedName name="NOTES"/>
      <definedName name="PageDeGarde1"/>
      <definedName name="PageDeGardeBilan"/>
      <definedName name="PageDeGardeCpteExploitation"/>
      <definedName name="PageDeGardeNote"/>
      <definedName name="PageGardeDGI"/>
      <definedName name="PRODUITS_1"/>
      <definedName name="PRODUITS_2"/>
      <definedName name="SUPPL10_DETTES"/>
      <definedName name="SUPPL11_CRED_DIV_IMPOT"/>
      <definedName name="SUPPL12_ETAT_ANNUEL_SALAIRES"/>
      <definedName name="SUPPL13_COMM_VACATIONS"/>
      <definedName name="SUPPL14_LOYERS"/>
      <definedName name="SUPPL15_PRINC_CLIENTS"/>
      <definedName name="SUPPL16_PRINC_FOURNISSEURS"/>
      <definedName name="SUPPL17_PRINC_DONATEURS"/>
      <definedName name="SUPPL18_SOM_VERSES_CA"/>
      <definedName name="SUPPL3_TVA"/>
      <definedName name="SUPPL4_STAT_UEMOA"/>
      <definedName name="SUPPL5_IMMO_AMORT"/>
      <definedName name="SUPPL6_FRAIS_ACCES_ACHATS"/>
      <definedName name="SUPPL7_AVANTA_NATURE"/>
      <definedName name="SUPPL8_CREANCES"/>
      <definedName name="SUPPL9_DEB_MOB_MAT_LOG"/>
      <definedName name="Table_Codes"/>
      <definedName name="TEB"/>
      <definedName name="TER"/>
      <definedName name="TRT"/>
    </definedNames>
    <sheetDataSet>
      <sheetData sheetId="0">
        <row r="3">
          <cell r="C3" t="str">
            <v>00</v>
          </cell>
          <cell r="D3">
            <v>1</v>
          </cell>
          <cell r="E3" t="str">
            <v>01</v>
          </cell>
          <cell r="F3" t="str">
            <v>ZZ5 - Entité sous contrôle public</v>
          </cell>
          <cell r="G3" t="str">
            <v>001 001</v>
          </cell>
        </row>
        <row r="4">
          <cell r="C4" t="str">
            <v>01</v>
          </cell>
          <cell r="D4">
            <v>2</v>
          </cell>
          <cell r="E4" t="str">
            <v>02</v>
          </cell>
          <cell r="F4" t="str">
            <v>ZZ6 - Entité sous contrôle privé national</v>
          </cell>
          <cell r="G4" t="str">
            <v>001 002</v>
          </cell>
        </row>
        <row r="5">
          <cell r="C5" t="str">
            <v>02</v>
          </cell>
          <cell r="D5">
            <v>3</v>
          </cell>
          <cell r="E5" t="str">
            <v>03</v>
          </cell>
          <cell r="F5" t="str">
            <v>ZZ7 - Entité sous contrôle privé étranger</v>
          </cell>
          <cell r="G5" t="str">
            <v>001 003</v>
          </cell>
        </row>
        <row r="6">
          <cell r="C6" t="str">
            <v>03</v>
          </cell>
          <cell r="D6">
            <v>4</v>
          </cell>
          <cell r="E6" t="str">
            <v>04</v>
          </cell>
          <cell r="G6" t="str">
            <v>001 004</v>
          </cell>
        </row>
        <row r="7">
          <cell r="C7" t="str">
            <v>04</v>
          </cell>
          <cell r="D7">
            <v>5</v>
          </cell>
          <cell r="E7" t="str">
            <v>05</v>
          </cell>
          <cell r="G7" t="str">
            <v>001 005</v>
          </cell>
        </row>
        <row r="8">
          <cell r="C8" t="str">
            <v>05</v>
          </cell>
          <cell r="E8" t="str">
            <v>06</v>
          </cell>
          <cell r="G8" t="str">
            <v>001 006</v>
          </cell>
        </row>
        <row r="9">
          <cell r="C9" t="str">
            <v>06</v>
          </cell>
          <cell r="E9" t="str">
            <v>07</v>
          </cell>
          <cell r="G9" t="str">
            <v>002 001</v>
          </cell>
        </row>
        <row r="10">
          <cell r="C10" t="str">
            <v>07</v>
          </cell>
          <cell r="E10" t="str">
            <v>08</v>
          </cell>
          <cell r="G10" t="str">
            <v>002 002</v>
          </cell>
        </row>
        <row r="11">
          <cell r="C11" t="str">
            <v>08</v>
          </cell>
          <cell r="E11" t="str">
            <v>09</v>
          </cell>
          <cell r="G11" t="str">
            <v>002 003</v>
          </cell>
        </row>
        <row r="12">
          <cell r="C12" t="str">
            <v>09</v>
          </cell>
          <cell r="E12" t="str">
            <v>10</v>
          </cell>
          <cell r="G12" t="str">
            <v>002 004</v>
          </cell>
        </row>
        <row r="13">
          <cell r="E13" t="str">
            <v>11</v>
          </cell>
          <cell r="G13" t="str">
            <v>002 005</v>
          </cell>
        </row>
        <row r="14">
          <cell r="E14" t="str">
            <v>12</v>
          </cell>
          <cell r="G14" t="str">
            <v>002 006</v>
          </cell>
        </row>
        <row r="15">
          <cell r="E15" t="str">
            <v>13</v>
          </cell>
          <cell r="G15" t="str">
            <v>002 007</v>
          </cell>
        </row>
        <row r="16">
          <cell r="E16" t="str">
            <v>14</v>
          </cell>
          <cell r="G16" t="str">
            <v>002 008</v>
          </cell>
        </row>
        <row r="17">
          <cell r="E17" t="str">
            <v>15</v>
          </cell>
          <cell r="G17" t="str">
            <v>002 009</v>
          </cell>
        </row>
        <row r="18">
          <cell r="E18" t="str">
            <v>16</v>
          </cell>
          <cell r="G18" t="str">
            <v>002 010</v>
          </cell>
        </row>
        <row r="19">
          <cell r="E19">
            <v>20</v>
          </cell>
          <cell r="G19" t="str">
            <v>002 011</v>
          </cell>
        </row>
        <row r="20">
          <cell r="E20">
            <v>21</v>
          </cell>
          <cell r="G20" t="str">
            <v>003 001</v>
          </cell>
        </row>
        <row r="21">
          <cell r="E21">
            <v>22</v>
          </cell>
          <cell r="G21" t="str">
            <v>003 002</v>
          </cell>
        </row>
        <row r="22">
          <cell r="E22">
            <v>23</v>
          </cell>
          <cell r="G22" t="str">
            <v>003 003</v>
          </cell>
        </row>
        <row r="23">
          <cell r="E23">
            <v>39</v>
          </cell>
          <cell r="G23" t="str">
            <v>003 004</v>
          </cell>
        </row>
        <row r="24">
          <cell r="E24">
            <v>40</v>
          </cell>
          <cell r="G24" t="str">
            <v>003 005</v>
          </cell>
        </row>
        <row r="25">
          <cell r="E25">
            <v>41</v>
          </cell>
          <cell r="G25" t="str">
            <v>004 001</v>
          </cell>
        </row>
        <row r="26">
          <cell r="E26">
            <v>43</v>
          </cell>
          <cell r="G26" t="str">
            <v>004 002</v>
          </cell>
        </row>
        <row r="27">
          <cell r="E27">
            <v>49</v>
          </cell>
          <cell r="G27" t="str">
            <v>005 001</v>
          </cell>
        </row>
        <row r="28">
          <cell r="E28">
            <v>50</v>
          </cell>
          <cell r="G28" t="str">
            <v>005 002</v>
          </cell>
        </row>
        <row r="29">
          <cell r="E29">
            <v>52</v>
          </cell>
          <cell r="G29" t="str">
            <v>006 001</v>
          </cell>
        </row>
        <row r="30">
          <cell r="E30">
            <v>53</v>
          </cell>
          <cell r="G30" t="str">
            <v>006 002</v>
          </cell>
        </row>
        <row r="31">
          <cell r="E31">
            <v>59</v>
          </cell>
          <cell r="G31" t="str">
            <v>007 001</v>
          </cell>
        </row>
        <row r="32">
          <cell r="E32">
            <v>60</v>
          </cell>
          <cell r="G32" t="str">
            <v>007 002</v>
          </cell>
        </row>
        <row r="33">
          <cell r="E33">
            <v>99</v>
          </cell>
          <cell r="G33" t="str">
            <v>008 000</v>
          </cell>
        </row>
        <row r="34">
          <cell r="G34" t="str">
            <v>009 001</v>
          </cell>
        </row>
        <row r="35">
          <cell r="G35" t="str">
            <v>009 002</v>
          </cell>
        </row>
        <row r="36">
          <cell r="G36" t="str">
            <v>010 001</v>
          </cell>
        </row>
        <row r="37">
          <cell r="G37" t="str">
            <v>010 002</v>
          </cell>
        </row>
        <row r="38">
          <cell r="G38" t="str">
            <v>011 001</v>
          </cell>
        </row>
        <row r="39">
          <cell r="G39" t="str">
            <v>011 002</v>
          </cell>
        </row>
        <row r="40">
          <cell r="G40" t="str">
            <v>012 000</v>
          </cell>
        </row>
        <row r="41">
          <cell r="G41" t="str">
            <v>022 001</v>
          </cell>
        </row>
        <row r="42">
          <cell r="G42" t="str">
            <v>022 002</v>
          </cell>
        </row>
        <row r="43">
          <cell r="G43" t="str">
            <v>022 003</v>
          </cell>
        </row>
        <row r="44">
          <cell r="G44" t="str">
            <v>023 001</v>
          </cell>
        </row>
        <row r="45">
          <cell r="G45" t="str">
            <v>023 002</v>
          </cell>
        </row>
        <row r="46">
          <cell r="G46" t="str">
            <v>023 003</v>
          </cell>
        </row>
        <row r="47">
          <cell r="G47" t="str">
            <v>024 001</v>
          </cell>
        </row>
        <row r="48">
          <cell r="G48" t="str">
            <v>024 002</v>
          </cell>
        </row>
        <row r="49">
          <cell r="G49" t="str">
            <v>025 001</v>
          </cell>
        </row>
        <row r="50">
          <cell r="G50" t="str">
            <v>025 002</v>
          </cell>
        </row>
        <row r="51">
          <cell r="G51" t="str">
            <v>025 003</v>
          </cell>
        </row>
        <row r="52">
          <cell r="G52" t="str">
            <v>026 001</v>
          </cell>
        </row>
        <row r="53">
          <cell r="G53" t="str">
            <v>026 002</v>
          </cell>
        </row>
        <row r="54">
          <cell r="G54" t="str">
            <v>027 001</v>
          </cell>
        </row>
        <row r="55">
          <cell r="G55" t="str">
            <v>027 002</v>
          </cell>
        </row>
        <row r="56">
          <cell r="G56" t="str">
            <v>028 001</v>
          </cell>
        </row>
        <row r="57">
          <cell r="G57" t="str">
            <v>028 002</v>
          </cell>
        </row>
        <row r="58">
          <cell r="G58" t="str">
            <v>029 001</v>
          </cell>
        </row>
        <row r="59">
          <cell r="G59" t="str">
            <v>029 002</v>
          </cell>
        </row>
        <row r="60">
          <cell r="G60" t="str">
            <v>029 003</v>
          </cell>
        </row>
        <row r="61">
          <cell r="G61" t="str">
            <v>030 001</v>
          </cell>
        </row>
        <row r="62">
          <cell r="G62" t="str">
            <v>030 002</v>
          </cell>
        </row>
        <row r="63">
          <cell r="G63" t="str">
            <v>031 001</v>
          </cell>
        </row>
        <row r="64">
          <cell r="G64" t="str">
            <v>031 002</v>
          </cell>
        </row>
        <row r="65">
          <cell r="G65" t="str">
            <v>031 003</v>
          </cell>
        </row>
        <row r="66">
          <cell r="G66" t="str">
            <v>032 001</v>
          </cell>
        </row>
        <row r="67">
          <cell r="G67" t="str">
            <v>032 002</v>
          </cell>
        </row>
        <row r="68">
          <cell r="G68" t="str">
            <v>033 001</v>
          </cell>
        </row>
        <row r="69">
          <cell r="G69" t="str">
            <v>033 002</v>
          </cell>
        </row>
        <row r="70">
          <cell r="G70" t="str">
            <v>034 001</v>
          </cell>
        </row>
        <row r="71">
          <cell r="G71" t="str">
            <v>034 002</v>
          </cell>
        </row>
        <row r="72">
          <cell r="G72" t="str">
            <v>034 003</v>
          </cell>
        </row>
        <row r="73">
          <cell r="G73" t="str">
            <v>034 004</v>
          </cell>
        </row>
        <row r="74">
          <cell r="G74" t="str">
            <v>034 005</v>
          </cell>
        </row>
        <row r="75">
          <cell r="G75" t="str">
            <v>035 001</v>
          </cell>
        </row>
        <row r="76">
          <cell r="G76" t="str">
            <v>035 002</v>
          </cell>
        </row>
        <row r="77">
          <cell r="G77" t="str">
            <v>036 001</v>
          </cell>
        </row>
        <row r="78">
          <cell r="G78" t="str">
            <v>036 002</v>
          </cell>
        </row>
        <row r="79">
          <cell r="G79" t="str">
            <v>036 003</v>
          </cell>
        </row>
        <row r="80">
          <cell r="G80" t="str">
            <v>037 001</v>
          </cell>
        </row>
        <row r="81">
          <cell r="G81" t="str">
            <v>037 002</v>
          </cell>
        </row>
        <row r="82">
          <cell r="G82" t="str">
            <v>038 001</v>
          </cell>
        </row>
        <row r="83">
          <cell r="G83" t="str">
            <v>038 002</v>
          </cell>
        </row>
        <row r="84">
          <cell r="G84" t="str">
            <v>038 003</v>
          </cell>
        </row>
        <row r="85">
          <cell r="G85" t="str">
            <v>039 001</v>
          </cell>
        </row>
        <row r="86">
          <cell r="G86" t="str">
            <v>039 002</v>
          </cell>
        </row>
        <row r="87">
          <cell r="G87" t="str">
            <v>039 003</v>
          </cell>
        </row>
        <row r="88">
          <cell r="G88" t="str">
            <v>040 000</v>
          </cell>
        </row>
        <row r="89">
          <cell r="G89" t="str">
            <v>041 001</v>
          </cell>
        </row>
        <row r="90">
          <cell r="G90" t="str">
            <v>041 002</v>
          </cell>
        </row>
        <row r="91">
          <cell r="G91" t="str">
            <v>041 003</v>
          </cell>
        </row>
        <row r="92">
          <cell r="G92" t="str">
            <v>042 001</v>
          </cell>
        </row>
        <row r="93">
          <cell r="G93" t="str">
            <v>042 002</v>
          </cell>
        </row>
        <row r="94">
          <cell r="G94" t="str">
            <v>042 003</v>
          </cell>
        </row>
        <row r="95">
          <cell r="G95" t="str">
            <v>042 004</v>
          </cell>
        </row>
        <row r="96">
          <cell r="G96" t="str">
            <v>042 005</v>
          </cell>
        </row>
        <row r="97">
          <cell r="G97" t="str">
            <v>043 000</v>
          </cell>
        </row>
        <row r="98">
          <cell r="G98" t="str">
            <v>044 000</v>
          </cell>
        </row>
      </sheetData>
      <sheetData sheetId="1"/>
      <sheetData sheetId="2"/>
      <sheetData sheetId="3">
        <row r="2">
          <cell r="B2">
            <v>4444444444</v>
          </cell>
        </row>
        <row r="3">
          <cell r="B3">
            <v>56565665</v>
          </cell>
        </row>
        <row r="4">
          <cell r="B4" t="str">
            <v>LS SOFT</v>
          </cell>
          <cell r="G4" t="str">
            <v>453456546656456</v>
          </cell>
        </row>
        <row r="5">
          <cell r="B5" t="str">
            <v>OUAGA</v>
          </cell>
        </row>
        <row r="7">
          <cell r="B7">
            <v>125545</v>
          </cell>
          <cell r="H7">
            <v>2025</v>
          </cell>
        </row>
        <row r="10">
          <cell r="B10">
            <v>46022</v>
          </cell>
        </row>
        <row r="11">
          <cell r="F11">
            <v>46022</v>
          </cell>
          <cell r="H11">
            <v>12</v>
          </cell>
        </row>
        <row r="17">
          <cell r="B17" t="str">
            <v>Relèvement économique et promotion du genre dans la Région du Sahel</v>
          </cell>
        </row>
        <row r="18">
          <cell r="B18" t="str">
            <v>et du Nord</v>
          </cell>
        </row>
        <row r="19">
          <cell r="B19" t="str">
            <v>REC-PRO-GEN-SANO</v>
          </cell>
        </row>
        <row r="20">
          <cell r="B20" t="str">
            <v>BFA-000588</v>
          </cell>
        </row>
        <row r="21">
          <cell r="B21">
            <v>44713</v>
          </cell>
          <cell r="G21">
            <v>45991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12B592-2F7D-4A9E-ADA4-DFC32AE639F3}" name="TabAnneeN" displayName="TabAnneeN" ref="A3:H342" totalsRowShown="0" headerRowDxfId="9" headerRowBorderDxfId="8" tableBorderDxfId="7">
  <autoFilter ref="A3:H342" xr:uid="{2D12B592-2F7D-4A9E-ADA4-DFC32AE639F3}"/>
  <tableColumns count="8">
    <tableColumn id="1" xr3:uid="{CC5ACDFA-EB68-4853-B732-F7B495A9C3B5}" name="Compte"/>
    <tableColumn id="2" xr3:uid="{CFB5E9C6-A1D7-4C14-8D86-1D8B88B54FBE}" name="Intitule"/>
    <tableColumn id="3" xr3:uid="{C5136366-9937-4FF4-9276-DC27D5B77FAE}" name="Solde_Ouv_Debit"/>
    <tableColumn id="4" xr3:uid="{801DCE84-A7BE-453F-A9D0-1DE0147DA095}" name="Solde_Ouv_Credit"/>
    <tableColumn id="5" xr3:uid="{C6DA7776-44A5-4DFB-A063-600CB337D677}" name="Mouv_Debit"/>
    <tableColumn id="6" xr3:uid="{A336E2DD-BCB2-4CCE-8C91-C80234E3D026}" name="Mouv_Credit" dataDxfId="3"/>
    <tableColumn id="7" xr3:uid="{B2A22726-78C3-49C5-9BED-ED32965092ED}" name="Solde_Fer_Debit"/>
    <tableColumn id="8" xr3:uid="{2C50E378-68F0-4EB2-9795-9381F75A7E35}" name="Solde_Fer_Credit" dataDxfId="2"/>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1BA10D-B578-4776-9A9F-CF5DC99359C5}" name="TabAnneeN_1" displayName="TabAnneeN_1" ref="A3:H135" totalsRowShown="0" headerRowDxfId="6" headerRowBorderDxfId="5" tableBorderDxfId="4">
  <autoFilter ref="A3:H135" xr:uid="{B21BA10D-B578-4776-9A9F-CF5DC99359C5}"/>
  <tableColumns count="8">
    <tableColumn id="1" xr3:uid="{EA00F685-4B07-46F8-9827-96005A009744}" name="Compte" dataDxfId="1"/>
    <tableColumn id="2" xr3:uid="{F54DF70C-2B72-464B-829F-05BBB78E1C28}" name="Intitule" dataDxfId="0"/>
    <tableColumn id="3" xr3:uid="{53D583EC-A97A-4946-8F82-95AEDABC57D5}" name="Solde_Ouv_Debit"/>
    <tableColumn id="4" xr3:uid="{1696912A-0909-4190-99AB-829E3C31C4D6}" name="Solde_Ouv_Credit"/>
    <tableColumn id="5" xr3:uid="{F5D55C10-960A-44C8-82F5-C808C160292B}" name="Mouv_Debit"/>
    <tableColumn id="6" xr3:uid="{678A4014-6DA0-4104-A1B9-45E436B74165}" name="Mouv_Credit"/>
    <tableColumn id="7" xr3:uid="{F5DF7B1E-1931-46FB-84C9-9DB56EB63432}" name="Solde_Fer_Debit"/>
    <tableColumn id="8" xr3:uid="{5E7A5B05-EA53-47D1-918D-8E47AFCEE7CB}" name="Solde_Fer_Credit"/>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workbookViewId="0">
      <selection sqref="A1:XFD1048576"/>
    </sheetView>
  </sheetViews>
  <sheetFormatPr baseColWidth="10" defaultColWidth="0" defaultRowHeight="15" zeroHeight="1" x14ac:dyDescent="0.25"/>
  <cols>
    <col min="1" max="1" width="32.42578125" customWidth="1"/>
    <col min="2" max="2" width="14.28515625" customWidth="1"/>
    <col min="3" max="3" width="8.7109375" customWidth="1"/>
    <col min="4" max="4" width="10.140625" customWidth="1"/>
    <col min="5" max="6" width="15.42578125" customWidth="1"/>
    <col min="7" max="7" width="16" customWidth="1"/>
    <col min="8" max="8" width="18.7109375" customWidth="1"/>
    <col min="9" max="10" width="11.5703125" customWidth="1"/>
    <col min="11" max="16384" width="11.5703125" hidden="1"/>
  </cols>
  <sheetData>
    <row r="1" spans="1:8" ht="18.75" x14ac:dyDescent="0.25">
      <c r="A1" s="623" t="s">
        <v>0</v>
      </c>
      <c r="B1" s="624"/>
      <c r="C1" s="624"/>
      <c r="D1" s="624"/>
      <c r="E1" s="624"/>
      <c r="F1" s="624"/>
      <c r="G1" s="624"/>
      <c r="H1" s="625"/>
    </row>
    <row r="2" spans="1:8" x14ac:dyDescent="0.25">
      <c r="A2" s="1" t="s">
        <v>1</v>
      </c>
      <c r="B2" s="626" t="s">
        <v>2</v>
      </c>
      <c r="C2" s="626"/>
      <c r="D2" s="626"/>
      <c r="E2" s="626"/>
      <c r="F2" s="626"/>
      <c r="G2" s="626"/>
      <c r="H2" s="626"/>
    </row>
    <row r="3" spans="1:8" x14ac:dyDescent="0.25">
      <c r="A3" s="1" t="s">
        <v>3</v>
      </c>
      <c r="B3" s="627" t="s">
        <v>4</v>
      </c>
      <c r="C3" s="627"/>
      <c r="D3" s="627"/>
      <c r="E3" s="627"/>
      <c r="F3" s="627"/>
      <c r="G3" s="627"/>
      <c r="H3" s="627"/>
    </row>
    <row r="4" spans="1:8" x14ac:dyDescent="0.25">
      <c r="A4" s="1" t="s">
        <v>5</v>
      </c>
      <c r="B4" s="655" t="s">
        <v>6</v>
      </c>
      <c r="C4" s="655"/>
      <c r="D4" s="655"/>
      <c r="E4" s="656" t="s">
        <v>7</v>
      </c>
      <c r="F4" s="657"/>
      <c r="G4" s="658" t="s">
        <v>8</v>
      </c>
      <c r="H4" s="658"/>
    </row>
    <row r="5" spans="1:8" x14ac:dyDescent="0.25">
      <c r="A5" s="1" t="s">
        <v>9</v>
      </c>
      <c r="B5" s="631" t="s">
        <v>10</v>
      </c>
      <c r="C5" s="631"/>
      <c r="D5" s="631"/>
      <c r="E5" s="631"/>
      <c r="F5" s="631"/>
      <c r="G5" s="631"/>
      <c r="H5" s="631"/>
    </row>
    <row r="6" spans="1:8" x14ac:dyDescent="0.25">
      <c r="A6" s="4"/>
      <c r="B6" s="645" t="s">
        <v>11</v>
      </c>
      <c r="C6" s="645"/>
      <c r="D6" s="645"/>
      <c r="E6" s="645"/>
      <c r="F6" s="645"/>
      <c r="G6" s="645"/>
      <c r="H6" s="646"/>
    </row>
    <row r="7" spans="1:8" x14ac:dyDescent="0.25">
      <c r="A7" s="5" t="s">
        <v>12</v>
      </c>
      <c r="B7" s="628" t="s">
        <v>13</v>
      </c>
      <c r="C7" s="629"/>
      <c r="D7" s="630"/>
      <c r="E7" s="647" t="s">
        <v>14</v>
      </c>
      <c r="F7" s="648"/>
      <c r="G7" s="649"/>
      <c r="H7" s="2">
        <v>2023</v>
      </c>
    </row>
    <row r="8" spans="1:8" x14ac:dyDescent="0.25">
      <c r="A8" s="5" t="s">
        <v>15</v>
      </c>
      <c r="B8" s="650" t="s">
        <v>16</v>
      </c>
      <c r="C8" s="651"/>
      <c r="D8" s="651"/>
      <c r="E8" s="651"/>
      <c r="F8" s="651"/>
      <c r="G8" s="651"/>
      <c r="H8" s="652"/>
    </row>
    <row r="9" spans="1:8" x14ac:dyDescent="0.25">
      <c r="A9" s="4"/>
      <c r="B9" s="653" t="s">
        <v>17</v>
      </c>
      <c r="C9" s="653"/>
      <c r="D9" s="653"/>
      <c r="E9" s="653"/>
      <c r="F9" s="653"/>
      <c r="G9" s="653"/>
      <c r="H9" s="654"/>
    </row>
    <row r="10" spans="1:8" x14ac:dyDescent="0.25">
      <c r="A10" s="5" t="s">
        <v>18</v>
      </c>
      <c r="B10" s="632">
        <v>44926</v>
      </c>
      <c r="C10" s="632"/>
      <c r="D10" s="632"/>
      <c r="E10" s="633" t="s">
        <v>19</v>
      </c>
      <c r="F10" s="634"/>
      <c r="G10" s="628">
        <v>12</v>
      </c>
      <c r="H10" s="637"/>
    </row>
    <row r="11" spans="1:8" x14ac:dyDescent="0.25">
      <c r="A11" s="5" t="s">
        <v>20</v>
      </c>
      <c r="B11" s="638" t="s">
        <v>21</v>
      </c>
      <c r="C11" s="632"/>
      <c r="D11" s="632"/>
      <c r="E11" s="6" t="s">
        <v>22</v>
      </c>
      <c r="F11" s="7">
        <v>45291</v>
      </c>
      <c r="G11" s="8" t="s">
        <v>23</v>
      </c>
      <c r="H11" s="9">
        <v>12</v>
      </c>
    </row>
    <row r="12" spans="1:8" x14ac:dyDescent="0.25">
      <c r="A12" s="10" t="s">
        <v>24</v>
      </c>
      <c r="B12" s="639" t="s">
        <v>25</v>
      </c>
      <c r="C12" s="640"/>
      <c r="D12" s="640"/>
      <c r="E12" s="640"/>
      <c r="F12" s="641"/>
      <c r="G12" s="11" t="s">
        <v>26</v>
      </c>
      <c r="H12" s="3" t="s">
        <v>27</v>
      </c>
    </row>
    <row r="13" spans="1:8" x14ac:dyDescent="0.25">
      <c r="A13" s="12" t="s">
        <v>28</v>
      </c>
      <c r="B13" s="642" t="s">
        <v>29</v>
      </c>
      <c r="C13" s="643"/>
      <c r="D13" s="13" t="s">
        <v>30</v>
      </c>
      <c r="E13" s="644" t="s">
        <v>31</v>
      </c>
      <c r="F13" s="644"/>
      <c r="G13" s="11" t="s">
        <v>32</v>
      </c>
      <c r="H13" s="14">
        <v>25242546</v>
      </c>
    </row>
    <row r="14" spans="1:8" x14ac:dyDescent="0.25"/>
    <row r="15" spans="1:8" x14ac:dyDescent="0.25"/>
    <row r="16" spans="1:8" ht="18.75" x14ac:dyDescent="0.25">
      <c r="A16" s="623" t="s">
        <v>33</v>
      </c>
      <c r="B16" s="624"/>
      <c r="C16" s="624"/>
      <c r="D16" s="624"/>
      <c r="E16" s="624"/>
      <c r="F16" s="624"/>
      <c r="G16" s="624"/>
      <c r="H16" s="625"/>
    </row>
    <row r="17" spans="1:8" x14ac:dyDescent="0.25">
      <c r="A17" s="1" t="s">
        <v>34</v>
      </c>
      <c r="B17" s="626" t="s">
        <v>35</v>
      </c>
      <c r="C17" s="626"/>
      <c r="D17" s="626"/>
      <c r="E17" s="626"/>
      <c r="F17" s="626"/>
      <c r="G17" s="626"/>
      <c r="H17" s="626"/>
    </row>
    <row r="18" spans="1:8" x14ac:dyDescent="0.25">
      <c r="A18" s="1" t="s">
        <v>3</v>
      </c>
      <c r="B18" s="627" t="s">
        <v>36</v>
      </c>
      <c r="C18" s="627"/>
      <c r="D18" s="627"/>
      <c r="E18" s="627"/>
      <c r="F18" s="627"/>
      <c r="G18" s="627"/>
      <c r="H18" s="627"/>
    </row>
    <row r="19" spans="1:8" x14ac:dyDescent="0.25">
      <c r="A19" s="1" t="s">
        <v>37</v>
      </c>
      <c r="B19" s="628" t="s">
        <v>38</v>
      </c>
      <c r="C19" s="629"/>
      <c r="D19" s="629"/>
      <c r="E19" s="629"/>
      <c r="F19" s="629"/>
      <c r="G19" s="629"/>
      <c r="H19" s="630"/>
    </row>
    <row r="20" spans="1:8" x14ac:dyDescent="0.25">
      <c r="A20" s="1" t="s">
        <v>39</v>
      </c>
      <c r="B20" s="631" t="s">
        <v>40</v>
      </c>
      <c r="C20" s="631"/>
      <c r="D20" s="631"/>
      <c r="E20" s="631"/>
      <c r="F20" s="631"/>
      <c r="G20" s="631"/>
      <c r="H20" s="631"/>
    </row>
    <row r="21" spans="1:8" x14ac:dyDescent="0.25">
      <c r="A21" s="5" t="s">
        <v>41</v>
      </c>
      <c r="B21" s="632">
        <v>44713</v>
      </c>
      <c r="C21" s="632"/>
      <c r="D21" s="632"/>
      <c r="E21" s="633" t="s">
        <v>42</v>
      </c>
      <c r="F21" s="634"/>
      <c r="G21" s="635">
        <v>45991</v>
      </c>
      <c r="H21" s="636"/>
    </row>
    <row r="22" spans="1:8" x14ac:dyDescent="0.25"/>
    <row r="23" spans="1:8" x14ac:dyDescent="0.25"/>
    <row r="24" spans="1:8" x14ac:dyDescent="0.25"/>
  </sheetData>
  <mergeCells count="27">
    <mergeCell ref="B9:H9"/>
    <mergeCell ref="A1:H1"/>
    <mergeCell ref="B2:H2"/>
    <mergeCell ref="B3:H3"/>
    <mergeCell ref="B4:D4"/>
    <mergeCell ref="E4:F4"/>
    <mergeCell ref="G4:H4"/>
    <mergeCell ref="B5:H5"/>
    <mergeCell ref="B6:H6"/>
    <mergeCell ref="B7:D7"/>
    <mergeCell ref="E7:G7"/>
    <mergeCell ref="B8:H8"/>
    <mergeCell ref="B21:D21"/>
    <mergeCell ref="E21:F21"/>
    <mergeCell ref="G21:H21"/>
    <mergeCell ref="B10:D10"/>
    <mergeCell ref="E10:F10"/>
    <mergeCell ref="G10:H10"/>
    <mergeCell ref="B11:D11"/>
    <mergeCell ref="B12:F12"/>
    <mergeCell ref="B13:C13"/>
    <mergeCell ref="E13:F13"/>
    <mergeCell ref="A16:H16"/>
    <mergeCell ref="B17:H17"/>
    <mergeCell ref="B18:H18"/>
    <mergeCell ref="B19:H19"/>
    <mergeCell ref="B20:H20"/>
  </mergeCells>
  <dataValidations count="1">
    <dataValidation type="whole" showInputMessage="1" showErrorMessage="1" errorTitle="Erreur - Valeur" error="Valeur non permise" sqref="H7" xr:uid="{B13CBFDE-D893-44F1-A60D-56D9FA1C275D}">
      <formula1>1900</formula1>
      <formula2>2200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66BA3-D460-45EF-92A2-666B63C06E4A}">
  <dimension ref="A1:U89"/>
  <sheetViews>
    <sheetView workbookViewId="0">
      <selection activeCell="C11" sqref="A1:XFD1048576"/>
    </sheetView>
  </sheetViews>
  <sheetFormatPr baseColWidth="10" defaultColWidth="0" defaultRowHeight="13.15" customHeight="1" zeroHeight="1" x14ac:dyDescent="0.25"/>
  <cols>
    <col min="1" max="1" width="7.28515625" customWidth="1"/>
    <col min="2" max="2" width="28.28515625" customWidth="1"/>
    <col min="3" max="6" width="11.5703125" customWidth="1"/>
    <col min="7" max="7" width="9.42578125" customWidth="1"/>
    <col min="8" max="8" width="6.7109375" customWidth="1"/>
    <col min="9" max="9" width="9" customWidth="1"/>
    <col min="10" max="10" width="11.5703125" customWidth="1"/>
    <col min="11" max="12" width="5.85546875" customWidth="1"/>
    <col min="13" max="13" width="4.7109375" customWidth="1"/>
    <col min="14" max="19" width="11.5703125" customWidth="1"/>
    <col min="20" max="20" width="5.5703125" customWidth="1"/>
    <col min="21" max="21" width="11.5703125" customWidth="1"/>
    <col min="22" max="16384" width="11.5703125" hidden="1"/>
  </cols>
  <sheetData>
    <row r="1" spans="1:19" ht="15" x14ac:dyDescent="0.25"/>
    <row r="2" spans="1:19" ht="15" x14ac:dyDescent="0.25">
      <c r="A2" s="15"/>
      <c r="B2" s="15"/>
      <c r="C2" s="15"/>
      <c r="D2" s="15"/>
      <c r="E2" s="15"/>
      <c r="F2" s="15"/>
      <c r="G2" s="15"/>
      <c r="H2" s="15"/>
      <c r="I2" s="15"/>
      <c r="J2" s="15"/>
      <c r="K2" s="15"/>
      <c r="N2" s="16"/>
      <c r="O2" s="16"/>
      <c r="P2" s="16"/>
      <c r="Q2" s="16"/>
      <c r="R2" s="16"/>
      <c r="S2" s="16"/>
    </row>
    <row r="3" spans="1:19" ht="15" x14ac:dyDescent="0.25">
      <c r="A3" s="15"/>
      <c r="B3" s="15"/>
      <c r="C3" s="15"/>
      <c r="D3" s="15"/>
      <c r="E3" s="15"/>
      <c r="F3" s="15"/>
      <c r="G3" s="15"/>
      <c r="H3" s="15"/>
      <c r="I3" s="15"/>
      <c r="J3" s="15"/>
      <c r="K3" s="15"/>
      <c r="N3" s="16"/>
      <c r="O3" s="16"/>
      <c r="P3" s="16"/>
      <c r="Q3" s="16"/>
      <c r="R3" s="16"/>
      <c r="S3" s="16"/>
    </row>
    <row r="4" spans="1:19" ht="15" x14ac:dyDescent="0.25">
      <c r="A4" s="15"/>
      <c r="B4" s="15"/>
      <c r="C4" s="15"/>
      <c r="D4" s="15"/>
      <c r="E4" s="15"/>
      <c r="F4" s="15"/>
      <c r="G4" s="15"/>
      <c r="H4" s="15"/>
      <c r="I4" s="15"/>
      <c r="J4" s="15"/>
      <c r="K4" s="15"/>
      <c r="N4" s="16"/>
      <c r="O4" s="16"/>
      <c r="P4" s="16"/>
      <c r="Q4" s="16"/>
      <c r="R4" s="16"/>
      <c r="S4" s="16"/>
    </row>
    <row r="5" spans="1:19" ht="15" x14ac:dyDescent="0.25">
      <c r="A5" s="15"/>
      <c r="B5" s="15"/>
      <c r="C5" s="15"/>
      <c r="D5" s="15"/>
      <c r="E5" s="15"/>
      <c r="F5" s="15"/>
      <c r="G5" s="15"/>
      <c r="H5" s="15"/>
      <c r="I5" s="15"/>
      <c r="J5" s="15"/>
      <c r="K5" s="15"/>
      <c r="N5" s="16"/>
      <c r="O5" s="16"/>
      <c r="P5" s="16"/>
      <c r="Q5" s="16"/>
      <c r="R5" s="16"/>
      <c r="S5" s="16"/>
    </row>
    <row r="6" spans="1:19" ht="15" x14ac:dyDescent="0.25">
      <c r="A6" s="15"/>
      <c r="B6" s="15"/>
      <c r="C6" s="15"/>
      <c r="D6" s="15"/>
      <c r="E6" s="15"/>
      <c r="F6" s="15"/>
      <c r="G6" s="15"/>
      <c r="H6" s="15"/>
      <c r="I6" s="15"/>
      <c r="J6" s="15"/>
      <c r="K6" s="15"/>
      <c r="N6" s="16"/>
      <c r="O6" s="16"/>
      <c r="P6" s="16"/>
      <c r="Q6" s="16"/>
      <c r="R6" s="16"/>
      <c r="S6" s="16"/>
    </row>
    <row r="7" spans="1:19" ht="15" x14ac:dyDescent="0.25">
      <c r="A7" s="15"/>
      <c r="B7" s="15"/>
      <c r="C7" s="15"/>
      <c r="D7" s="15"/>
      <c r="E7" s="15"/>
      <c r="F7" s="15"/>
      <c r="G7" s="15"/>
      <c r="H7" s="15"/>
      <c r="I7" s="15"/>
      <c r="J7" s="15"/>
      <c r="K7" s="15"/>
      <c r="N7" s="16"/>
      <c r="O7" s="16"/>
      <c r="P7" s="16"/>
      <c r="Q7" s="16"/>
      <c r="R7" s="16"/>
      <c r="S7" s="16"/>
    </row>
    <row r="8" spans="1:19" ht="15" x14ac:dyDescent="0.25">
      <c r="A8" s="15"/>
      <c r="B8" s="15"/>
      <c r="C8" s="15"/>
      <c r="D8" s="15"/>
      <c r="E8" s="15"/>
      <c r="F8" s="15"/>
      <c r="G8" s="15"/>
      <c r="H8" s="15"/>
      <c r="I8" s="15"/>
      <c r="J8" s="15"/>
      <c r="K8" s="15"/>
      <c r="N8" s="16"/>
      <c r="O8" s="16"/>
      <c r="P8" s="16"/>
      <c r="Q8" s="16"/>
      <c r="R8" s="16"/>
      <c r="S8" s="16"/>
    </row>
    <row r="9" spans="1:19" ht="15" x14ac:dyDescent="0.25">
      <c r="A9" s="15"/>
      <c r="B9" s="15"/>
      <c r="C9" s="15"/>
      <c r="D9" s="15"/>
      <c r="E9" s="15"/>
      <c r="F9" s="15"/>
      <c r="G9" s="15"/>
      <c r="H9" s="15"/>
      <c r="I9" s="15"/>
      <c r="J9" s="15"/>
      <c r="K9" s="15"/>
      <c r="N9" s="16"/>
      <c r="O9" s="16"/>
      <c r="P9" s="16"/>
      <c r="Q9" s="16"/>
      <c r="R9" s="16"/>
      <c r="S9" s="16"/>
    </row>
    <row r="10" spans="1:19" ht="15" x14ac:dyDescent="0.25">
      <c r="A10" s="15"/>
      <c r="B10" s="15"/>
      <c r="C10" s="15"/>
      <c r="D10" s="15"/>
      <c r="E10" s="15"/>
      <c r="F10" s="15"/>
      <c r="G10" s="15"/>
      <c r="H10" s="15"/>
      <c r="I10" s="15"/>
      <c r="J10" s="15"/>
      <c r="K10" s="15"/>
      <c r="N10" s="16"/>
      <c r="O10" s="16"/>
      <c r="P10" s="16"/>
      <c r="Q10" s="16"/>
      <c r="R10" s="16"/>
      <c r="S10" s="16"/>
    </row>
    <row r="11" spans="1:19" ht="15" x14ac:dyDescent="0.25">
      <c r="A11" s="15"/>
      <c r="B11" s="15"/>
      <c r="C11" s="15"/>
      <c r="D11" s="15"/>
      <c r="E11" s="15"/>
      <c r="F11" s="15"/>
      <c r="G11" s="15"/>
      <c r="H11" s="15"/>
      <c r="I11" s="15"/>
      <c r="J11" s="15"/>
      <c r="K11" s="15"/>
      <c r="N11" s="16"/>
      <c r="O11" s="16"/>
      <c r="P11" s="16"/>
      <c r="Q11" s="16"/>
      <c r="R11" s="16"/>
      <c r="S11" s="16"/>
    </row>
    <row r="12" spans="1:19" ht="15" x14ac:dyDescent="0.25">
      <c r="A12" s="15"/>
      <c r="B12" s="15"/>
      <c r="C12" s="15"/>
      <c r="D12" s="15"/>
      <c r="E12" s="15"/>
      <c r="F12" s="15"/>
      <c r="G12" s="15"/>
      <c r="H12" s="15"/>
      <c r="I12" s="15"/>
      <c r="J12" s="15"/>
      <c r="K12" s="15"/>
      <c r="N12" s="16"/>
      <c r="O12" s="16"/>
      <c r="P12" s="16"/>
      <c r="Q12" s="16"/>
      <c r="R12" s="16"/>
      <c r="S12" s="16"/>
    </row>
    <row r="13" spans="1:19" ht="15" x14ac:dyDescent="0.25">
      <c r="A13" s="15"/>
      <c r="B13" s="15"/>
      <c r="C13" s="15"/>
      <c r="D13" s="15"/>
      <c r="E13" s="15"/>
      <c r="F13" s="15"/>
      <c r="G13" s="15"/>
      <c r="H13" s="15"/>
      <c r="I13" s="15"/>
      <c r="J13" s="15"/>
      <c r="K13" s="15"/>
      <c r="N13" s="16"/>
      <c r="O13" s="16"/>
      <c r="P13" s="16"/>
      <c r="Q13" s="16"/>
      <c r="R13" s="16"/>
      <c r="S13" s="16"/>
    </row>
    <row r="14" spans="1:19" ht="15" x14ac:dyDescent="0.25">
      <c r="A14" s="15"/>
      <c r="B14" s="15"/>
      <c r="C14" s="15"/>
      <c r="D14" s="15"/>
      <c r="E14" s="15"/>
      <c r="F14" s="15"/>
      <c r="G14" s="15"/>
      <c r="H14" s="15"/>
      <c r="I14" s="15"/>
      <c r="J14" s="15"/>
      <c r="K14" s="15"/>
      <c r="N14" s="16"/>
      <c r="O14" s="16"/>
      <c r="P14" s="16"/>
      <c r="Q14" s="16"/>
      <c r="R14" s="16"/>
      <c r="S14" s="16"/>
    </row>
    <row r="15" spans="1:19" ht="15" x14ac:dyDescent="0.25">
      <c r="A15" s="15"/>
      <c r="B15" s="15"/>
      <c r="C15" s="15"/>
      <c r="D15" s="15"/>
      <c r="E15" s="15"/>
      <c r="F15" s="15"/>
      <c r="G15" s="15"/>
      <c r="H15" s="15"/>
      <c r="I15" s="15"/>
      <c r="J15" s="15"/>
      <c r="K15" s="15"/>
      <c r="N15" s="16"/>
      <c r="O15" s="16"/>
      <c r="P15" s="16"/>
      <c r="Q15" s="16"/>
      <c r="R15" s="16"/>
      <c r="S15" s="16"/>
    </row>
    <row r="16" spans="1:19" ht="15" x14ac:dyDescent="0.25">
      <c r="A16" s="15"/>
      <c r="B16" s="15"/>
      <c r="C16" s="15"/>
      <c r="D16" s="15"/>
      <c r="E16" s="15"/>
      <c r="F16" s="15"/>
      <c r="G16" s="15"/>
      <c r="H16" s="15"/>
      <c r="I16" s="15"/>
      <c r="J16" s="15"/>
      <c r="K16" s="15"/>
      <c r="N16" s="16"/>
      <c r="O16" s="16"/>
      <c r="P16" s="16"/>
      <c r="Q16" s="16"/>
      <c r="R16" s="16"/>
      <c r="S16" s="16"/>
    </row>
    <row r="17" spans="1:19" ht="15" x14ac:dyDescent="0.25">
      <c r="A17" s="15"/>
      <c r="B17" s="15"/>
      <c r="C17" s="15"/>
      <c r="D17" s="15"/>
      <c r="E17" s="15"/>
      <c r="F17" s="15"/>
      <c r="G17" s="15"/>
      <c r="H17" s="15"/>
      <c r="I17" s="15"/>
      <c r="J17" s="15"/>
      <c r="K17" s="15"/>
      <c r="N17" s="16"/>
      <c r="O17" s="16"/>
      <c r="P17" s="16"/>
      <c r="Q17" s="16"/>
      <c r="R17" s="16"/>
      <c r="S17" s="16"/>
    </row>
    <row r="18" spans="1:19" ht="15" x14ac:dyDescent="0.25">
      <c r="A18" s="15"/>
      <c r="B18" s="15"/>
      <c r="C18" s="15"/>
      <c r="D18" s="15"/>
      <c r="E18" s="15"/>
      <c r="F18" s="15"/>
      <c r="G18" s="15"/>
      <c r="H18" s="15"/>
      <c r="I18" s="15"/>
      <c r="J18" s="15"/>
      <c r="K18" s="15"/>
      <c r="N18" s="16"/>
      <c r="O18" s="16"/>
      <c r="P18" s="16"/>
      <c r="Q18" s="16"/>
      <c r="R18" s="16"/>
      <c r="S18" s="16"/>
    </row>
    <row r="19" spans="1:19" ht="15" x14ac:dyDescent="0.25">
      <c r="A19" s="15"/>
      <c r="B19" s="15"/>
      <c r="C19" s="15"/>
      <c r="D19" s="15"/>
      <c r="E19" s="15"/>
      <c r="F19" s="15"/>
      <c r="G19" s="15"/>
      <c r="H19" s="15"/>
      <c r="I19" s="15"/>
      <c r="J19" s="15"/>
      <c r="K19" s="15"/>
      <c r="N19" s="16"/>
      <c r="O19" s="16"/>
      <c r="P19" s="16"/>
      <c r="Q19" s="16"/>
      <c r="R19" s="16"/>
      <c r="S19" s="16"/>
    </row>
    <row r="20" spans="1:19" ht="15" x14ac:dyDescent="0.25">
      <c r="A20" s="15"/>
      <c r="B20" s="15"/>
      <c r="C20" s="15"/>
      <c r="D20" s="15"/>
      <c r="E20" s="15"/>
      <c r="F20" s="15"/>
      <c r="G20" s="15"/>
      <c r="H20" s="15"/>
      <c r="I20" s="15"/>
      <c r="J20" s="15"/>
      <c r="K20" s="15"/>
      <c r="N20" s="16"/>
      <c r="O20" s="16"/>
      <c r="P20" s="16"/>
      <c r="Q20" s="16"/>
      <c r="R20" s="16"/>
      <c r="S20" s="16"/>
    </row>
    <row r="21" spans="1:19" ht="15" x14ac:dyDescent="0.25">
      <c r="A21" s="15"/>
      <c r="B21" s="15"/>
      <c r="C21" s="15"/>
      <c r="D21" s="15"/>
      <c r="E21" s="15"/>
      <c r="F21" s="15"/>
      <c r="G21" s="15"/>
      <c r="H21" s="15"/>
      <c r="I21" s="15"/>
      <c r="J21" s="15"/>
      <c r="K21" s="15"/>
      <c r="N21" s="16"/>
      <c r="O21" s="16"/>
      <c r="P21" s="16"/>
      <c r="Q21" s="16"/>
      <c r="R21" s="16"/>
      <c r="S21" s="16"/>
    </row>
    <row r="22" spans="1:19" ht="15" x14ac:dyDescent="0.25">
      <c r="A22" s="15"/>
      <c r="B22" s="15"/>
      <c r="C22" s="15"/>
      <c r="D22" s="15"/>
      <c r="E22" s="15"/>
      <c r="F22" s="15"/>
      <c r="G22" s="15"/>
      <c r="H22" s="15"/>
      <c r="I22" s="15"/>
      <c r="J22" s="15"/>
      <c r="K22" s="15"/>
      <c r="N22" s="16"/>
      <c r="O22" s="16"/>
      <c r="P22" s="16"/>
      <c r="Q22" s="16"/>
      <c r="R22" s="16"/>
      <c r="S22" s="16"/>
    </row>
    <row r="23" spans="1:19" ht="15" x14ac:dyDescent="0.25">
      <c r="A23" s="15"/>
      <c r="B23" s="15"/>
      <c r="C23" s="15"/>
      <c r="D23" s="15"/>
      <c r="E23" s="15"/>
      <c r="F23" s="15"/>
      <c r="G23" s="15"/>
      <c r="H23" s="15"/>
      <c r="I23" s="15"/>
      <c r="J23" s="15"/>
      <c r="K23" s="15"/>
      <c r="N23" s="16"/>
      <c r="O23" s="16"/>
      <c r="P23" s="16"/>
      <c r="Q23" s="16"/>
      <c r="R23" s="16"/>
      <c r="S23" s="16"/>
    </row>
    <row r="24" spans="1:19" ht="15" x14ac:dyDescent="0.25">
      <c r="A24" s="15"/>
      <c r="B24" s="15"/>
      <c r="C24" s="15"/>
      <c r="D24" s="15"/>
      <c r="E24" s="15"/>
      <c r="F24" s="15"/>
      <c r="G24" s="15"/>
      <c r="H24" s="15"/>
      <c r="I24" s="15"/>
      <c r="J24" s="15"/>
      <c r="K24" s="15"/>
      <c r="N24" s="16"/>
      <c r="O24" s="16"/>
      <c r="P24" s="16"/>
      <c r="Q24" s="16"/>
      <c r="R24" s="16"/>
      <c r="S24" s="16"/>
    </row>
    <row r="25" spans="1:19" ht="15" x14ac:dyDescent="0.25">
      <c r="A25" s="15"/>
      <c r="B25" s="15"/>
      <c r="C25" s="15"/>
      <c r="D25" s="15"/>
      <c r="E25" s="15"/>
      <c r="F25" s="15"/>
      <c r="G25" s="15"/>
      <c r="H25" s="15"/>
      <c r="I25" s="15"/>
      <c r="J25" s="15"/>
      <c r="K25" s="15"/>
      <c r="N25" s="16"/>
      <c r="O25" s="16"/>
      <c r="P25" s="16"/>
      <c r="Q25" s="16"/>
      <c r="R25" s="16"/>
      <c r="S25" s="16"/>
    </row>
    <row r="26" spans="1:19" ht="15" x14ac:dyDescent="0.25">
      <c r="A26" s="15"/>
      <c r="B26" s="15"/>
      <c r="C26" s="15"/>
      <c r="D26" s="15"/>
      <c r="E26" s="15"/>
      <c r="F26" s="15"/>
      <c r="G26" s="15"/>
      <c r="H26" s="15"/>
      <c r="I26" s="15"/>
      <c r="J26" s="15"/>
      <c r="K26" s="15"/>
      <c r="N26" s="16"/>
      <c r="O26" s="16"/>
      <c r="P26" s="16"/>
      <c r="Q26" s="16"/>
      <c r="R26" s="16"/>
      <c r="S26" s="16"/>
    </row>
    <row r="27" spans="1:19" ht="15" x14ac:dyDescent="0.25">
      <c r="A27" s="15"/>
      <c r="B27" s="15"/>
      <c r="C27" s="15"/>
      <c r="D27" s="15"/>
      <c r="E27" s="15"/>
      <c r="F27" s="15"/>
      <c r="G27" s="15"/>
      <c r="H27" s="15"/>
      <c r="I27" s="15"/>
      <c r="J27" s="15"/>
      <c r="K27" s="15"/>
      <c r="N27" s="16"/>
      <c r="O27" s="16"/>
      <c r="P27" s="16"/>
      <c r="Q27" s="16"/>
      <c r="R27" s="16"/>
      <c r="S27" s="16"/>
    </row>
    <row r="28" spans="1:19" ht="15" x14ac:dyDescent="0.25">
      <c r="A28" s="15"/>
      <c r="B28" s="15"/>
      <c r="C28" s="15"/>
      <c r="D28" s="15"/>
      <c r="E28" s="15"/>
      <c r="F28" s="15"/>
      <c r="G28" s="15"/>
      <c r="H28" s="15"/>
      <c r="I28" s="15"/>
      <c r="J28" s="15"/>
      <c r="K28" s="15"/>
      <c r="N28" s="16"/>
      <c r="O28" s="16"/>
      <c r="P28" s="16"/>
      <c r="Q28" s="16"/>
      <c r="R28" s="16"/>
      <c r="S28" s="16"/>
    </row>
    <row r="29" spans="1:19" ht="15" x14ac:dyDescent="0.25">
      <c r="A29" s="15"/>
      <c r="B29" s="15"/>
      <c r="C29" s="15"/>
      <c r="D29" s="15"/>
      <c r="E29" s="15"/>
      <c r="F29" s="15"/>
      <c r="G29" s="15"/>
      <c r="H29" s="15"/>
      <c r="I29" s="15"/>
      <c r="J29" s="15"/>
      <c r="K29" s="15"/>
      <c r="N29" s="16"/>
      <c r="O29" s="16"/>
      <c r="P29" s="16"/>
      <c r="Q29" s="16"/>
      <c r="R29" s="16"/>
      <c r="S29" s="16"/>
    </row>
    <row r="30" spans="1:19" ht="15" x14ac:dyDescent="0.25">
      <c r="A30" s="15"/>
      <c r="B30" s="15"/>
      <c r="C30" s="15"/>
      <c r="D30" s="15"/>
      <c r="E30" s="15"/>
      <c r="F30" s="15"/>
      <c r="G30" s="15"/>
      <c r="H30" s="15"/>
      <c r="I30" s="15"/>
      <c r="J30" s="15"/>
      <c r="K30" s="15"/>
      <c r="N30" s="16"/>
      <c r="O30" s="16"/>
      <c r="P30" s="16"/>
      <c r="Q30" s="16"/>
      <c r="R30" s="16"/>
      <c r="S30" s="16"/>
    </row>
    <row r="31" spans="1:19" ht="15" x14ac:dyDescent="0.25">
      <c r="A31" s="15"/>
      <c r="B31" s="15"/>
      <c r="C31" s="15"/>
      <c r="D31" s="15"/>
      <c r="E31" s="15"/>
      <c r="F31" s="15"/>
      <c r="G31" s="15"/>
      <c r="H31" s="15"/>
      <c r="I31" s="15"/>
      <c r="J31" s="15"/>
      <c r="K31" s="15"/>
      <c r="N31" s="16"/>
      <c r="O31" s="16"/>
      <c r="P31" s="16"/>
      <c r="Q31" s="16"/>
      <c r="R31" s="16"/>
      <c r="S31" s="16"/>
    </row>
    <row r="32" spans="1:19" ht="15" x14ac:dyDescent="0.25">
      <c r="A32" s="15"/>
      <c r="B32" s="15"/>
      <c r="C32" s="15"/>
      <c r="D32" s="15"/>
      <c r="E32" s="15"/>
      <c r="F32" s="15"/>
      <c r="G32" s="15"/>
      <c r="H32" s="15"/>
      <c r="I32" s="15"/>
      <c r="J32" s="15"/>
      <c r="K32" s="15"/>
      <c r="N32" s="16"/>
      <c r="O32" s="16"/>
      <c r="P32" s="16"/>
      <c r="Q32" s="16"/>
      <c r="R32" s="16"/>
      <c r="S32" s="16"/>
    </row>
    <row r="33" spans="1:19" ht="15" x14ac:dyDescent="0.25">
      <c r="A33" s="15"/>
      <c r="B33" s="15"/>
      <c r="C33" s="15"/>
      <c r="D33" s="15"/>
      <c r="E33" s="15"/>
      <c r="F33" s="15"/>
      <c r="G33" s="15"/>
      <c r="H33" s="15"/>
      <c r="I33" s="15"/>
      <c r="J33" s="15"/>
      <c r="K33" s="15"/>
      <c r="N33" s="16"/>
      <c r="O33" s="16"/>
      <c r="P33" s="16"/>
      <c r="Q33" s="16"/>
      <c r="R33" s="16"/>
      <c r="S33" s="16"/>
    </row>
    <row r="34" spans="1:19" ht="15" x14ac:dyDescent="0.25">
      <c r="A34" s="15"/>
      <c r="B34" s="15"/>
      <c r="C34" s="15"/>
      <c r="D34" s="15"/>
      <c r="E34" s="15"/>
      <c r="F34" s="15"/>
      <c r="G34" s="15"/>
      <c r="H34" s="15"/>
      <c r="I34" s="15"/>
      <c r="J34" s="15"/>
      <c r="K34" s="15"/>
      <c r="N34" s="16"/>
      <c r="O34" s="16"/>
      <c r="P34" s="16"/>
      <c r="Q34" s="16"/>
      <c r="R34" s="16"/>
      <c r="S34" s="16"/>
    </row>
    <row r="35" spans="1:19" ht="15" x14ac:dyDescent="0.25">
      <c r="A35" s="15"/>
      <c r="B35" s="15"/>
      <c r="C35" s="15"/>
      <c r="D35" s="15"/>
      <c r="E35" s="15"/>
      <c r="F35" s="15"/>
      <c r="G35" s="15"/>
      <c r="H35" s="15"/>
      <c r="I35" s="15"/>
      <c r="J35" s="15"/>
      <c r="K35" s="15"/>
      <c r="N35" s="16"/>
      <c r="O35" s="16"/>
      <c r="P35" s="16"/>
      <c r="Q35" s="16"/>
      <c r="R35" s="16"/>
      <c r="S35" s="16"/>
    </row>
    <row r="36" spans="1:19" ht="15" x14ac:dyDescent="0.25">
      <c r="A36" s="15"/>
      <c r="B36" s="15"/>
      <c r="C36" s="15"/>
      <c r="D36" s="15"/>
      <c r="E36" s="15"/>
      <c r="F36" s="15"/>
      <c r="G36" s="15"/>
      <c r="H36" s="15"/>
      <c r="I36" s="15"/>
      <c r="J36" s="15"/>
      <c r="K36" s="15"/>
      <c r="N36" s="16"/>
      <c r="O36" s="16"/>
      <c r="P36" s="16"/>
      <c r="Q36" s="16"/>
      <c r="R36" s="16"/>
      <c r="S36" s="16"/>
    </row>
    <row r="37" spans="1:19" ht="15" x14ac:dyDescent="0.25">
      <c r="A37" s="15"/>
      <c r="B37" s="15"/>
      <c r="C37" s="15"/>
      <c r="D37" s="15"/>
      <c r="E37" s="15"/>
      <c r="F37" s="15"/>
      <c r="G37" s="15"/>
      <c r="H37" s="15"/>
      <c r="I37" s="15"/>
      <c r="J37" s="15"/>
      <c r="K37" s="15"/>
      <c r="N37" s="16"/>
      <c r="O37" s="16"/>
      <c r="P37" s="16"/>
      <c r="Q37" s="16"/>
      <c r="R37" s="16"/>
      <c r="S37" s="16"/>
    </row>
    <row r="38" spans="1:19" ht="15" x14ac:dyDescent="0.25">
      <c r="A38" s="15"/>
      <c r="B38" s="15"/>
      <c r="C38" s="15"/>
      <c r="D38" s="15"/>
      <c r="E38" s="15"/>
      <c r="F38" s="15"/>
      <c r="G38" s="15"/>
      <c r="H38" s="15"/>
      <c r="I38" s="15"/>
      <c r="J38" s="15"/>
      <c r="K38" s="15"/>
      <c r="N38" s="16"/>
      <c r="O38" s="16"/>
      <c r="P38" s="16"/>
      <c r="Q38" s="16"/>
      <c r="R38" s="16"/>
      <c r="S38" s="16"/>
    </row>
    <row r="39" spans="1:19" ht="15" x14ac:dyDescent="0.25">
      <c r="A39" s="15"/>
      <c r="B39" s="15"/>
      <c r="C39" s="15"/>
      <c r="D39" s="15"/>
      <c r="E39" s="15"/>
      <c r="F39" s="15"/>
      <c r="G39" s="15"/>
      <c r="H39" s="15"/>
      <c r="I39" s="15"/>
      <c r="J39" s="15"/>
      <c r="K39" s="15"/>
      <c r="N39" s="16"/>
      <c r="O39" s="16"/>
      <c r="P39" s="16"/>
      <c r="Q39" s="16"/>
      <c r="R39" s="16"/>
      <c r="S39" s="16"/>
    </row>
    <row r="40" spans="1:19" ht="15" x14ac:dyDescent="0.25">
      <c r="A40" s="15"/>
      <c r="B40" s="15"/>
      <c r="C40" s="15"/>
      <c r="D40" s="15"/>
      <c r="E40" s="15"/>
      <c r="F40" s="15"/>
      <c r="G40" s="15"/>
      <c r="H40" s="15"/>
      <c r="I40" s="15"/>
      <c r="J40" s="15"/>
      <c r="K40" s="15"/>
      <c r="N40" s="16"/>
      <c r="O40" s="16"/>
      <c r="P40" s="16"/>
      <c r="Q40" s="16"/>
      <c r="R40" s="16"/>
      <c r="S40" s="16"/>
    </row>
    <row r="41" spans="1:19" ht="15" x14ac:dyDescent="0.25">
      <c r="A41" s="15"/>
      <c r="B41" s="15"/>
      <c r="C41" s="15"/>
      <c r="D41" s="15"/>
      <c r="E41" s="15"/>
      <c r="F41" s="15"/>
      <c r="G41" s="15"/>
      <c r="H41" s="15"/>
      <c r="I41" s="15"/>
      <c r="J41" s="15"/>
      <c r="K41" s="15"/>
      <c r="N41" s="16"/>
      <c r="O41" s="16"/>
      <c r="P41" s="16"/>
      <c r="Q41" s="16"/>
      <c r="R41" s="16"/>
      <c r="S41" s="16"/>
    </row>
    <row r="42" spans="1:19" ht="15" x14ac:dyDescent="0.25">
      <c r="A42" s="15"/>
      <c r="B42" s="15"/>
      <c r="C42" s="15"/>
      <c r="D42" s="15"/>
      <c r="E42" s="15"/>
      <c r="F42" s="15"/>
      <c r="G42" s="15"/>
      <c r="H42" s="15"/>
      <c r="I42" s="15"/>
      <c r="J42" s="15"/>
      <c r="K42" s="15"/>
      <c r="N42" s="16"/>
      <c r="O42" s="16"/>
      <c r="P42" s="16"/>
      <c r="Q42" s="16"/>
      <c r="R42" s="16"/>
      <c r="S42" s="16"/>
    </row>
    <row r="43" spans="1:19" ht="15" x14ac:dyDescent="0.25">
      <c r="A43" s="15"/>
      <c r="B43" s="15"/>
      <c r="C43" s="15"/>
      <c r="D43" s="15"/>
      <c r="E43" s="15"/>
      <c r="F43" s="15"/>
      <c r="G43" s="15"/>
      <c r="H43" s="15"/>
      <c r="I43" s="15"/>
      <c r="J43" s="15"/>
      <c r="K43" s="15"/>
      <c r="N43" s="16"/>
      <c r="O43" s="16"/>
      <c r="P43" s="16"/>
      <c r="Q43" s="16"/>
      <c r="R43" s="16"/>
      <c r="S43" s="16"/>
    </row>
    <row r="44" spans="1:19" ht="15" x14ac:dyDescent="0.25">
      <c r="A44" s="15"/>
      <c r="B44" s="15"/>
      <c r="C44" s="15"/>
      <c r="D44" s="15"/>
      <c r="E44" s="15"/>
      <c r="F44" s="15"/>
      <c r="G44" s="15"/>
      <c r="H44" s="15"/>
      <c r="I44" s="15"/>
      <c r="J44" s="15"/>
      <c r="K44" s="15"/>
      <c r="N44" s="16"/>
      <c r="O44" s="16"/>
      <c r="P44" s="16"/>
      <c r="Q44" s="16"/>
      <c r="R44" s="16"/>
      <c r="S44" s="16"/>
    </row>
    <row r="45" spans="1:19" ht="15" x14ac:dyDescent="0.25">
      <c r="A45" s="15"/>
      <c r="B45" s="15"/>
      <c r="C45" s="15"/>
      <c r="D45" s="15"/>
      <c r="E45" s="15"/>
      <c r="F45" s="15"/>
      <c r="G45" s="15"/>
      <c r="H45" s="15"/>
      <c r="I45" s="15"/>
      <c r="J45" s="15"/>
      <c r="K45" s="15"/>
      <c r="N45" s="16"/>
      <c r="O45" s="16"/>
      <c r="P45" s="16"/>
      <c r="Q45" s="16"/>
      <c r="R45" s="16"/>
      <c r="S45" s="16"/>
    </row>
    <row r="46" spans="1:19" ht="15" x14ac:dyDescent="0.25">
      <c r="A46" s="15"/>
      <c r="B46" s="15"/>
      <c r="C46" s="15"/>
      <c r="D46" s="15"/>
      <c r="E46" s="15"/>
      <c r="F46" s="15"/>
      <c r="G46" s="15"/>
      <c r="H46" s="15"/>
      <c r="I46" s="15"/>
      <c r="J46" s="15"/>
      <c r="K46" s="15"/>
      <c r="N46" s="16"/>
      <c r="O46" s="16"/>
      <c r="P46" s="16"/>
      <c r="Q46" s="16"/>
      <c r="R46" s="16"/>
      <c r="S46" s="16"/>
    </row>
    <row r="47" spans="1:19" ht="15" x14ac:dyDescent="0.25">
      <c r="A47" s="15"/>
      <c r="B47" s="15"/>
      <c r="C47" s="15"/>
      <c r="D47" s="15"/>
      <c r="E47" s="15"/>
      <c r="F47" s="15"/>
      <c r="G47" s="15"/>
      <c r="H47" s="15"/>
      <c r="I47" s="15"/>
      <c r="J47" s="15"/>
      <c r="K47" s="15"/>
      <c r="N47" s="16"/>
      <c r="O47" s="16"/>
      <c r="P47" s="16"/>
      <c r="Q47" s="16"/>
      <c r="R47" s="16"/>
      <c r="S47" s="16"/>
    </row>
    <row r="48" spans="1:19" ht="15" x14ac:dyDescent="0.25">
      <c r="A48" s="15"/>
      <c r="B48" s="15"/>
      <c r="C48" s="15"/>
      <c r="D48" s="15"/>
      <c r="E48" s="15"/>
      <c r="F48" s="15"/>
      <c r="G48" s="15"/>
      <c r="H48" s="15"/>
      <c r="I48" s="15"/>
      <c r="J48" s="15"/>
      <c r="K48" s="15"/>
      <c r="N48" s="16"/>
      <c r="O48" s="16"/>
      <c r="P48" s="16"/>
      <c r="Q48" s="16"/>
      <c r="R48" s="16"/>
      <c r="S48" s="16"/>
    </row>
    <row r="49" spans="1:19" ht="15" x14ac:dyDescent="0.25">
      <c r="A49" s="15"/>
      <c r="B49" s="15"/>
      <c r="C49" s="15"/>
      <c r="D49" s="15"/>
      <c r="E49" s="15"/>
      <c r="F49" s="15"/>
      <c r="G49" s="15"/>
      <c r="H49" s="15"/>
      <c r="I49" s="15"/>
      <c r="J49" s="15"/>
      <c r="K49" s="15"/>
      <c r="N49" s="16"/>
      <c r="O49" s="16"/>
      <c r="P49" s="16"/>
      <c r="Q49" s="16"/>
      <c r="R49" s="16"/>
      <c r="S49" s="16"/>
    </row>
    <row r="50" spans="1:19" ht="15" x14ac:dyDescent="0.25">
      <c r="A50" s="15"/>
      <c r="B50" s="15"/>
      <c r="C50" s="15"/>
      <c r="D50" s="15"/>
      <c r="E50" s="15"/>
      <c r="F50" s="15"/>
      <c r="G50" s="15"/>
      <c r="H50" s="15"/>
      <c r="I50" s="15"/>
      <c r="J50" s="15"/>
      <c r="K50" s="15"/>
      <c r="N50" s="16"/>
      <c r="O50" s="16"/>
      <c r="P50" s="16"/>
      <c r="Q50" s="16"/>
      <c r="R50" s="16"/>
      <c r="S50" s="16"/>
    </row>
    <row r="51" spans="1:19" ht="15" x14ac:dyDescent="0.25">
      <c r="A51" s="15"/>
      <c r="B51" s="15"/>
      <c r="C51" s="15"/>
      <c r="D51" s="15"/>
      <c r="E51" s="15"/>
      <c r="F51" s="15"/>
      <c r="G51" s="15"/>
      <c r="H51" s="15"/>
      <c r="I51" s="15"/>
      <c r="J51" s="15"/>
      <c r="K51" s="15"/>
      <c r="N51" s="16"/>
      <c r="O51" s="16"/>
      <c r="P51" s="16"/>
      <c r="Q51" s="16"/>
      <c r="R51" s="16"/>
      <c r="S51" s="16"/>
    </row>
    <row r="52" spans="1:19" ht="15" x14ac:dyDescent="0.25">
      <c r="A52" s="15"/>
      <c r="B52" s="15"/>
      <c r="C52" s="15"/>
      <c r="D52" s="15"/>
      <c r="E52" s="15"/>
      <c r="F52" s="15"/>
      <c r="G52" s="15"/>
      <c r="H52" s="15"/>
      <c r="I52" s="15"/>
      <c r="J52" s="15"/>
      <c r="K52" s="15"/>
      <c r="N52" s="16"/>
      <c r="O52" s="16"/>
      <c r="P52" s="16"/>
      <c r="Q52" s="16"/>
      <c r="R52" s="16"/>
      <c r="S52" s="16"/>
    </row>
    <row r="53" spans="1:19" ht="15" x14ac:dyDescent="0.25">
      <c r="A53" s="15"/>
      <c r="B53" s="15"/>
      <c r="C53" s="15"/>
      <c r="D53" s="15"/>
      <c r="E53" s="15"/>
      <c r="F53" s="15"/>
      <c r="G53" s="15"/>
      <c r="H53" s="15"/>
      <c r="I53" s="15"/>
      <c r="J53" s="15"/>
      <c r="K53" s="15"/>
      <c r="N53" s="16"/>
      <c r="O53" s="16"/>
      <c r="P53" s="16"/>
      <c r="Q53" s="16"/>
      <c r="R53" s="16"/>
      <c r="S53" s="16"/>
    </row>
    <row r="54" spans="1:19" ht="15" x14ac:dyDescent="0.25">
      <c r="A54" s="15"/>
      <c r="B54" s="15"/>
      <c r="C54" s="15"/>
      <c r="D54" s="15"/>
      <c r="E54" s="15"/>
      <c r="F54" s="15"/>
      <c r="G54" s="15"/>
      <c r="H54" s="15"/>
      <c r="I54" s="15"/>
      <c r="J54" s="15"/>
      <c r="K54" s="15"/>
      <c r="N54" s="16"/>
      <c r="O54" s="16"/>
      <c r="P54" s="16"/>
      <c r="Q54" s="16"/>
      <c r="R54" s="16"/>
      <c r="S54" s="16"/>
    </row>
    <row r="55" spans="1:19" ht="15" x14ac:dyDescent="0.25">
      <c r="A55" s="15"/>
      <c r="B55" s="15"/>
      <c r="C55" s="15"/>
      <c r="D55" s="15"/>
      <c r="E55" s="15"/>
      <c r="F55" s="15"/>
      <c r="G55" s="15"/>
      <c r="H55" s="15"/>
      <c r="I55" s="15"/>
      <c r="J55" s="15"/>
      <c r="K55" s="15"/>
      <c r="N55" s="16"/>
      <c r="O55" s="16"/>
      <c r="P55" s="16"/>
      <c r="Q55" s="16"/>
      <c r="R55" s="16"/>
      <c r="S55" s="16"/>
    </row>
    <row r="56" spans="1:19" ht="15" x14ac:dyDescent="0.25">
      <c r="A56" s="15"/>
      <c r="B56" s="15"/>
      <c r="C56" s="15"/>
      <c r="D56" s="15"/>
      <c r="E56" s="15"/>
      <c r="F56" s="15"/>
      <c r="G56" s="15"/>
      <c r="H56" s="15"/>
      <c r="I56" s="15"/>
      <c r="J56" s="15"/>
      <c r="K56" s="15"/>
      <c r="N56" s="16"/>
      <c r="O56" s="16"/>
      <c r="P56" s="16"/>
      <c r="Q56" s="16"/>
      <c r="R56" s="16"/>
      <c r="S56" s="16"/>
    </row>
    <row r="57" spans="1:19" ht="15" x14ac:dyDescent="0.25">
      <c r="A57" s="15"/>
      <c r="B57" s="15"/>
      <c r="C57" s="15"/>
      <c r="D57" s="15"/>
      <c r="E57" s="15"/>
      <c r="F57" s="15"/>
      <c r="G57" s="15"/>
      <c r="H57" s="15"/>
      <c r="I57" s="15"/>
      <c r="J57" s="15"/>
      <c r="K57" s="15"/>
      <c r="N57" s="16"/>
      <c r="O57" s="16"/>
      <c r="P57" s="16"/>
      <c r="Q57" s="16"/>
      <c r="R57" s="16"/>
      <c r="S57" s="16"/>
    </row>
    <row r="58" spans="1:19" ht="15" x14ac:dyDescent="0.25">
      <c r="A58" s="15"/>
      <c r="B58" s="15"/>
      <c r="C58" s="15"/>
      <c r="D58" s="15"/>
      <c r="E58" s="15"/>
      <c r="F58" s="15"/>
      <c r="G58" s="15"/>
      <c r="H58" s="15"/>
      <c r="I58" s="15"/>
      <c r="J58" s="15"/>
      <c r="K58" s="15"/>
      <c r="N58" s="16"/>
      <c r="O58" s="16"/>
      <c r="P58" s="16"/>
      <c r="Q58" s="16"/>
      <c r="R58" s="16"/>
      <c r="S58" s="16"/>
    </row>
    <row r="59" spans="1:19" ht="15" x14ac:dyDescent="0.25">
      <c r="A59" s="15"/>
      <c r="B59" s="15"/>
      <c r="C59" s="15"/>
      <c r="D59" s="15"/>
      <c r="E59" s="15"/>
      <c r="F59" s="15"/>
      <c r="G59" s="15"/>
      <c r="H59" s="15"/>
      <c r="I59" s="15"/>
      <c r="J59" s="15"/>
      <c r="K59" s="15"/>
      <c r="N59" s="16"/>
      <c r="O59" s="16"/>
      <c r="P59" s="16"/>
      <c r="Q59" s="16"/>
      <c r="R59" s="16"/>
      <c r="S59" s="16"/>
    </row>
    <row r="60" spans="1:19" ht="15" x14ac:dyDescent="0.25">
      <c r="A60" s="15"/>
      <c r="B60" s="15"/>
      <c r="C60" s="15"/>
      <c r="D60" s="15"/>
      <c r="E60" s="15"/>
      <c r="F60" s="15"/>
      <c r="G60" s="15"/>
      <c r="H60" s="15"/>
      <c r="I60" s="15"/>
      <c r="J60" s="15"/>
      <c r="K60" s="15"/>
      <c r="N60" s="16"/>
      <c r="O60" s="16"/>
      <c r="P60" s="16"/>
      <c r="Q60" s="16"/>
      <c r="R60" s="16"/>
      <c r="S60" s="16"/>
    </row>
    <row r="61" spans="1:19" ht="15" x14ac:dyDescent="0.25">
      <c r="A61" s="15"/>
      <c r="B61" s="15"/>
      <c r="C61" s="15"/>
      <c r="D61" s="15"/>
      <c r="E61" s="15"/>
      <c r="F61" s="15"/>
      <c r="G61" s="15"/>
      <c r="H61" s="15"/>
      <c r="I61" s="15"/>
      <c r="J61" s="15"/>
      <c r="K61" s="15"/>
      <c r="N61" s="16"/>
      <c r="O61" s="16"/>
      <c r="P61" s="16"/>
      <c r="Q61" s="16"/>
      <c r="R61" s="16"/>
      <c r="S61" s="16"/>
    </row>
    <row r="62" spans="1:19" ht="15" x14ac:dyDescent="0.25">
      <c r="A62" s="15"/>
      <c r="B62" s="15"/>
      <c r="C62" s="15"/>
      <c r="D62" s="15"/>
      <c r="E62" s="15"/>
      <c r="F62" s="15"/>
      <c r="G62" s="15"/>
      <c r="H62" s="15"/>
      <c r="I62" s="15"/>
      <c r="J62" s="15"/>
      <c r="K62" s="15"/>
      <c r="N62" s="16"/>
      <c r="O62" s="16"/>
      <c r="P62" s="16"/>
      <c r="Q62" s="16"/>
      <c r="R62" s="16"/>
      <c r="S62" s="16"/>
    </row>
    <row r="63" spans="1:19" ht="15" x14ac:dyDescent="0.25">
      <c r="A63" s="15"/>
      <c r="B63" s="15"/>
      <c r="C63" s="15"/>
      <c r="D63" s="15"/>
      <c r="E63" s="15"/>
      <c r="F63" s="15"/>
      <c r="G63" s="15"/>
      <c r="H63" s="15"/>
      <c r="I63" s="15"/>
      <c r="J63" s="15"/>
      <c r="K63" s="15"/>
      <c r="N63" s="16"/>
      <c r="O63" s="16"/>
      <c r="P63" s="16"/>
      <c r="Q63" s="16"/>
      <c r="R63" s="16"/>
      <c r="S63" s="16"/>
    </row>
    <row r="64" spans="1:19" ht="15" x14ac:dyDescent="0.25">
      <c r="A64" s="15"/>
      <c r="B64" s="15"/>
      <c r="C64" s="15"/>
      <c r="D64" s="15"/>
      <c r="E64" s="15"/>
      <c r="F64" s="15"/>
      <c r="G64" s="15"/>
      <c r="H64" s="15"/>
      <c r="I64" s="15"/>
      <c r="J64" s="15"/>
      <c r="K64" s="15"/>
      <c r="N64" s="16"/>
      <c r="O64" s="16"/>
      <c r="P64" s="16"/>
      <c r="Q64" s="16"/>
      <c r="R64" s="16"/>
      <c r="S64" s="16"/>
    </row>
    <row r="65" spans="1:19" ht="15" x14ac:dyDescent="0.25">
      <c r="A65" s="15"/>
      <c r="B65" s="15"/>
      <c r="C65" s="15"/>
      <c r="D65" s="15"/>
      <c r="E65" s="15"/>
      <c r="F65" s="15"/>
      <c r="G65" s="15"/>
      <c r="H65" s="15"/>
      <c r="I65" s="15"/>
      <c r="J65" s="15"/>
      <c r="K65" s="15"/>
      <c r="N65" s="16"/>
      <c r="O65" s="16"/>
      <c r="P65" s="16"/>
      <c r="Q65" s="16"/>
      <c r="R65" s="16"/>
      <c r="S65" s="16"/>
    </row>
    <row r="66" spans="1:19" ht="15" x14ac:dyDescent="0.25">
      <c r="A66" s="15"/>
      <c r="B66" s="15"/>
      <c r="C66" s="15"/>
      <c r="D66" s="15"/>
      <c r="E66" s="15"/>
      <c r="F66" s="15"/>
      <c r="G66" s="15"/>
      <c r="H66" s="15"/>
      <c r="I66" s="15"/>
      <c r="J66" s="15"/>
      <c r="K66" s="15"/>
      <c r="N66" s="16"/>
      <c r="O66" s="16"/>
      <c r="P66" s="16"/>
      <c r="Q66" s="16"/>
      <c r="R66" s="16"/>
      <c r="S66" s="16"/>
    </row>
    <row r="67" spans="1:19" ht="15" x14ac:dyDescent="0.25">
      <c r="A67" s="15"/>
      <c r="B67" s="15"/>
      <c r="C67" s="15"/>
      <c r="D67" s="15"/>
      <c r="E67" s="15"/>
      <c r="F67" s="15"/>
      <c r="G67" s="15"/>
      <c r="H67" s="15"/>
      <c r="I67" s="15"/>
      <c r="J67" s="15"/>
      <c r="K67" s="15"/>
      <c r="N67" s="16"/>
      <c r="O67" s="16"/>
      <c r="P67" s="16"/>
      <c r="Q67" s="16"/>
      <c r="R67" s="16"/>
      <c r="S67" s="16"/>
    </row>
    <row r="68" spans="1:19" ht="15" x14ac:dyDescent="0.25">
      <c r="A68" s="15"/>
      <c r="B68" s="15"/>
      <c r="C68" s="15"/>
      <c r="D68" s="15"/>
      <c r="E68" s="15"/>
      <c r="F68" s="15"/>
      <c r="G68" s="15"/>
      <c r="H68" s="15"/>
      <c r="I68" s="15"/>
      <c r="J68" s="15"/>
      <c r="K68" s="15"/>
      <c r="N68" s="16"/>
      <c r="O68" s="16"/>
      <c r="P68" s="16"/>
      <c r="Q68" s="16"/>
      <c r="R68" s="16"/>
      <c r="S68" s="16"/>
    </row>
    <row r="69" spans="1:19" ht="15" x14ac:dyDescent="0.25">
      <c r="A69" s="15"/>
      <c r="B69" s="15"/>
      <c r="C69" s="15"/>
      <c r="D69" s="15"/>
      <c r="E69" s="15"/>
      <c r="F69" s="15"/>
      <c r="G69" s="15"/>
      <c r="H69" s="15"/>
      <c r="I69" s="15"/>
      <c r="J69" s="15"/>
      <c r="K69" s="15"/>
      <c r="N69" s="16"/>
      <c r="O69" s="16"/>
      <c r="P69" s="16"/>
      <c r="Q69" s="16"/>
      <c r="R69" s="16"/>
      <c r="S69" s="16"/>
    </row>
    <row r="70" spans="1:19" ht="15" x14ac:dyDescent="0.25">
      <c r="A70" s="15"/>
      <c r="B70" s="15"/>
      <c r="C70" s="15"/>
      <c r="D70" s="15"/>
      <c r="E70" s="15"/>
      <c r="F70" s="15"/>
      <c r="G70" s="15"/>
      <c r="H70" s="15"/>
      <c r="I70" s="15"/>
      <c r="J70" s="15"/>
      <c r="K70" s="15"/>
      <c r="N70" s="16"/>
      <c r="O70" s="16"/>
      <c r="P70" s="16"/>
      <c r="Q70" s="16"/>
      <c r="R70" s="16"/>
      <c r="S70" s="16"/>
    </row>
    <row r="71" spans="1:19" ht="15" x14ac:dyDescent="0.25">
      <c r="A71" s="15"/>
      <c r="B71" s="15"/>
      <c r="C71" s="15"/>
      <c r="D71" s="15"/>
      <c r="E71" s="15"/>
      <c r="F71" s="15"/>
      <c r="G71" s="15"/>
      <c r="H71" s="15"/>
      <c r="I71" s="15"/>
      <c r="J71" s="15"/>
      <c r="K71" s="15"/>
      <c r="N71" s="16"/>
      <c r="O71" s="16"/>
      <c r="P71" s="16"/>
      <c r="Q71" s="16"/>
      <c r="R71" s="16"/>
      <c r="S71" s="16"/>
    </row>
    <row r="72" spans="1:19" ht="15" x14ac:dyDescent="0.25">
      <c r="A72" s="15"/>
      <c r="B72" s="15"/>
      <c r="C72" s="15"/>
      <c r="D72" s="15"/>
      <c r="E72" s="15"/>
      <c r="F72" s="15"/>
      <c r="G72" s="15"/>
      <c r="H72" s="15"/>
      <c r="I72" s="15"/>
      <c r="J72" s="15"/>
      <c r="K72" s="15"/>
    </row>
    <row r="73" spans="1:19" ht="15" x14ac:dyDescent="0.25">
      <c r="A73" s="15"/>
      <c r="B73" s="15"/>
      <c r="C73" s="15"/>
      <c r="D73" s="15"/>
      <c r="E73" s="15"/>
      <c r="F73" s="15"/>
      <c r="G73" s="15"/>
      <c r="H73" s="15"/>
      <c r="I73" s="15"/>
      <c r="J73" s="15"/>
      <c r="K73" s="15"/>
    </row>
    <row r="74" spans="1:19" ht="13.15" customHeight="1" x14ac:dyDescent="0.25">
      <c r="A74" s="15"/>
      <c r="B74" s="15"/>
      <c r="C74" s="15"/>
      <c r="D74" s="15"/>
      <c r="E74" s="15"/>
      <c r="F74" s="15"/>
      <c r="G74" s="15"/>
      <c r="H74" s="15"/>
      <c r="I74" s="15"/>
      <c r="J74" s="15"/>
      <c r="K74" s="15"/>
    </row>
    <row r="75" spans="1:19" ht="13.15" customHeight="1" x14ac:dyDescent="0.25">
      <c r="A75" s="15"/>
      <c r="B75" s="15"/>
      <c r="C75" s="15"/>
      <c r="D75" s="15"/>
      <c r="E75" s="15"/>
      <c r="F75" s="15"/>
      <c r="G75" s="15"/>
      <c r="H75" s="15"/>
      <c r="I75" s="15"/>
      <c r="J75" s="15"/>
      <c r="K75" s="15"/>
    </row>
    <row r="76" spans="1:19" ht="13.15" customHeight="1" x14ac:dyDescent="0.25">
      <c r="A76" s="15"/>
      <c r="B76" s="15"/>
      <c r="C76" s="15"/>
      <c r="D76" s="15"/>
      <c r="E76" s="15"/>
      <c r="F76" s="15"/>
      <c r="G76" s="15"/>
      <c r="H76" s="15"/>
      <c r="I76" s="15"/>
      <c r="J76" s="15"/>
      <c r="K76" s="15"/>
    </row>
    <row r="77" spans="1:19" ht="13.15" customHeight="1" x14ac:dyDescent="0.25">
      <c r="A77" s="15"/>
      <c r="B77" s="15"/>
      <c r="C77" s="15"/>
      <c r="D77" s="15"/>
      <c r="E77" s="15"/>
      <c r="F77" s="15"/>
      <c r="G77" s="15"/>
      <c r="H77" s="15"/>
      <c r="I77" s="15"/>
      <c r="J77" s="15"/>
      <c r="K77" s="15"/>
    </row>
    <row r="78" spans="1:19" ht="13.15" customHeight="1" x14ac:dyDescent="0.25">
      <c r="A78" s="15"/>
      <c r="B78" s="15"/>
      <c r="C78" s="15"/>
      <c r="D78" s="15"/>
      <c r="E78" s="15"/>
      <c r="F78" s="15"/>
      <c r="G78" s="15"/>
      <c r="H78" s="15"/>
      <c r="I78" s="15"/>
      <c r="J78" s="15"/>
      <c r="K78" s="15"/>
    </row>
    <row r="79" spans="1:19" ht="13.15" customHeight="1" x14ac:dyDescent="0.25">
      <c r="A79" s="15"/>
      <c r="B79" s="15"/>
      <c r="C79" s="15"/>
      <c r="D79" s="15"/>
      <c r="E79" s="15"/>
      <c r="F79" s="15"/>
      <c r="G79" s="15"/>
      <c r="H79" s="15"/>
      <c r="I79" s="15"/>
      <c r="J79" s="15"/>
      <c r="K79" s="15"/>
    </row>
    <row r="80" spans="1:19" ht="13.15" customHeight="1" x14ac:dyDescent="0.25">
      <c r="A80" s="15"/>
      <c r="B80" s="15"/>
      <c r="C80" s="15"/>
      <c r="D80" s="15"/>
      <c r="E80" s="15"/>
      <c r="F80" s="15"/>
      <c r="G80" s="15"/>
      <c r="H80" s="15"/>
      <c r="I80" s="15"/>
      <c r="J80" s="15"/>
      <c r="K80" s="15"/>
    </row>
    <row r="81" spans="1:11" ht="13.15" customHeight="1" x14ac:dyDescent="0.25">
      <c r="A81" s="15"/>
      <c r="B81" s="15"/>
      <c r="C81" s="15"/>
      <c r="D81" s="15"/>
      <c r="E81" s="15"/>
      <c r="F81" s="15"/>
      <c r="G81" s="15"/>
      <c r="H81" s="15"/>
      <c r="I81" s="15"/>
      <c r="J81" s="15"/>
      <c r="K81" s="15"/>
    </row>
    <row r="82" spans="1:11" ht="13.15" customHeight="1" x14ac:dyDescent="0.25">
      <c r="A82" s="15"/>
      <c r="B82" s="15"/>
      <c r="C82" s="15"/>
      <c r="D82" s="15"/>
      <c r="E82" s="15"/>
      <c r="F82" s="15"/>
      <c r="G82" s="15"/>
      <c r="H82" s="15"/>
      <c r="I82" s="15"/>
      <c r="J82" s="15"/>
      <c r="K82" s="15"/>
    </row>
    <row r="83" spans="1:11" ht="13.15" customHeight="1" x14ac:dyDescent="0.25">
      <c r="A83" s="15"/>
      <c r="B83" s="15"/>
      <c r="C83" s="15"/>
      <c r="D83" s="15"/>
      <c r="E83" s="15"/>
      <c r="F83" s="15"/>
      <c r="G83" s="15"/>
      <c r="H83" s="15"/>
      <c r="I83" s="15"/>
      <c r="J83" s="15"/>
      <c r="K83" s="15"/>
    </row>
    <row r="84" spans="1:11" ht="13.15" customHeight="1" x14ac:dyDescent="0.25">
      <c r="A84" s="15"/>
      <c r="B84" s="15"/>
      <c r="C84" s="15"/>
      <c r="D84" s="15"/>
      <c r="E84" s="15"/>
      <c r="F84" s="15"/>
      <c r="G84" s="15"/>
      <c r="H84" s="15"/>
      <c r="I84" s="15"/>
      <c r="J84" s="15"/>
      <c r="K84" s="15"/>
    </row>
    <row r="85" spans="1:11" ht="13.15" customHeight="1" x14ac:dyDescent="0.25">
      <c r="A85" s="15"/>
      <c r="B85" s="15"/>
      <c r="C85" s="15"/>
      <c r="D85" s="15"/>
      <c r="E85" s="15"/>
      <c r="F85" s="15"/>
      <c r="G85" s="15"/>
      <c r="H85" s="15"/>
      <c r="I85" s="15"/>
      <c r="J85" s="15"/>
      <c r="K85" s="15"/>
    </row>
    <row r="86" spans="1:11" ht="13.15" customHeight="1" x14ac:dyDescent="0.25">
      <c r="A86" s="15"/>
      <c r="B86" s="15"/>
      <c r="C86" s="15"/>
      <c r="D86" s="15"/>
      <c r="E86" s="15"/>
      <c r="F86" s="15"/>
      <c r="G86" s="15"/>
      <c r="H86" s="15"/>
      <c r="I86" s="15"/>
      <c r="J86" s="15"/>
      <c r="K86" s="15"/>
    </row>
    <row r="87" spans="1:11" ht="13.15" customHeight="1" x14ac:dyDescent="0.25"/>
    <row r="88" spans="1:11" ht="13.15" customHeight="1" x14ac:dyDescent="0.25"/>
    <row r="89" spans="1:11" ht="13.15"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789E3-8094-4A88-81B1-E39ABF603DD9}">
  <dimension ref="A1:G7"/>
  <sheetViews>
    <sheetView workbookViewId="0">
      <selection activeCell="D12" sqref="A1:XFD1048576"/>
    </sheetView>
  </sheetViews>
  <sheetFormatPr baseColWidth="10" defaultColWidth="0" defaultRowHeight="15" customHeight="1" zeroHeight="1" x14ac:dyDescent="0.25"/>
  <cols>
    <col min="1" max="7" width="11.5703125" customWidth="1"/>
    <col min="8" max="16384" width="11.5703125" hidden="1"/>
  </cols>
  <sheetData>
    <row r="1" customFormat="1" x14ac:dyDescent="0.25"/>
    <row r="2" customFormat="1" x14ac:dyDescent="0.25"/>
    <row r="3" customFormat="1" x14ac:dyDescent="0.25"/>
    <row r="4" customFormat="1" x14ac:dyDescent="0.25"/>
    <row r="5" customFormat="1" x14ac:dyDescent="0.25"/>
    <row r="6" customFormat="1" x14ac:dyDescent="0.25"/>
    <row r="7" customFormat="1"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E019F-B73E-4303-8E84-A1794D43883E}">
  <dimension ref="A1:H342"/>
  <sheetViews>
    <sheetView tabSelected="1" workbookViewId="0">
      <selection activeCell="D9" sqref="D9"/>
    </sheetView>
  </sheetViews>
  <sheetFormatPr baseColWidth="10" defaultRowHeight="15" x14ac:dyDescent="0.25"/>
  <cols>
    <col min="1" max="1" width="13.5703125" customWidth="1"/>
    <col min="2" max="2" width="38.5703125" customWidth="1"/>
    <col min="3" max="8" width="20" customWidth="1"/>
  </cols>
  <sheetData>
    <row r="1" spans="1:8" x14ac:dyDescent="0.25">
      <c r="A1" s="659" t="str">
        <f>"BALANCE "&amp;[1]IDENTIFICATION!H7</f>
        <v>BALANCE 2025</v>
      </c>
      <c r="B1" s="659"/>
      <c r="C1" s="659"/>
      <c r="D1" s="659"/>
      <c r="E1" s="659"/>
      <c r="F1" s="659"/>
      <c r="G1" s="659"/>
      <c r="H1" s="659"/>
    </row>
    <row r="2" spans="1:8" ht="14.45" customHeight="1" x14ac:dyDescent="0.25">
      <c r="A2" s="17"/>
      <c r="B2" s="18"/>
      <c r="C2" s="660" t="s">
        <v>43</v>
      </c>
      <c r="D2" s="660"/>
      <c r="E2" s="660" t="s">
        <v>44</v>
      </c>
      <c r="F2" s="660"/>
      <c r="G2" s="660" t="s">
        <v>45</v>
      </c>
      <c r="H2" s="660"/>
    </row>
    <row r="3" spans="1:8" ht="35.450000000000003" customHeight="1" x14ac:dyDescent="0.25">
      <c r="A3" s="19" t="s">
        <v>46</v>
      </c>
      <c r="B3" s="20" t="s">
        <v>47</v>
      </c>
      <c r="C3" s="21" t="s">
        <v>48</v>
      </c>
      <c r="D3" s="21" t="s">
        <v>49</v>
      </c>
      <c r="E3" s="21" t="s">
        <v>50</v>
      </c>
      <c r="F3" s="21" t="s">
        <v>51</v>
      </c>
      <c r="G3" s="21" t="s">
        <v>52</v>
      </c>
      <c r="H3" s="21" t="s">
        <v>53</v>
      </c>
    </row>
    <row r="4" spans="1:8" x14ac:dyDescent="0.25">
      <c r="A4">
        <v>101300</v>
      </c>
      <c r="B4" t="s">
        <v>1674</v>
      </c>
      <c r="F4" s="1468">
        <v>10100000000</v>
      </c>
      <c r="H4" s="1468">
        <v>10100000000</v>
      </c>
    </row>
    <row r="5" spans="1:8" x14ac:dyDescent="0.25">
      <c r="A5">
        <v>120000</v>
      </c>
      <c r="B5" t="s">
        <v>1675</v>
      </c>
      <c r="F5" s="1468">
        <v>213955132</v>
      </c>
      <c r="H5" s="1468">
        <v>213955132</v>
      </c>
    </row>
    <row r="6" spans="1:8" x14ac:dyDescent="0.25">
      <c r="A6">
        <v>129100</v>
      </c>
      <c r="B6">
        <v>129100</v>
      </c>
      <c r="E6" s="1468">
        <v>20055904</v>
      </c>
      <c r="G6" s="1468">
        <v>20055904</v>
      </c>
    </row>
    <row r="7" spans="1:8" x14ac:dyDescent="0.25">
      <c r="A7">
        <v>162010</v>
      </c>
      <c r="B7">
        <v>162010</v>
      </c>
    </row>
    <row r="8" spans="1:8" x14ac:dyDescent="0.25">
      <c r="A8">
        <v>162020</v>
      </c>
      <c r="B8">
        <v>162020</v>
      </c>
      <c r="F8" s="1468">
        <v>13849250000</v>
      </c>
      <c r="H8" s="1468">
        <v>13849250000</v>
      </c>
    </row>
    <row r="9" spans="1:8" x14ac:dyDescent="0.25">
      <c r="A9">
        <v>162030</v>
      </c>
      <c r="B9">
        <v>162030</v>
      </c>
      <c r="F9" s="1468">
        <v>3413229052</v>
      </c>
      <c r="H9" s="1468">
        <v>3413229052</v>
      </c>
    </row>
    <row r="10" spans="1:8" x14ac:dyDescent="0.25">
      <c r="A10">
        <v>212200</v>
      </c>
      <c r="B10">
        <v>212200</v>
      </c>
      <c r="E10" s="1468">
        <v>5753231</v>
      </c>
      <c r="G10" s="1468">
        <v>5753231</v>
      </c>
    </row>
    <row r="11" spans="1:8" x14ac:dyDescent="0.25">
      <c r="A11">
        <v>213100</v>
      </c>
      <c r="B11" t="s">
        <v>1676</v>
      </c>
      <c r="E11" s="1468">
        <v>64245912</v>
      </c>
      <c r="G11" s="1468">
        <v>64245912</v>
      </c>
    </row>
    <row r="12" spans="1:8" x14ac:dyDescent="0.25">
      <c r="A12">
        <v>221800</v>
      </c>
      <c r="B12">
        <v>221800</v>
      </c>
      <c r="E12" s="1468">
        <v>962734139</v>
      </c>
      <c r="G12" s="1468">
        <v>962734139</v>
      </c>
    </row>
    <row r="13" spans="1:8" x14ac:dyDescent="0.25">
      <c r="A13">
        <v>222800</v>
      </c>
      <c r="B13">
        <v>222800</v>
      </c>
      <c r="E13" s="1468">
        <v>565656000</v>
      </c>
      <c r="G13" s="1468">
        <v>565656000</v>
      </c>
    </row>
    <row r="14" spans="1:8" x14ac:dyDescent="0.25">
      <c r="A14">
        <v>223800</v>
      </c>
      <c r="B14">
        <v>223800</v>
      </c>
      <c r="E14" s="1468">
        <v>44813450</v>
      </c>
      <c r="G14" s="1468">
        <v>44813450</v>
      </c>
    </row>
    <row r="15" spans="1:8" x14ac:dyDescent="0.25">
      <c r="A15">
        <v>231100</v>
      </c>
      <c r="B15">
        <v>231100</v>
      </c>
      <c r="E15" s="1468">
        <v>1050000</v>
      </c>
      <c r="G15" s="1468">
        <v>1050000</v>
      </c>
    </row>
    <row r="16" spans="1:8" x14ac:dyDescent="0.25">
      <c r="A16">
        <v>231102</v>
      </c>
      <c r="B16">
        <v>231102</v>
      </c>
      <c r="E16" s="1468">
        <v>1444235625</v>
      </c>
      <c r="G16" s="1468">
        <v>1444235625</v>
      </c>
    </row>
    <row r="17" spans="1:8" x14ac:dyDescent="0.25">
      <c r="A17">
        <v>231103</v>
      </c>
      <c r="B17">
        <v>231103</v>
      </c>
      <c r="E17" s="1468">
        <v>16501045</v>
      </c>
      <c r="G17" s="1468">
        <v>16501045</v>
      </c>
    </row>
    <row r="18" spans="1:8" x14ac:dyDescent="0.25">
      <c r="A18">
        <v>231105</v>
      </c>
      <c r="B18">
        <v>231105</v>
      </c>
      <c r="F18" s="1468">
        <v>1420580</v>
      </c>
      <c r="H18" s="1468">
        <v>1420580</v>
      </c>
    </row>
    <row r="19" spans="1:8" x14ac:dyDescent="0.25">
      <c r="A19">
        <v>231106</v>
      </c>
      <c r="B19">
        <v>231106</v>
      </c>
      <c r="E19" s="1468">
        <v>334054688</v>
      </c>
      <c r="G19" s="1468">
        <v>334054688</v>
      </c>
    </row>
    <row r="20" spans="1:8" x14ac:dyDescent="0.25">
      <c r="A20">
        <v>231108</v>
      </c>
      <c r="B20">
        <v>231108</v>
      </c>
      <c r="E20" s="1468">
        <v>159646906</v>
      </c>
      <c r="G20" s="1468">
        <v>159646906</v>
      </c>
    </row>
    <row r="21" spans="1:8" x14ac:dyDescent="0.25">
      <c r="A21">
        <v>231109</v>
      </c>
      <c r="B21">
        <v>231109</v>
      </c>
      <c r="E21" s="1468">
        <v>998913888</v>
      </c>
      <c r="G21" s="1468">
        <v>998913888</v>
      </c>
    </row>
    <row r="22" spans="1:8" x14ac:dyDescent="0.25">
      <c r="A22">
        <v>231301</v>
      </c>
      <c r="B22">
        <v>231301</v>
      </c>
      <c r="E22" s="1468">
        <v>244245977</v>
      </c>
      <c r="G22" s="1468">
        <v>244245977</v>
      </c>
    </row>
    <row r="23" spans="1:8" x14ac:dyDescent="0.25">
      <c r="A23">
        <v>231302</v>
      </c>
      <c r="B23">
        <v>231302</v>
      </c>
      <c r="E23" s="1468">
        <v>48657553</v>
      </c>
      <c r="G23" s="1468">
        <v>48657553</v>
      </c>
    </row>
    <row r="24" spans="1:8" x14ac:dyDescent="0.25">
      <c r="A24">
        <v>231303</v>
      </c>
      <c r="B24">
        <v>231303</v>
      </c>
      <c r="E24" s="1468">
        <v>1975700</v>
      </c>
      <c r="G24" s="1468">
        <v>1975700</v>
      </c>
    </row>
    <row r="25" spans="1:8" x14ac:dyDescent="0.25">
      <c r="A25">
        <v>233000</v>
      </c>
      <c r="B25">
        <v>233000</v>
      </c>
      <c r="E25" s="1468">
        <v>55537500</v>
      </c>
      <c r="G25" s="1468">
        <v>55537500</v>
      </c>
    </row>
    <row r="26" spans="1:8" x14ac:dyDescent="0.25">
      <c r="A26">
        <v>233100</v>
      </c>
      <c r="B26">
        <v>233100</v>
      </c>
      <c r="E26" s="1468">
        <v>3218136</v>
      </c>
      <c r="G26" s="1468">
        <v>3218136</v>
      </c>
    </row>
    <row r="27" spans="1:8" x14ac:dyDescent="0.25">
      <c r="A27">
        <v>233800</v>
      </c>
      <c r="B27">
        <v>233800</v>
      </c>
      <c r="E27" s="1468">
        <v>48275500</v>
      </c>
      <c r="G27" s="1468">
        <v>48275500</v>
      </c>
    </row>
    <row r="28" spans="1:8" x14ac:dyDescent="0.25">
      <c r="A28">
        <v>233801</v>
      </c>
      <c r="B28">
        <v>233801</v>
      </c>
      <c r="E28" s="1468">
        <v>435000</v>
      </c>
      <c r="G28" s="1468">
        <v>435000</v>
      </c>
    </row>
    <row r="29" spans="1:8" x14ac:dyDescent="0.25">
      <c r="A29">
        <v>234000</v>
      </c>
      <c r="B29">
        <v>234000</v>
      </c>
      <c r="E29" s="1468">
        <v>275830069</v>
      </c>
      <c r="G29" s="1468">
        <v>275830069</v>
      </c>
    </row>
    <row r="30" spans="1:8" x14ac:dyDescent="0.25">
      <c r="A30">
        <v>234102</v>
      </c>
      <c r="B30">
        <v>234102</v>
      </c>
      <c r="E30" s="1468">
        <v>419812480</v>
      </c>
      <c r="G30" s="1468">
        <v>419812480</v>
      </c>
    </row>
    <row r="31" spans="1:8" x14ac:dyDescent="0.25">
      <c r="A31">
        <v>234105</v>
      </c>
      <c r="B31">
        <v>234105</v>
      </c>
      <c r="E31" s="1468">
        <v>3750200531</v>
      </c>
      <c r="G31" s="1468">
        <v>3750200531</v>
      </c>
    </row>
    <row r="32" spans="1:8" x14ac:dyDescent="0.25">
      <c r="A32">
        <v>234107</v>
      </c>
      <c r="B32">
        <v>234107</v>
      </c>
      <c r="E32" s="1468">
        <v>361303936</v>
      </c>
      <c r="G32" s="1468">
        <v>361303936</v>
      </c>
    </row>
    <row r="33" spans="1:8" x14ac:dyDescent="0.25">
      <c r="A33">
        <v>234108</v>
      </c>
      <c r="B33">
        <v>234108</v>
      </c>
      <c r="E33" s="1468">
        <v>334246609</v>
      </c>
      <c r="G33" s="1468">
        <v>334246609</v>
      </c>
    </row>
    <row r="34" spans="1:8" x14ac:dyDescent="0.25">
      <c r="A34">
        <v>234112</v>
      </c>
      <c r="B34">
        <v>234112</v>
      </c>
      <c r="E34" s="1468">
        <v>426851125</v>
      </c>
      <c r="G34" s="1468">
        <v>426851125</v>
      </c>
    </row>
    <row r="35" spans="1:8" x14ac:dyDescent="0.25">
      <c r="A35">
        <v>234500</v>
      </c>
      <c r="B35">
        <v>234500</v>
      </c>
      <c r="E35" s="1468">
        <v>23302676</v>
      </c>
      <c r="G35" s="1468">
        <v>23302676</v>
      </c>
    </row>
    <row r="36" spans="1:8" x14ac:dyDescent="0.25">
      <c r="A36">
        <v>235800</v>
      </c>
      <c r="B36">
        <v>235800</v>
      </c>
      <c r="E36" s="1468">
        <v>8764000</v>
      </c>
      <c r="G36" s="1468">
        <v>8764000</v>
      </c>
    </row>
    <row r="37" spans="1:8" x14ac:dyDescent="0.25">
      <c r="A37">
        <v>239000</v>
      </c>
      <c r="B37">
        <v>239000</v>
      </c>
      <c r="E37" s="1468">
        <v>430000</v>
      </c>
      <c r="G37" s="1468">
        <v>430000</v>
      </c>
    </row>
    <row r="38" spans="1:8" x14ac:dyDescent="0.25">
      <c r="A38">
        <v>239100</v>
      </c>
      <c r="B38">
        <v>239100</v>
      </c>
      <c r="E38" s="1468">
        <v>320032719</v>
      </c>
      <c r="G38" s="1468">
        <v>320032719</v>
      </c>
    </row>
    <row r="39" spans="1:8" x14ac:dyDescent="0.25">
      <c r="A39">
        <v>239101</v>
      </c>
      <c r="B39">
        <v>239101</v>
      </c>
      <c r="E39" s="1468">
        <v>17764585</v>
      </c>
      <c r="G39" s="1468">
        <v>17764585</v>
      </c>
    </row>
    <row r="40" spans="1:8" x14ac:dyDescent="0.25">
      <c r="A40">
        <v>239102</v>
      </c>
      <c r="B40">
        <v>239102</v>
      </c>
      <c r="F40" s="1468">
        <v>2471595</v>
      </c>
      <c r="H40" s="1468">
        <v>2471595</v>
      </c>
    </row>
    <row r="41" spans="1:8" x14ac:dyDescent="0.25">
      <c r="A41">
        <v>239103</v>
      </c>
      <c r="B41">
        <v>239103</v>
      </c>
      <c r="E41" s="1468">
        <v>2064250</v>
      </c>
      <c r="G41" s="1468">
        <v>2064250</v>
      </c>
    </row>
    <row r="42" spans="1:8" x14ac:dyDescent="0.25">
      <c r="A42">
        <v>239104</v>
      </c>
      <c r="B42">
        <v>239104</v>
      </c>
      <c r="F42" s="1468">
        <v>490000</v>
      </c>
      <c r="H42" s="1468">
        <v>490000</v>
      </c>
    </row>
    <row r="43" spans="1:8" x14ac:dyDescent="0.25">
      <c r="A43">
        <v>239200</v>
      </c>
      <c r="B43">
        <v>239200</v>
      </c>
      <c r="E43" s="1468">
        <v>1252453866</v>
      </c>
      <c r="G43" s="1468">
        <v>1252453866</v>
      </c>
    </row>
    <row r="44" spans="1:8" x14ac:dyDescent="0.25">
      <c r="A44">
        <v>239201</v>
      </c>
      <c r="B44">
        <v>239201</v>
      </c>
      <c r="E44" s="1468">
        <v>298617865</v>
      </c>
      <c r="G44" s="1468">
        <v>298617865</v>
      </c>
    </row>
    <row r="45" spans="1:8" x14ac:dyDescent="0.25">
      <c r="A45">
        <v>239202</v>
      </c>
      <c r="B45">
        <v>239202</v>
      </c>
      <c r="E45" s="1468">
        <v>810595067</v>
      </c>
      <c r="G45" s="1468">
        <v>810595067</v>
      </c>
    </row>
    <row r="46" spans="1:8" x14ac:dyDescent="0.25">
      <c r="A46">
        <v>239204</v>
      </c>
      <c r="B46">
        <v>239204</v>
      </c>
      <c r="E46" s="1468">
        <v>91833980</v>
      </c>
      <c r="G46" s="1468">
        <v>91833980</v>
      </c>
    </row>
    <row r="47" spans="1:8" x14ac:dyDescent="0.25">
      <c r="A47">
        <v>239206</v>
      </c>
      <c r="B47">
        <v>239206</v>
      </c>
      <c r="E47" s="1468">
        <v>196787100</v>
      </c>
      <c r="G47" s="1468">
        <v>196787100</v>
      </c>
    </row>
    <row r="48" spans="1:8" x14ac:dyDescent="0.25">
      <c r="A48">
        <v>239209</v>
      </c>
      <c r="B48">
        <v>239209</v>
      </c>
      <c r="E48" s="1468">
        <v>1119425416</v>
      </c>
      <c r="G48" s="1468">
        <v>1119425416</v>
      </c>
    </row>
    <row r="49" spans="1:8" x14ac:dyDescent="0.25">
      <c r="A49">
        <v>239210</v>
      </c>
      <c r="B49">
        <v>239210</v>
      </c>
      <c r="E49" s="1468">
        <v>993580477</v>
      </c>
      <c r="G49" s="1468">
        <v>993580477</v>
      </c>
    </row>
    <row r="50" spans="1:8" x14ac:dyDescent="0.25">
      <c r="A50">
        <v>239211</v>
      </c>
      <c r="B50">
        <v>239211</v>
      </c>
      <c r="E50" s="1468">
        <v>170548820</v>
      </c>
      <c r="G50" s="1468">
        <v>170548820</v>
      </c>
    </row>
    <row r="51" spans="1:8" x14ac:dyDescent="0.25">
      <c r="A51">
        <v>239212</v>
      </c>
      <c r="B51">
        <v>239212</v>
      </c>
      <c r="E51" s="1468">
        <v>2902609725</v>
      </c>
      <c r="G51" s="1468">
        <v>2902609725</v>
      </c>
    </row>
    <row r="52" spans="1:8" x14ac:dyDescent="0.25">
      <c r="A52">
        <v>239216</v>
      </c>
      <c r="B52">
        <v>239216</v>
      </c>
      <c r="E52" s="1468">
        <v>1200000</v>
      </c>
      <c r="G52" s="1468">
        <v>1200000</v>
      </c>
    </row>
    <row r="53" spans="1:8" x14ac:dyDescent="0.25">
      <c r="A53">
        <v>239217</v>
      </c>
      <c r="B53">
        <v>239217</v>
      </c>
      <c r="E53" s="1468">
        <v>678518693</v>
      </c>
      <c r="G53" s="1468">
        <v>678518693</v>
      </c>
    </row>
    <row r="54" spans="1:8" x14ac:dyDescent="0.25">
      <c r="A54">
        <v>239218</v>
      </c>
      <c r="B54">
        <v>239218</v>
      </c>
      <c r="E54" s="1468">
        <v>25630000</v>
      </c>
      <c r="G54" s="1468">
        <v>25630000</v>
      </c>
    </row>
    <row r="55" spans="1:8" x14ac:dyDescent="0.25">
      <c r="A55">
        <v>239219</v>
      </c>
      <c r="B55">
        <v>239219</v>
      </c>
      <c r="E55" s="1468">
        <v>239087232</v>
      </c>
      <c r="G55" s="1468">
        <v>239087232</v>
      </c>
    </row>
    <row r="56" spans="1:8" x14ac:dyDescent="0.25">
      <c r="A56">
        <v>239220</v>
      </c>
      <c r="B56">
        <v>239220</v>
      </c>
      <c r="E56" s="1468">
        <v>6300000</v>
      </c>
      <c r="G56" s="1468">
        <v>6300000</v>
      </c>
    </row>
    <row r="57" spans="1:8" x14ac:dyDescent="0.25">
      <c r="A57">
        <v>239221</v>
      </c>
      <c r="B57">
        <v>239221</v>
      </c>
      <c r="E57" s="1468">
        <v>15649400</v>
      </c>
      <c r="G57" s="1468">
        <v>15649400</v>
      </c>
    </row>
    <row r="58" spans="1:8" x14ac:dyDescent="0.25">
      <c r="A58">
        <v>239300</v>
      </c>
      <c r="B58">
        <v>239300</v>
      </c>
      <c r="E58" s="1468">
        <v>7731530</v>
      </c>
      <c r="G58" s="1468">
        <v>7731530</v>
      </c>
    </row>
    <row r="59" spans="1:8" x14ac:dyDescent="0.25">
      <c r="A59">
        <v>239301</v>
      </c>
      <c r="B59">
        <v>239301</v>
      </c>
      <c r="E59" s="1468">
        <v>241256862</v>
      </c>
      <c r="G59" s="1468">
        <v>241256862</v>
      </c>
    </row>
    <row r="60" spans="1:8" x14ac:dyDescent="0.25">
      <c r="A60">
        <v>239302</v>
      </c>
      <c r="B60">
        <v>239302</v>
      </c>
      <c r="E60" s="1468">
        <v>827850945</v>
      </c>
      <c r="G60" s="1468">
        <v>827850945</v>
      </c>
    </row>
    <row r="61" spans="1:8" x14ac:dyDescent="0.25">
      <c r="A61">
        <v>239303</v>
      </c>
      <c r="B61">
        <v>239303</v>
      </c>
      <c r="E61" s="1468">
        <v>108299673</v>
      </c>
      <c r="G61" s="1468">
        <v>108299673</v>
      </c>
    </row>
    <row r="62" spans="1:8" x14ac:dyDescent="0.25">
      <c r="A62">
        <v>239305</v>
      </c>
      <c r="B62">
        <v>239305</v>
      </c>
      <c r="F62" s="1468">
        <v>1192800</v>
      </c>
      <c r="H62" s="1468">
        <v>1192800</v>
      </c>
    </row>
    <row r="63" spans="1:8" x14ac:dyDescent="0.25">
      <c r="A63">
        <v>239306</v>
      </c>
      <c r="B63">
        <v>239306</v>
      </c>
      <c r="E63" s="1468">
        <v>11250000</v>
      </c>
      <c r="G63" s="1468">
        <v>11250000</v>
      </c>
    </row>
    <row r="64" spans="1:8" x14ac:dyDescent="0.25">
      <c r="A64">
        <v>239307</v>
      </c>
      <c r="B64">
        <v>239307</v>
      </c>
      <c r="E64" s="1468">
        <v>2564580</v>
      </c>
      <c r="G64" s="1468">
        <v>2564580</v>
      </c>
    </row>
    <row r="65" spans="1:7" x14ac:dyDescent="0.25">
      <c r="A65">
        <v>239308</v>
      </c>
      <c r="B65">
        <v>239308</v>
      </c>
      <c r="E65" s="1468">
        <v>4100000</v>
      </c>
      <c r="G65" s="1468">
        <v>4100000</v>
      </c>
    </row>
    <row r="66" spans="1:7" x14ac:dyDescent="0.25">
      <c r="A66">
        <v>239309</v>
      </c>
      <c r="B66">
        <v>239309</v>
      </c>
      <c r="E66" s="1468">
        <v>260000</v>
      </c>
      <c r="G66" s="1468">
        <v>260000</v>
      </c>
    </row>
    <row r="67" spans="1:7" x14ac:dyDescent="0.25">
      <c r="A67">
        <v>239310</v>
      </c>
      <c r="B67">
        <v>239310</v>
      </c>
      <c r="E67" s="1468">
        <v>1430658002</v>
      </c>
      <c r="G67" s="1468">
        <v>1430658002</v>
      </c>
    </row>
    <row r="68" spans="1:7" x14ac:dyDescent="0.25">
      <c r="A68">
        <v>239311</v>
      </c>
      <c r="B68">
        <v>239311</v>
      </c>
      <c r="E68" s="1468">
        <v>305229683</v>
      </c>
      <c r="G68" s="1468">
        <v>305229683</v>
      </c>
    </row>
    <row r="69" spans="1:7" x14ac:dyDescent="0.25">
      <c r="A69">
        <v>239400</v>
      </c>
      <c r="B69">
        <v>239400</v>
      </c>
      <c r="E69" s="1468">
        <v>82813701</v>
      </c>
      <c r="G69" s="1468">
        <v>82813701</v>
      </c>
    </row>
    <row r="70" spans="1:7" x14ac:dyDescent="0.25">
      <c r="A70">
        <v>239800</v>
      </c>
      <c r="B70">
        <v>239800</v>
      </c>
      <c r="E70" s="1468">
        <v>5576977</v>
      </c>
      <c r="G70" s="1468">
        <v>5576977</v>
      </c>
    </row>
    <row r="71" spans="1:7" x14ac:dyDescent="0.25">
      <c r="A71">
        <v>241000</v>
      </c>
      <c r="B71">
        <v>241000</v>
      </c>
      <c r="E71" s="1468">
        <v>88072000</v>
      </c>
      <c r="G71" s="1468">
        <v>88072000</v>
      </c>
    </row>
    <row r="72" spans="1:7" x14ac:dyDescent="0.25">
      <c r="A72">
        <v>241101</v>
      </c>
      <c r="B72">
        <v>241101</v>
      </c>
      <c r="E72" s="1468">
        <v>991321</v>
      </c>
      <c r="G72" s="1468">
        <v>991321</v>
      </c>
    </row>
    <row r="73" spans="1:7" x14ac:dyDescent="0.25">
      <c r="A73">
        <v>241102</v>
      </c>
      <c r="B73">
        <v>241102</v>
      </c>
      <c r="E73" s="1468">
        <v>30141000</v>
      </c>
      <c r="G73" s="1468">
        <v>30141000</v>
      </c>
    </row>
    <row r="74" spans="1:7" x14ac:dyDescent="0.25">
      <c r="A74">
        <v>241103</v>
      </c>
      <c r="B74">
        <v>241103</v>
      </c>
      <c r="E74" s="1468">
        <v>40976580</v>
      </c>
      <c r="G74" s="1468">
        <v>40976580</v>
      </c>
    </row>
    <row r="75" spans="1:7" x14ac:dyDescent="0.25">
      <c r="A75">
        <v>241201</v>
      </c>
      <c r="B75">
        <v>241201</v>
      </c>
      <c r="E75" s="1468">
        <v>2390000</v>
      </c>
      <c r="G75" s="1468">
        <v>2390000</v>
      </c>
    </row>
    <row r="76" spans="1:7" x14ac:dyDescent="0.25">
      <c r="A76">
        <v>241302</v>
      </c>
      <c r="B76">
        <v>241302</v>
      </c>
      <c r="E76" s="1468">
        <v>125144033</v>
      </c>
      <c r="G76" s="1468">
        <v>125144033</v>
      </c>
    </row>
    <row r="77" spans="1:7" x14ac:dyDescent="0.25">
      <c r="A77">
        <v>244100</v>
      </c>
      <c r="B77">
        <v>244100</v>
      </c>
      <c r="E77" s="1468">
        <v>7510602</v>
      </c>
      <c r="G77" s="1468">
        <v>7510602</v>
      </c>
    </row>
    <row r="78" spans="1:7" x14ac:dyDescent="0.25">
      <c r="A78">
        <v>244101</v>
      </c>
      <c r="B78">
        <v>244101</v>
      </c>
      <c r="E78" s="1468">
        <v>12206474</v>
      </c>
      <c r="G78" s="1468">
        <v>12206474</v>
      </c>
    </row>
    <row r="79" spans="1:7" x14ac:dyDescent="0.25">
      <c r="A79">
        <v>244200</v>
      </c>
      <c r="B79">
        <v>244200</v>
      </c>
      <c r="E79" s="1468">
        <v>95178317</v>
      </c>
      <c r="G79" s="1468">
        <v>95178317</v>
      </c>
    </row>
    <row r="80" spans="1:7" x14ac:dyDescent="0.25">
      <c r="A80">
        <v>244203</v>
      </c>
      <c r="B80">
        <v>244203</v>
      </c>
      <c r="E80" s="1468">
        <v>1900000</v>
      </c>
      <c r="G80" s="1468">
        <v>1900000</v>
      </c>
    </row>
    <row r="81" spans="1:8" x14ac:dyDescent="0.25">
      <c r="A81">
        <v>244400</v>
      </c>
      <c r="B81">
        <v>244400</v>
      </c>
      <c r="E81" s="1468">
        <v>23913500</v>
      </c>
      <c r="G81" s="1468">
        <v>23913500</v>
      </c>
    </row>
    <row r="82" spans="1:8" x14ac:dyDescent="0.25">
      <c r="A82">
        <v>244500</v>
      </c>
      <c r="B82">
        <v>244500</v>
      </c>
      <c r="E82" s="1468">
        <v>69550782</v>
      </c>
      <c r="G82" s="1468">
        <v>69550782</v>
      </c>
    </row>
    <row r="83" spans="1:8" x14ac:dyDescent="0.25">
      <c r="A83">
        <v>244700</v>
      </c>
      <c r="B83">
        <v>244700</v>
      </c>
      <c r="E83" s="1468">
        <v>740000</v>
      </c>
      <c r="G83" s="1468">
        <v>740000</v>
      </c>
    </row>
    <row r="84" spans="1:8" x14ac:dyDescent="0.25">
      <c r="A84">
        <v>244800</v>
      </c>
      <c r="B84">
        <v>244800</v>
      </c>
      <c r="E84" s="1468">
        <v>4400000</v>
      </c>
      <c r="G84" s="1468">
        <v>4400000</v>
      </c>
    </row>
    <row r="85" spans="1:8" x14ac:dyDescent="0.25">
      <c r="A85">
        <v>245000</v>
      </c>
      <c r="B85">
        <v>245000</v>
      </c>
      <c r="E85" s="1468">
        <v>68723691</v>
      </c>
      <c r="G85" s="1468">
        <v>68723691</v>
      </c>
    </row>
    <row r="86" spans="1:8" x14ac:dyDescent="0.25">
      <c r="A86">
        <v>245100</v>
      </c>
      <c r="B86">
        <v>245100</v>
      </c>
      <c r="E86" s="1468">
        <v>5472446845</v>
      </c>
      <c r="G86" s="1468">
        <v>5472446845</v>
      </c>
    </row>
    <row r="87" spans="1:8" x14ac:dyDescent="0.25">
      <c r="A87">
        <v>252000</v>
      </c>
      <c r="B87">
        <v>252000</v>
      </c>
      <c r="E87" s="1468">
        <v>324618032</v>
      </c>
      <c r="G87" s="1468">
        <v>324618032</v>
      </c>
    </row>
    <row r="88" spans="1:8" x14ac:dyDescent="0.25">
      <c r="A88">
        <v>275100</v>
      </c>
      <c r="B88" t="s">
        <v>1677</v>
      </c>
      <c r="E88" s="1468">
        <v>2275000</v>
      </c>
      <c r="G88" s="1468">
        <v>2275000</v>
      </c>
    </row>
    <row r="89" spans="1:8" x14ac:dyDescent="0.25">
      <c r="A89">
        <v>275800</v>
      </c>
      <c r="B89">
        <v>275800</v>
      </c>
      <c r="E89" s="1468">
        <v>401297176</v>
      </c>
      <c r="G89" s="1468">
        <v>401297176</v>
      </c>
    </row>
    <row r="90" spans="1:8" x14ac:dyDescent="0.25">
      <c r="A90">
        <v>278400</v>
      </c>
      <c r="B90">
        <v>278400</v>
      </c>
      <c r="E90" s="1468">
        <v>2700000000</v>
      </c>
      <c r="G90" s="1468">
        <v>2700000000</v>
      </c>
    </row>
    <row r="91" spans="1:8" x14ac:dyDescent="0.25">
      <c r="A91">
        <v>281000</v>
      </c>
      <c r="B91" t="s">
        <v>1678</v>
      </c>
      <c r="F91" s="1468">
        <v>1687686484</v>
      </c>
      <c r="H91" s="1468">
        <v>1687686484</v>
      </c>
    </row>
    <row r="92" spans="1:8" x14ac:dyDescent="0.25">
      <c r="A92">
        <v>281300</v>
      </c>
      <c r="B92" t="s">
        <v>1679</v>
      </c>
      <c r="F92" s="1468">
        <v>16230977</v>
      </c>
      <c r="H92" s="1468">
        <v>16230977</v>
      </c>
    </row>
    <row r="93" spans="1:8" x14ac:dyDescent="0.25">
      <c r="A93">
        <v>283100</v>
      </c>
      <c r="B93">
        <v>283100</v>
      </c>
      <c r="F93" s="1468">
        <v>138730642</v>
      </c>
      <c r="H93" s="1468">
        <v>138730642</v>
      </c>
    </row>
    <row r="94" spans="1:8" x14ac:dyDescent="0.25">
      <c r="A94">
        <v>283400</v>
      </c>
      <c r="B94">
        <v>283400</v>
      </c>
      <c r="F94" s="1468">
        <v>412613570</v>
      </c>
      <c r="H94" s="1468">
        <v>412613570</v>
      </c>
    </row>
    <row r="95" spans="1:8" x14ac:dyDescent="0.25">
      <c r="A95">
        <v>284100</v>
      </c>
      <c r="B95">
        <v>284100</v>
      </c>
      <c r="F95" s="1468">
        <v>15044968</v>
      </c>
      <c r="H95" s="1468">
        <v>15044968</v>
      </c>
    </row>
    <row r="96" spans="1:8" x14ac:dyDescent="0.25">
      <c r="A96">
        <v>284400</v>
      </c>
      <c r="B96">
        <v>284400</v>
      </c>
      <c r="F96" s="1468">
        <v>17992904</v>
      </c>
      <c r="H96" s="1468">
        <v>17992904</v>
      </c>
    </row>
    <row r="97" spans="1:8" x14ac:dyDescent="0.25">
      <c r="A97">
        <v>284500</v>
      </c>
      <c r="B97">
        <v>284500</v>
      </c>
      <c r="F97" s="1468">
        <v>581355720</v>
      </c>
      <c r="H97" s="1468">
        <v>581355720</v>
      </c>
    </row>
    <row r="98" spans="1:8" x14ac:dyDescent="0.25">
      <c r="A98">
        <v>321001</v>
      </c>
      <c r="B98">
        <v>321001</v>
      </c>
      <c r="E98" s="1468">
        <v>2157422774</v>
      </c>
      <c r="G98" s="1468">
        <v>2157422774</v>
      </c>
    </row>
    <row r="99" spans="1:8" x14ac:dyDescent="0.25">
      <c r="A99">
        <v>321002</v>
      </c>
      <c r="B99">
        <v>321002</v>
      </c>
      <c r="E99" s="1468">
        <v>1130318322</v>
      </c>
      <c r="G99" s="1468">
        <v>1130318322</v>
      </c>
    </row>
    <row r="100" spans="1:8" x14ac:dyDescent="0.25">
      <c r="A100">
        <v>321003</v>
      </c>
      <c r="B100">
        <v>321003</v>
      </c>
      <c r="E100" s="1468">
        <v>3309677</v>
      </c>
      <c r="G100" s="1468">
        <v>3309677</v>
      </c>
    </row>
    <row r="101" spans="1:8" x14ac:dyDescent="0.25">
      <c r="A101">
        <v>321004</v>
      </c>
      <c r="B101">
        <v>321004</v>
      </c>
      <c r="E101" s="1468">
        <v>471926728</v>
      </c>
      <c r="G101" s="1468">
        <v>471926728</v>
      </c>
    </row>
    <row r="102" spans="1:8" x14ac:dyDescent="0.25">
      <c r="A102">
        <v>321005</v>
      </c>
      <c r="B102">
        <v>321005</v>
      </c>
      <c r="E102" s="1468">
        <v>35108405</v>
      </c>
      <c r="G102" s="1468">
        <v>35108405</v>
      </c>
    </row>
    <row r="103" spans="1:8" x14ac:dyDescent="0.25">
      <c r="A103">
        <v>321006</v>
      </c>
      <c r="B103">
        <v>321006</v>
      </c>
      <c r="E103" s="1468">
        <v>29140390</v>
      </c>
      <c r="G103" s="1468">
        <v>29140390</v>
      </c>
    </row>
    <row r="104" spans="1:8" x14ac:dyDescent="0.25">
      <c r="A104">
        <v>338100</v>
      </c>
      <c r="B104">
        <v>338100</v>
      </c>
    </row>
    <row r="105" spans="1:8" x14ac:dyDescent="0.25">
      <c r="A105">
        <v>361000</v>
      </c>
      <c r="B105">
        <v>361000</v>
      </c>
      <c r="E105" s="1468">
        <v>45140418</v>
      </c>
      <c r="G105" s="1468">
        <v>45140418</v>
      </c>
    </row>
    <row r="106" spans="1:8" x14ac:dyDescent="0.25">
      <c r="A106">
        <v>362000</v>
      </c>
      <c r="B106">
        <v>362000</v>
      </c>
      <c r="E106" s="1468">
        <v>70351382</v>
      </c>
      <c r="G106" s="1468">
        <v>70351382</v>
      </c>
    </row>
    <row r="107" spans="1:8" x14ac:dyDescent="0.25">
      <c r="A107">
        <v>382001</v>
      </c>
      <c r="B107">
        <v>382001</v>
      </c>
    </row>
    <row r="108" spans="1:8" x14ac:dyDescent="0.25">
      <c r="A108">
        <v>401100</v>
      </c>
      <c r="B108">
        <v>401100</v>
      </c>
      <c r="F108" s="1468">
        <v>2354489455</v>
      </c>
      <c r="H108" s="1468">
        <v>2354489455</v>
      </c>
    </row>
    <row r="109" spans="1:8" x14ac:dyDescent="0.25">
      <c r="A109">
        <v>401200</v>
      </c>
      <c r="B109">
        <v>401200</v>
      </c>
      <c r="F109" s="1468">
        <v>2511316755</v>
      </c>
      <c r="H109" s="1468">
        <v>2511316755</v>
      </c>
    </row>
    <row r="110" spans="1:8" x14ac:dyDescent="0.25">
      <c r="A110">
        <v>401700</v>
      </c>
      <c r="B110">
        <v>401700</v>
      </c>
      <c r="F110" s="1468">
        <v>8706499</v>
      </c>
      <c r="H110" s="1468">
        <v>8706499</v>
      </c>
    </row>
    <row r="111" spans="1:8" x14ac:dyDescent="0.25">
      <c r="A111">
        <v>408000</v>
      </c>
      <c r="B111" t="s">
        <v>1680</v>
      </c>
    </row>
    <row r="112" spans="1:8" x14ac:dyDescent="0.25">
      <c r="A112">
        <v>408100</v>
      </c>
      <c r="B112" t="s">
        <v>526</v>
      </c>
      <c r="F112" s="1468">
        <v>7298693</v>
      </c>
      <c r="H112" s="1468">
        <v>7298693</v>
      </c>
    </row>
    <row r="113" spans="1:8" x14ac:dyDescent="0.25">
      <c r="A113">
        <v>409100</v>
      </c>
      <c r="B113" t="s">
        <v>1681</v>
      </c>
      <c r="E113" s="1468">
        <v>3011664</v>
      </c>
      <c r="G113" s="1468">
        <v>3011664</v>
      </c>
    </row>
    <row r="114" spans="1:8" x14ac:dyDescent="0.25">
      <c r="A114">
        <v>409110</v>
      </c>
      <c r="B114">
        <v>409110</v>
      </c>
      <c r="E114" s="1468">
        <v>582009649</v>
      </c>
      <c r="G114" s="1468">
        <v>582009649</v>
      </c>
    </row>
    <row r="115" spans="1:8" x14ac:dyDescent="0.25">
      <c r="A115">
        <v>411100</v>
      </c>
      <c r="B115">
        <v>411100</v>
      </c>
      <c r="E115" s="1468">
        <v>637367339</v>
      </c>
      <c r="G115" s="1468">
        <v>637367339</v>
      </c>
    </row>
    <row r="116" spans="1:8" x14ac:dyDescent="0.25">
      <c r="A116">
        <v>415000</v>
      </c>
      <c r="B116">
        <v>415000</v>
      </c>
    </row>
    <row r="117" spans="1:8" x14ac:dyDescent="0.25">
      <c r="A117">
        <v>419100</v>
      </c>
      <c r="B117" t="s">
        <v>1682</v>
      </c>
      <c r="F117" s="1468">
        <v>97144681</v>
      </c>
      <c r="H117" s="1468">
        <v>97144681</v>
      </c>
    </row>
    <row r="118" spans="1:8" x14ac:dyDescent="0.25">
      <c r="A118">
        <v>421000</v>
      </c>
      <c r="B118" t="s">
        <v>1683</v>
      </c>
      <c r="E118" s="1468">
        <v>4677500</v>
      </c>
      <c r="G118" s="1468">
        <v>4677500</v>
      </c>
    </row>
    <row r="119" spans="1:8" x14ac:dyDescent="0.25">
      <c r="A119">
        <v>421004</v>
      </c>
      <c r="B119">
        <v>421004</v>
      </c>
      <c r="E119" s="1468">
        <v>150000</v>
      </c>
      <c r="G119" s="1468">
        <v>150000</v>
      </c>
    </row>
    <row r="120" spans="1:8" x14ac:dyDescent="0.25">
      <c r="A120">
        <v>421007</v>
      </c>
      <c r="B120">
        <v>421007</v>
      </c>
    </row>
    <row r="121" spans="1:8" x14ac:dyDescent="0.25">
      <c r="A121">
        <v>421008</v>
      </c>
      <c r="B121">
        <v>421008</v>
      </c>
    </row>
    <row r="122" spans="1:8" x14ac:dyDescent="0.25">
      <c r="A122">
        <v>421009</v>
      </c>
      <c r="B122">
        <v>421009</v>
      </c>
    </row>
    <row r="123" spans="1:8" x14ac:dyDescent="0.25">
      <c r="A123">
        <v>422000</v>
      </c>
      <c r="B123" t="s">
        <v>1684</v>
      </c>
      <c r="F123" s="1468">
        <v>44500582</v>
      </c>
      <c r="H123" s="1468">
        <v>44500582</v>
      </c>
    </row>
    <row r="124" spans="1:8" x14ac:dyDescent="0.25">
      <c r="A124">
        <v>431300</v>
      </c>
      <c r="B124">
        <v>431300</v>
      </c>
      <c r="F124" s="1468">
        <v>18937492</v>
      </c>
      <c r="H124" s="1468">
        <v>18937492</v>
      </c>
    </row>
    <row r="125" spans="1:8" x14ac:dyDescent="0.25">
      <c r="A125">
        <v>441200</v>
      </c>
      <c r="B125">
        <v>441200</v>
      </c>
    </row>
    <row r="126" spans="1:8" x14ac:dyDescent="0.25">
      <c r="A126">
        <v>442210</v>
      </c>
      <c r="B126">
        <v>442210</v>
      </c>
    </row>
    <row r="127" spans="1:8" x14ac:dyDescent="0.25">
      <c r="A127">
        <v>442600</v>
      </c>
      <c r="B127">
        <v>442600</v>
      </c>
      <c r="E127" s="1468">
        <v>160000</v>
      </c>
      <c r="G127" s="1468">
        <v>160000</v>
      </c>
    </row>
    <row r="128" spans="1:8" x14ac:dyDescent="0.25">
      <c r="A128">
        <v>442800</v>
      </c>
      <c r="B128">
        <v>442800</v>
      </c>
      <c r="F128" s="1468">
        <v>57129250</v>
      </c>
      <c r="H128" s="1468">
        <v>57129250</v>
      </c>
    </row>
    <row r="129" spans="1:8" x14ac:dyDescent="0.25">
      <c r="A129">
        <v>443100</v>
      </c>
      <c r="B129" t="s">
        <v>1685</v>
      </c>
      <c r="F129" s="1468">
        <v>7360</v>
      </c>
      <c r="H129" s="1468">
        <v>7360</v>
      </c>
    </row>
    <row r="130" spans="1:8" x14ac:dyDescent="0.25">
      <c r="A130">
        <v>446000</v>
      </c>
      <c r="B130" t="s">
        <v>1686</v>
      </c>
    </row>
    <row r="131" spans="1:8" x14ac:dyDescent="0.25">
      <c r="A131">
        <v>447200</v>
      </c>
      <c r="B131">
        <v>447200</v>
      </c>
      <c r="F131" s="1468">
        <v>1036260</v>
      </c>
      <c r="H131" s="1468">
        <v>1036260</v>
      </c>
    </row>
    <row r="132" spans="1:8" x14ac:dyDescent="0.25">
      <c r="A132">
        <v>447210</v>
      </c>
      <c r="B132">
        <v>447210</v>
      </c>
      <c r="F132" s="1468">
        <v>10215729</v>
      </c>
      <c r="H132" s="1468">
        <v>10215729</v>
      </c>
    </row>
    <row r="133" spans="1:8" x14ac:dyDescent="0.25">
      <c r="A133">
        <v>447220</v>
      </c>
      <c r="B133">
        <v>447220</v>
      </c>
      <c r="F133" s="1468">
        <v>458903</v>
      </c>
      <c r="H133" s="1468">
        <v>458903</v>
      </c>
    </row>
    <row r="134" spans="1:8" x14ac:dyDescent="0.25">
      <c r="A134">
        <v>447300</v>
      </c>
      <c r="B134">
        <v>447300</v>
      </c>
    </row>
    <row r="135" spans="1:8" x14ac:dyDescent="0.25">
      <c r="A135">
        <v>447810</v>
      </c>
      <c r="B135">
        <v>447810</v>
      </c>
      <c r="F135" s="1468">
        <v>22850651</v>
      </c>
      <c r="H135" s="1468">
        <v>22850651</v>
      </c>
    </row>
    <row r="136" spans="1:8" x14ac:dyDescent="0.25">
      <c r="A136">
        <v>447820</v>
      </c>
      <c r="B136">
        <v>447820</v>
      </c>
      <c r="E136" s="1468">
        <v>147328</v>
      </c>
      <c r="G136" s="1468">
        <v>147328</v>
      </c>
    </row>
    <row r="137" spans="1:8" x14ac:dyDescent="0.25">
      <c r="A137">
        <v>447831</v>
      </c>
      <c r="B137">
        <v>447831</v>
      </c>
      <c r="F137" s="1468">
        <v>1344800</v>
      </c>
      <c r="H137" s="1468">
        <v>1344800</v>
      </c>
    </row>
    <row r="138" spans="1:8" x14ac:dyDescent="0.25">
      <c r="A138">
        <v>447832</v>
      </c>
      <c r="B138">
        <v>447832</v>
      </c>
      <c r="F138" s="1468">
        <v>978380</v>
      </c>
      <c r="H138" s="1468">
        <v>978380</v>
      </c>
    </row>
    <row r="139" spans="1:8" x14ac:dyDescent="0.25">
      <c r="A139">
        <v>447840</v>
      </c>
      <c r="B139">
        <v>447840</v>
      </c>
      <c r="F139" s="1468">
        <v>1491143</v>
      </c>
      <c r="H139" s="1468">
        <v>1491143</v>
      </c>
    </row>
    <row r="140" spans="1:8" x14ac:dyDescent="0.25">
      <c r="A140">
        <v>447850</v>
      </c>
      <c r="B140">
        <v>447850</v>
      </c>
      <c r="F140" s="1468">
        <v>120000</v>
      </c>
      <c r="H140" s="1468">
        <v>120000</v>
      </c>
    </row>
    <row r="141" spans="1:8" x14ac:dyDescent="0.25">
      <c r="A141">
        <v>447880</v>
      </c>
      <c r="B141">
        <v>447880</v>
      </c>
      <c r="E141">
        <v>2</v>
      </c>
      <c r="G141">
        <v>2</v>
      </c>
    </row>
    <row r="142" spans="1:8" x14ac:dyDescent="0.25">
      <c r="A142">
        <v>449200</v>
      </c>
      <c r="B142">
        <v>449200</v>
      </c>
      <c r="E142" s="1468">
        <v>1863014</v>
      </c>
      <c r="G142" s="1468">
        <v>1863014</v>
      </c>
    </row>
    <row r="143" spans="1:8" x14ac:dyDescent="0.25">
      <c r="A143">
        <v>449210</v>
      </c>
      <c r="B143">
        <v>449210</v>
      </c>
    </row>
    <row r="144" spans="1:8" x14ac:dyDescent="0.25">
      <c r="A144">
        <v>449220</v>
      </c>
      <c r="B144">
        <v>449220</v>
      </c>
      <c r="F144" s="1468">
        <v>14684246</v>
      </c>
      <c r="H144" s="1468">
        <v>14684246</v>
      </c>
    </row>
    <row r="145" spans="1:8" x14ac:dyDescent="0.25">
      <c r="A145">
        <v>461341</v>
      </c>
      <c r="B145">
        <v>461341</v>
      </c>
      <c r="E145" s="1468">
        <v>95000000</v>
      </c>
      <c r="G145" s="1468">
        <v>95000000</v>
      </c>
    </row>
    <row r="146" spans="1:8" x14ac:dyDescent="0.25">
      <c r="A146">
        <v>461342</v>
      </c>
      <c r="B146">
        <v>461342</v>
      </c>
      <c r="E146" s="1468">
        <v>98000000</v>
      </c>
      <c r="G146" s="1468">
        <v>98000000</v>
      </c>
    </row>
    <row r="147" spans="1:8" x14ac:dyDescent="0.25">
      <c r="A147">
        <v>462110</v>
      </c>
      <c r="B147">
        <v>462110</v>
      </c>
    </row>
    <row r="148" spans="1:8" x14ac:dyDescent="0.25">
      <c r="A148">
        <v>462120</v>
      </c>
      <c r="B148">
        <v>462120</v>
      </c>
      <c r="E148" s="1468">
        <v>838389</v>
      </c>
      <c r="G148" s="1468">
        <v>838389</v>
      </c>
    </row>
    <row r="149" spans="1:8" x14ac:dyDescent="0.25">
      <c r="A149">
        <v>462140</v>
      </c>
      <c r="B149">
        <v>462140</v>
      </c>
      <c r="F149" s="1468">
        <v>5175054</v>
      </c>
      <c r="H149" s="1468">
        <v>5175054</v>
      </c>
    </row>
    <row r="150" spans="1:8" x14ac:dyDescent="0.25">
      <c r="A150">
        <v>471100</v>
      </c>
      <c r="B150">
        <v>471100</v>
      </c>
      <c r="E150" s="1468">
        <v>274652382</v>
      </c>
      <c r="G150" s="1468">
        <v>274652382</v>
      </c>
    </row>
    <row r="151" spans="1:8" x14ac:dyDescent="0.25">
      <c r="A151">
        <v>471103</v>
      </c>
      <c r="B151">
        <v>471103</v>
      </c>
      <c r="E151" s="1468">
        <v>349719283</v>
      </c>
      <c r="G151" s="1468">
        <v>349719283</v>
      </c>
    </row>
    <row r="152" spans="1:8" x14ac:dyDescent="0.25">
      <c r="A152">
        <v>471104</v>
      </c>
      <c r="B152">
        <v>471104</v>
      </c>
      <c r="E152" s="1468">
        <v>46000000</v>
      </c>
      <c r="G152" s="1468">
        <v>46000000</v>
      </c>
    </row>
    <row r="153" spans="1:8" x14ac:dyDescent="0.25">
      <c r="A153">
        <v>471105</v>
      </c>
      <c r="B153">
        <v>471105</v>
      </c>
      <c r="E153" s="1468">
        <v>72032700</v>
      </c>
      <c r="G153" s="1468">
        <v>72032700</v>
      </c>
    </row>
    <row r="154" spans="1:8" x14ac:dyDescent="0.25">
      <c r="A154">
        <v>471108</v>
      </c>
      <c r="B154">
        <v>471108</v>
      </c>
      <c r="E154" s="1468">
        <v>400800</v>
      </c>
      <c r="G154" s="1468">
        <v>400800</v>
      </c>
    </row>
    <row r="155" spans="1:8" x14ac:dyDescent="0.25">
      <c r="A155">
        <v>471110</v>
      </c>
      <c r="B155">
        <v>471110</v>
      </c>
      <c r="E155" s="1468">
        <v>410000000</v>
      </c>
      <c r="G155" s="1468">
        <v>410000000</v>
      </c>
    </row>
    <row r="156" spans="1:8" x14ac:dyDescent="0.25">
      <c r="A156">
        <v>471120</v>
      </c>
      <c r="B156">
        <v>471120</v>
      </c>
      <c r="E156" s="1468">
        <v>600000</v>
      </c>
      <c r="G156" s="1468">
        <v>600000</v>
      </c>
    </row>
    <row r="157" spans="1:8" x14ac:dyDescent="0.25">
      <c r="A157">
        <v>471200</v>
      </c>
      <c r="B157">
        <v>471200</v>
      </c>
      <c r="F157" s="1468">
        <v>9142500</v>
      </c>
      <c r="H157" s="1468">
        <v>9142500</v>
      </c>
    </row>
    <row r="158" spans="1:8" x14ac:dyDescent="0.25">
      <c r="A158">
        <v>476000</v>
      </c>
      <c r="B158" t="s">
        <v>1687</v>
      </c>
      <c r="E158" s="1468">
        <v>53820660</v>
      </c>
      <c r="G158" s="1468">
        <v>53820660</v>
      </c>
    </row>
    <row r="159" spans="1:8" x14ac:dyDescent="0.25">
      <c r="A159">
        <v>481000</v>
      </c>
      <c r="B159" t="s">
        <v>1688</v>
      </c>
      <c r="F159" s="1468">
        <v>1599690217</v>
      </c>
      <c r="H159" s="1468">
        <v>1599690217</v>
      </c>
    </row>
    <row r="160" spans="1:8" x14ac:dyDescent="0.25">
      <c r="A160">
        <v>481700</v>
      </c>
      <c r="B160">
        <v>481700</v>
      </c>
      <c r="F160" s="1468">
        <v>2416150</v>
      </c>
      <c r="H160" s="1468">
        <v>2416150</v>
      </c>
    </row>
    <row r="161" spans="1:8" x14ac:dyDescent="0.25">
      <c r="A161">
        <v>512000</v>
      </c>
      <c r="B161" t="s">
        <v>1689</v>
      </c>
    </row>
    <row r="162" spans="1:8" x14ac:dyDescent="0.25">
      <c r="A162">
        <v>518111</v>
      </c>
      <c r="B162">
        <v>518111</v>
      </c>
      <c r="F162" s="1468">
        <v>488262981</v>
      </c>
      <c r="H162" s="1468">
        <v>488262981</v>
      </c>
    </row>
    <row r="163" spans="1:8" x14ac:dyDescent="0.25">
      <c r="A163">
        <v>521110</v>
      </c>
      <c r="B163">
        <v>521110</v>
      </c>
      <c r="E163" s="1468">
        <v>968164645</v>
      </c>
      <c r="G163" s="1468">
        <v>968164645</v>
      </c>
    </row>
    <row r="164" spans="1:8" x14ac:dyDescent="0.25">
      <c r="A164">
        <v>521111</v>
      </c>
      <c r="B164">
        <v>521111</v>
      </c>
      <c r="F164" s="1468">
        <v>161683756</v>
      </c>
      <c r="H164" s="1468">
        <v>161683756</v>
      </c>
    </row>
    <row r="165" spans="1:8" x14ac:dyDescent="0.25">
      <c r="A165">
        <v>521120</v>
      </c>
      <c r="B165">
        <v>521120</v>
      </c>
      <c r="E165" s="1468">
        <v>224041339</v>
      </c>
      <c r="G165" s="1468">
        <v>224041339</v>
      </c>
    </row>
    <row r="166" spans="1:8" x14ac:dyDescent="0.25">
      <c r="A166">
        <v>521130</v>
      </c>
      <c r="B166">
        <v>521130</v>
      </c>
      <c r="E166" s="1468">
        <v>4722658</v>
      </c>
      <c r="G166" s="1468">
        <v>4722658</v>
      </c>
    </row>
    <row r="167" spans="1:8" x14ac:dyDescent="0.25">
      <c r="A167">
        <v>521140</v>
      </c>
      <c r="B167">
        <v>521140</v>
      </c>
      <c r="E167" s="1468">
        <v>502718</v>
      </c>
      <c r="G167" s="1468">
        <v>502718</v>
      </c>
    </row>
    <row r="168" spans="1:8" x14ac:dyDescent="0.25">
      <c r="A168">
        <v>521150</v>
      </c>
      <c r="B168">
        <v>521150</v>
      </c>
      <c r="E168" s="1468">
        <v>32957888</v>
      </c>
      <c r="G168" s="1468">
        <v>32957888</v>
      </c>
    </row>
    <row r="169" spans="1:8" x14ac:dyDescent="0.25">
      <c r="A169">
        <v>521160</v>
      </c>
      <c r="B169">
        <v>521160</v>
      </c>
      <c r="E169" s="1468">
        <v>1232358753</v>
      </c>
      <c r="G169" s="1468">
        <v>1232358753</v>
      </c>
    </row>
    <row r="170" spans="1:8" x14ac:dyDescent="0.25">
      <c r="A170">
        <v>521161</v>
      </c>
      <c r="B170">
        <v>521161</v>
      </c>
      <c r="E170" s="1468">
        <v>163518673</v>
      </c>
      <c r="G170" s="1468">
        <v>163518673</v>
      </c>
    </row>
    <row r="171" spans="1:8" x14ac:dyDescent="0.25">
      <c r="A171">
        <v>521170</v>
      </c>
      <c r="B171">
        <v>521170</v>
      </c>
      <c r="E171" s="1468">
        <v>205145818</v>
      </c>
      <c r="G171" s="1468">
        <v>205145818</v>
      </c>
    </row>
    <row r="172" spans="1:8" x14ac:dyDescent="0.25">
      <c r="A172">
        <v>521180</v>
      </c>
      <c r="B172">
        <v>521180</v>
      </c>
      <c r="E172" s="1468">
        <v>49933267</v>
      </c>
      <c r="G172" s="1468">
        <v>49933267</v>
      </c>
    </row>
    <row r="173" spans="1:8" x14ac:dyDescent="0.25">
      <c r="A173">
        <v>521190</v>
      </c>
      <c r="B173">
        <v>521190</v>
      </c>
      <c r="F173" s="1468">
        <v>481695573</v>
      </c>
      <c r="H173" s="1468">
        <v>481695573</v>
      </c>
    </row>
    <row r="174" spans="1:8" x14ac:dyDescent="0.25">
      <c r="A174">
        <v>521200</v>
      </c>
      <c r="B174">
        <v>521200</v>
      </c>
      <c r="E174" s="1468">
        <v>361715360</v>
      </c>
      <c r="G174" s="1468">
        <v>361715360</v>
      </c>
    </row>
    <row r="175" spans="1:8" x14ac:dyDescent="0.25">
      <c r="A175">
        <v>521300</v>
      </c>
      <c r="B175">
        <v>521300</v>
      </c>
      <c r="E175" s="1468">
        <v>1177195</v>
      </c>
      <c r="G175" s="1468">
        <v>1177195</v>
      </c>
    </row>
    <row r="176" spans="1:8" x14ac:dyDescent="0.25">
      <c r="A176">
        <v>558100</v>
      </c>
      <c r="B176">
        <v>558100</v>
      </c>
      <c r="E176" s="1468">
        <v>260000</v>
      </c>
      <c r="G176" s="1468">
        <v>260000</v>
      </c>
    </row>
    <row r="177" spans="1:7" x14ac:dyDescent="0.25">
      <c r="A177">
        <v>565000</v>
      </c>
      <c r="B177">
        <v>565000</v>
      </c>
    </row>
    <row r="178" spans="1:7" x14ac:dyDescent="0.25">
      <c r="A178">
        <v>585000</v>
      </c>
      <c r="B178">
        <v>585000</v>
      </c>
    </row>
    <row r="179" spans="1:7" x14ac:dyDescent="0.25">
      <c r="A179">
        <v>602101</v>
      </c>
      <c r="B179">
        <v>602101</v>
      </c>
      <c r="E179" s="1468">
        <v>4805944301</v>
      </c>
      <c r="G179" s="1468">
        <v>4805944301</v>
      </c>
    </row>
    <row r="180" spans="1:7" x14ac:dyDescent="0.25">
      <c r="A180">
        <v>602102</v>
      </c>
      <c r="B180">
        <v>602102</v>
      </c>
      <c r="E180" s="1468">
        <v>547701921</v>
      </c>
      <c r="G180" s="1468">
        <v>547701921</v>
      </c>
    </row>
    <row r="181" spans="1:7" x14ac:dyDescent="0.25">
      <c r="A181">
        <v>602103</v>
      </c>
      <c r="B181">
        <v>602103</v>
      </c>
      <c r="E181" s="1468">
        <v>181939562</v>
      </c>
      <c r="G181" s="1468">
        <v>181939562</v>
      </c>
    </row>
    <row r="182" spans="1:7" x14ac:dyDescent="0.25">
      <c r="A182">
        <v>602105</v>
      </c>
      <c r="B182">
        <v>602105</v>
      </c>
      <c r="E182" s="1468">
        <v>56258019</v>
      </c>
      <c r="G182" s="1468">
        <v>56258019</v>
      </c>
    </row>
    <row r="183" spans="1:7" x14ac:dyDescent="0.25">
      <c r="A183">
        <v>602500</v>
      </c>
      <c r="B183">
        <v>602500</v>
      </c>
      <c r="E183" s="1468">
        <v>2565000</v>
      </c>
      <c r="G183" s="1468">
        <v>2565000</v>
      </c>
    </row>
    <row r="184" spans="1:7" x14ac:dyDescent="0.25">
      <c r="A184">
        <v>602501</v>
      </c>
      <c r="B184">
        <v>602501</v>
      </c>
      <c r="E184" s="1468">
        <v>4591400090</v>
      </c>
      <c r="G184" s="1468">
        <v>4591400090</v>
      </c>
    </row>
    <row r="185" spans="1:7" x14ac:dyDescent="0.25">
      <c r="A185">
        <v>602502</v>
      </c>
      <c r="B185">
        <v>602502</v>
      </c>
      <c r="E185" s="1468">
        <v>124499410</v>
      </c>
      <c r="G185" s="1468">
        <v>124499410</v>
      </c>
    </row>
    <row r="186" spans="1:7" x14ac:dyDescent="0.25">
      <c r="A186">
        <v>602503</v>
      </c>
      <c r="B186">
        <v>602503</v>
      </c>
      <c r="E186" s="1468">
        <v>89024102</v>
      </c>
      <c r="G186" s="1468">
        <v>89024102</v>
      </c>
    </row>
    <row r="187" spans="1:7" x14ac:dyDescent="0.25">
      <c r="A187">
        <v>602504</v>
      </c>
      <c r="B187">
        <v>602504</v>
      </c>
      <c r="E187" s="1468">
        <v>363213470</v>
      </c>
      <c r="G187" s="1468">
        <v>363213470</v>
      </c>
    </row>
    <row r="188" spans="1:7" x14ac:dyDescent="0.25">
      <c r="A188">
        <v>602505</v>
      </c>
      <c r="B188">
        <v>602505</v>
      </c>
      <c r="E188" s="1468">
        <v>1145107717</v>
      </c>
      <c r="G188" s="1468">
        <v>1145107717</v>
      </c>
    </row>
    <row r="189" spans="1:7" x14ac:dyDescent="0.25">
      <c r="A189">
        <v>602506</v>
      </c>
      <c r="B189">
        <v>602506</v>
      </c>
      <c r="E189" s="1468">
        <v>146800843</v>
      </c>
      <c r="G189" s="1468">
        <v>146800843</v>
      </c>
    </row>
    <row r="190" spans="1:7" x14ac:dyDescent="0.25">
      <c r="A190">
        <v>602507</v>
      </c>
      <c r="B190">
        <v>602507</v>
      </c>
      <c r="E190" s="1468">
        <v>43429970</v>
      </c>
      <c r="G190" s="1468">
        <v>43429970</v>
      </c>
    </row>
    <row r="191" spans="1:7" x14ac:dyDescent="0.25">
      <c r="A191">
        <v>602509</v>
      </c>
      <c r="B191">
        <v>602509</v>
      </c>
      <c r="E191" s="1468">
        <v>89028475</v>
      </c>
      <c r="G191" s="1468">
        <v>89028475</v>
      </c>
    </row>
    <row r="192" spans="1:7" x14ac:dyDescent="0.25">
      <c r="A192">
        <v>602510</v>
      </c>
      <c r="B192">
        <v>602510</v>
      </c>
      <c r="E192" s="1468">
        <v>279906599</v>
      </c>
      <c r="G192" s="1468">
        <v>279906599</v>
      </c>
    </row>
    <row r="193" spans="1:8" x14ac:dyDescent="0.25">
      <c r="A193">
        <v>602511</v>
      </c>
      <c r="B193">
        <v>602511</v>
      </c>
      <c r="E193" s="1468">
        <v>52659511</v>
      </c>
      <c r="G193" s="1468">
        <v>52659511</v>
      </c>
    </row>
    <row r="194" spans="1:8" x14ac:dyDescent="0.25">
      <c r="A194">
        <v>603201</v>
      </c>
      <c r="B194">
        <v>603201</v>
      </c>
      <c r="E194" s="1468">
        <v>377638083</v>
      </c>
      <c r="G194" s="1468">
        <v>377638083</v>
      </c>
    </row>
    <row r="195" spans="1:8" x14ac:dyDescent="0.25">
      <c r="A195">
        <v>603220</v>
      </c>
      <c r="B195">
        <v>603220</v>
      </c>
      <c r="F195" s="1468">
        <v>317589668</v>
      </c>
      <c r="H195" s="1468">
        <v>317589668</v>
      </c>
    </row>
    <row r="196" spans="1:8" x14ac:dyDescent="0.25">
      <c r="A196">
        <v>603230</v>
      </c>
      <c r="B196">
        <v>603230</v>
      </c>
      <c r="E196" s="1468">
        <v>34286491</v>
      </c>
      <c r="G196" s="1468">
        <v>34286491</v>
      </c>
    </row>
    <row r="197" spans="1:8" x14ac:dyDescent="0.25">
      <c r="A197">
        <v>603240</v>
      </c>
      <c r="B197">
        <v>603240</v>
      </c>
      <c r="E197" s="1468">
        <v>137833050</v>
      </c>
      <c r="G197" s="1468">
        <v>137833050</v>
      </c>
    </row>
    <row r="198" spans="1:8" x14ac:dyDescent="0.25">
      <c r="A198">
        <v>603250</v>
      </c>
      <c r="B198">
        <v>603250</v>
      </c>
      <c r="F198" s="1468">
        <v>456104728</v>
      </c>
      <c r="H198" s="1468">
        <v>456104728</v>
      </c>
    </row>
    <row r="199" spans="1:8" x14ac:dyDescent="0.25">
      <c r="A199">
        <v>603381</v>
      </c>
      <c r="B199">
        <v>603381</v>
      </c>
      <c r="E199" s="1468">
        <v>159170175</v>
      </c>
      <c r="G199" s="1468">
        <v>159170175</v>
      </c>
    </row>
    <row r="200" spans="1:8" x14ac:dyDescent="0.25">
      <c r="A200">
        <v>603383</v>
      </c>
      <c r="B200">
        <v>603383</v>
      </c>
      <c r="E200" s="1468">
        <v>1636467942</v>
      </c>
      <c r="G200" s="1468">
        <v>1636467942</v>
      </c>
    </row>
    <row r="201" spans="1:8" x14ac:dyDescent="0.25">
      <c r="A201">
        <v>604100</v>
      </c>
      <c r="B201">
        <v>604100</v>
      </c>
      <c r="E201" s="1468">
        <v>175000</v>
      </c>
      <c r="G201" s="1468">
        <v>175000</v>
      </c>
    </row>
    <row r="202" spans="1:8" x14ac:dyDescent="0.25">
      <c r="A202">
        <v>604400</v>
      </c>
      <c r="B202">
        <v>604400</v>
      </c>
      <c r="F202" s="1468">
        <v>1245000</v>
      </c>
      <c r="H202" s="1468">
        <v>1245000</v>
      </c>
    </row>
    <row r="203" spans="1:8" x14ac:dyDescent="0.25">
      <c r="A203">
        <v>604402</v>
      </c>
      <c r="B203">
        <v>604402</v>
      </c>
      <c r="E203" s="1468">
        <v>9215564</v>
      </c>
      <c r="G203" s="1468">
        <v>9215564</v>
      </c>
    </row>
    <row r="204" spans="1:8" x14ac:dyDescent="0.25">
      <c r="A204">
        <v>604503</v>
      </c>
      <c r="B204">
        <v>604503</v>
      </c>
      <c r="F204" s="1468">
        <v>250000</v>
      </c>
      <c r="H204" s="1468">
        <v>250000</v>
      </c>
    </row>
    <row r="205" spans="1:8" x14ac:dyDescent="0.25">
      <c r="A205">
        <v>604600</v>
      </c>
      <c r="B205">
        <v>604600</v>
      </c>
      <c r="E205" s="1468">
        <v>108500</v>
      </c>
      <c r="G205" s="1468">
        <v>108500</v>
      </c>
    </row>
    <row r="206" spans="1:8" x14ac:dyDescent="0.25">
      <c r="A206">
        <v>605100</v>
      </c>
      <c r="B206">
        <v>605100</v>
      </c>
      <c r="E206" s="1468">
        <v>5718794</v>
      </c>
      <c r="G206" s="1468">
        <v>5718794</v>
      </c>
    </row>
    <row r="207" spans="1:8" x14ac:dyDescent="0.25">
      <c r="A207">
        <v>605101</v>
      </c>
      <c r="B207">
        <v>605101</v>
      </c>
      <c r="E207" s="1468">
        <v>794500</v>
      </c>
      <c r="G207" s="1468">
        <v>794500</v>
      </c>
    </row>
    <row r="208" spans="1:8" x14ac:dyDescent="0.25">
      <c r="A208">
        <v>605102</v>
      </c>
      <c r="B208">
        <v>605102</v>
      </c>
      <c r="E208" s="1468">
        <v>185000</v>
      </c>
      <c r="G208" s="1468">
        <v>185000</v>
      </c>
    </row>
    <row r="209" spans="1:7" x14ac:dyDescent="0.25">
      <c r="A209">
        <v>605103</v>
      </c>
      <c r="B209">
        <v>605103</v>
      </c>
      <c r="E209" s="1468">
        <v>4615000</v>
      </c>
      <c r="G209" s="1468">
        <v>4615000</v>
      </c>
    </row>
    <row r="210" spans="1:7" x14ac:dyDescent="0.25">
      <c r="A210">
        <v>605200</v>
      </c>
      <c r="B210">
        <v>605200</v>
      </c>
      <c r="E210" s="1468">
        <v>1165270020</v>
      </c>
      <c r="G210" s="1468">
        <v>1165270020</v>
      </c>
    </row>
    <row r="211" spans="1:7" x14ac:dyDescent="0.25">
      <c r="A211">
        <v>605201</v>
      </c>
      <c r="B211">
        <v>605201</v>
      </c>
      <c r="E211" s="1468">
        <v>1581970</v>
      </c>
      <c r="G211" s="1468">
        <v>1581970</v>
      </c>
    </row>
    <row r="212" spans="1:7" x14ac:dyDescent="0.25">
      <c r="A212">
        <v>605300</v>
      </c>
      <c r="B212">
        <v>605300</v>
      </c>
      <c r="E212" s="1468">
        <v>863997550</v>
      </c>
      <c r="G212" s="1468">
        <v>863997550</v>
      </c>
    </row>
    <row r="213" spans="1:7" x14ac:dyDescent="0.25">
      <c r="A213">
        <v>605301</v>
      </c>
      <c r="B213">
        <v>605301</v>
      </c>
      <c r="E213" s="1468">
        <v>1523014845</v>
      </c>
      <c r="G213" s="1468">
        <v>1523014845</v>
      </c>
    </row>
    <row r="214" spans="1:7" x14ac:dyDescent="0.25">
      <c r="A214">
        <v>605310</v>
      </c>
      <c r="B214">
        <v>605310</v>
      </c>
      <c r="E214" s="1468">
        <v>54712288</v>
      </c>
      <c r="G214" s="1468">
        <v>54712288</v>
      </c>
    </row>
    <row r="215" spans="1:7" x14ac:dyDescent="0.25">
      <c r="A215">
        <v>605311</v>
      </c>
      <c r="B215">
        <v>605311</v>
      </c>
      <c r="E215" s="1468">
        <v>16265697</v>
      </c>
      <c r="G215" s="1468">
        <v>16265697</v>
      </c>
    </row>
    <row r="216" spans="1:7" x14ac:dyDescent="0.25">
      <c r="A216">
        <v>605320</v>
      </c>
      <c r="B216">
        <v>605320</v>
      </c>
      <c r="E216" s="1468">
        <v>34599808</v>
      </c>
      <c r="G216" s="1468">
        <v>34599808</v>
      </c>
    </row>
    <row r="217" spans="1:7" x14ac:dyDescent="0.25">
      <c r="A217">
        <v>605330</v>
      </c>
      <c r="B217">
        <v>605330</v>
      </c>
      <c r="E217" s="1468">
        <v>2315000</v>
      </c>
      <c r="G217" s="1468">
        <v>2315000</v>
      </c>
    </row>
    <row r="218" spans="1:7" x14ac:dyDescent="0.25">
      <c r="A218">
        <v>605400</v>
      </c>
      <c r="B218">
        <v>605400</v>
      </c>
      <c r="E218" s="1468">
        <v>81800</v>
      </c>
      <c r="G218" s="1468">
        <v>81800</v>
      </c>
    </row>
    <row r="219" spans="1:7" x14ac:dyDescent="0.25">
      <c r="A219">
        <v>605410</v>
      </c>
      <c r="B219">
        <v>605410</v>
      </c>
      <c r="E219" s="1468">
        <v>200000</v>
      </c>
      <c r="G219" s="1468">
        <v>200000</v>
      </c>
    </row>
    <row r="220" spans="1:7" x14ac:dyDescent="0.25">
      <c r="A220">
        <v>605500</v>
      </c>
      <c r="B220">
        <v>605500</v>
      </c>
      <c r="E220" s="1468">
        <v>5548326</v>
      </c>
      <c r="G220" s="1468">
        <v>5548326</v>
      </c>
    </row>
    <row r="221" spans="1:7" x14ac:dyDescent="0.25">
      <c r="A221">
        <v>605600</v>
      </c>
      <c r="B221">
        <v>605600</v>
      </c>
      <c r="E221" s="1468">
        <v>44374650</v>
      </c>
      <c r="G221" s="1468">
        <v>44374650</v>
      </c>
    </row>
    <row r="222" spans="1:7" x14ac:dyDescent="0.25">
      <c r="A222">
        <v>605700</v>
      </c>
      <c r="B222">
        <v>605700</v>
      </c>
      <c r="E222" s="1468">
        <v>34041428</v>
      </c>
      <c r="G222" s="1468">
        <v>34041428</v>
      </c>
    </row>
    <row r="223" spans="1:7" x14ac:dyDescent="0.25">
      <c r="A223">
        <v>605800</v>
      </c>
      <c r="B223">
        <v>605800</v>
      </c>
      <c r="E223" s="1468">
        <v>200229530</v>
      </c>
      <c r="G223" s="1468">
        <v>200229530</v>
      </c>
    </row>
    <row r="224" spans="1:7" x14ac:dyDescent="0.25">
      <c r="A224">
        <v>608000</v>
      </c>
      <c r="B224" t="s">
        <v>1690</v>
      </c>
      <c r="E224" s="1468">
        <v>95814488</v>
      </c>
      <c r="G224" s="1468">
        <v>95814488</v>
      </c>
    </row>
    <row r="225" spans="1:7" x14ac:dyDescent="0.25">
      <c r="A225">
        <v>608100</v>
      </c>
      <c r="B225">
        <v>608100</v>
      </c>
      <c r="E225" s="1468">
        <v>1086583184</v>
      </c>
      <c r="G225" s="1468">
        <v>1086583184</v>
      </c>
    </row>
    <row r="226" spans="1:7" x14ac:dyDescent="0.25">
      <c r="A226">
        <v>608501</v>
      </c>
      <c r="B226">
        <v>608501</v>
      </c>
      <c r="E226" s="1468">
        <v>43609688</v>
      </c>
      <c r="G226" s="1468">
        <v>43609688</v>
      </c>
    </row>
    <row r="227" spans="1:7" x14ac:dyDescent="0.25">
      <c r="A227">
        <v>612000</v>
      </c>
      <c r="B227" t="s">
        <v>1691</v>
      </c>
      <c r="E227" s="1468">
        <v>1042264015</v>
      </c>
      <c r="G227" s="1468">
        <v>1042264015</v>
      </c>
    </row>
    <row r="228" spans="1:7" x14ac:dyDescent="0.25">
      <c r="A228">
        <v>614000</v>
      </c>
      <c r="B228" t="s">
        <v>1692</v>
      </c>
      <c r="E228" s="1468">
        <v>8456600</v>
      </c>
      <c r="G228" s="1468">
        <v>8456600</v>
      </c>
    </row>
    <row r="229" spans="1:7" x14ac:dyDescent="0.25">
      <c r="A229">
        <v>616000</v>
      </c>
      <c r="B229" t="s">
        <v>1003</v>
      </c>
      <c r="E229" s="1468">
        <v>1313832</v>
      </c>
      <c r="G229" s="1468">
        <v>1313832</v>
      </c>
    </row>
    <row r="230" spans="1:7" x14ac:dyDescent="0.25">
      <c r="A230">
        <v>618100</v>
      </c>
      <c r="B230" t="s">
        <v>1693</v>
      </c>
      <c r="E230" s="1468">
        <v>20382716</v>
      </c>
      <c r="G230" s="1468">
        <v>20382716</v>
      </c>
    </row>
    <row r="231" spans="1:7" x14ac:dyDescent="0.25">
      <c r="A231">
        <v>622100</v>
      </c>
      <c r="B231" t="s">
        <v>1694</v>
      </c>
      <c r="E231" s="1468">
        <v>141821500</v>
      </c>
      <c r="G231" s="1468">
        <v>141821500</v>
      </c>
    </row>
    <row r="232" spans="1:7" x14ac:dyDescent="0.25">
      <c r="A232">
        <v>622200</v>
      </c>
      <c r="B232" t="s">
        <v>1695</v>
      </c>
      <c r="E232" s="1468">
        <v>1451850</v>
      </c>
      <c r="G232" s="1468">
        <v>1451850</v>
      </c>
    </row>
    <row r="233" spans="1:7" x14ac:dyDescent="0.25">
      <c r="A233">
        <v>622201</v>
      </c>
      <c r="B233">
        <v>622201</v>
      </c>
      <c r="E233" s="1468">
        <v>18433041</v>
      </c>
      <c r="G233" s="1468">
        <v>18433041</v>
      </c>
    </row>
    <row r="234" spans="1:7" x14ac:dyDescent="0.25">
      <c r="A234">
        <v>622300</v>
      </c>
      <c r="B234">
        <v>622300</v>
      </c>
      <c r="E234" s="1468">
        <v>6995000</v>
      </c>
      <c r="G234" s="1468">
        <v>6995000</v>
      </c>
    </row>
    <row r="235" spans="1:7" x14ac:dyDescent="0.25">
      <c r="A235">
        <v>622301</v>
      </c>
      <c r="B235">
        <v>622301</v>
      </c>
      <c r="E235" s="1468">
        <v>210264326</v>
      </c>
      <c r="G235" s="1468">
        <v>210264326</v>
      </c>
    </row>
    <row r="236" spans="1:7" x14ac:dyDescent="0.25">
      <c r="A236">
        <v>622302</v>
      </c>
      <c r="B236">
        <v>622302</v>
      </c>
      <c r="E236" s="1468">
        <v>45305200</v>
      </c>
      <c r="G236" s="1468">
        <v>45305200</v>
      </c>
    </row>
    <row r="237" spans="1:7" x14ac:dyDescent="0.25">
      <c r="A237">
        <v>622800</v>
      </c>
      <c r="B237" t="s">
        <v>1696</v>
      </c>
      <c r="E237" s="1468">
        <v>400000</v>
      </c>
      <c r="G237" s="1468">
        <v>400000</v>
      </c>
    </row>
    <row r="238" spans="1:7" x14ac:dyDescent="0.25">
      <c r="A238">
        <v>624000</v>
      </c>
      <c r="B238" t="s">
        <v>1697</v>
      </c>
      <c r="E238" s="1468">
        <v>87500</v>
      </c>
      <c r="G238" s="1468">
        <v>87500</v>
      </c>
    </row>
    <row r="239" spans="1:7" x14ac:dyDescent="0.25">
      <c r="A239">
        <v>624100</v>
      </c>
      <c r="B239" t="s">
        <v>1698</v>
      </c>
      <c r="E239" s="1468">
        <v>12595084</v>
      </c>
      <c r="G239" s="1468">
        <v>12595084</v>
      </c>
    </row>
    <row r="240" spans="1:7" x14ac:dyDescent="0.25">
      <c r="A240">
        <v>624101</v>
      </c>
      <c r="B240">
        <v>624101</v>
      </c>
      <c r="E240" s="1468">
        <v>444700</v>
      </c>
      <c r="G240" s="1468">
        <v>444700</v>
      </c>
    </row>
    <row r="241" spans="1:7" x14ac:dyDescent="0.25">
      <c r="A241">
        <v>624200</v>
      </c>
      <c r="B241" t="s">
        <v>991</v>
      </c>
      <c r="E241" s="1468">
        <v>20509814</v>
      </c>
      <c r="G241" s="1468">
        <v>20509814</v>
      </c>
    </row>
    <row r="242" spans="1:7" x14ac:dyDescent="0.25">
      <c r="A242">
        <v>624201</v>
      </c>
      <c r="B242">
        <v>624201</v>
      </c>
      <c r="E242" s="1468">
        <v>548000</v>
      </c>
      <c r="G242" s="1468">
        <v>548000</v>
      </c>
    </row>
    <row r="243" spans="1:7" x14ac:dyDescent="0.25">
      <c r="A243">
        <v>624300</v>
      </c>
      <c r="B243" t="s">
        <v>1699</v>
      </c>
      <c r="E243" s="1468">
        <v>12349610</v>
      </c>
      <c r="G243" s="1468">
        <v>12349610</v>
      </c>
    </row>
    <row r="244" spans="1:7" x14ac:dyDescent="0.25">
      <c r="A244">
        <v>624400</v>
      </c>
      <c r="B244" t="s">
        <v>996</v>
      </c>
      <c r="E244" s="1468">
        <v>4927680</v>
      </c>
      <c r="G244" s="1468">
        <v>4927680</v>
      </c>
    </row>
    <row r="245" spans="1:7" x14ac:dyDescent="0.25">
      <c r="A245">
        <v>624800</v>
      </c>
      <c r="B245" t="s">
        <v>1696</v>
      </c>
      <c r="E245" s="1468">
        <v>13280470</v>
      </c>
      <c r="G245" s="1468">
        <v>13280470</v>
      </c>
    </row>
    <row r="246" spans="1:7" x14ac:dyDescent="0.25">
      <c r="A246">
        <v>625200</v>
      </c>
      <c r="B246">
        <v>625200</v>
      </c>
      <c r="E246" s="1468">
        <v>52459408</v>
      </c>
      <c r="G246" s="1468">
        <v>52459408</v>
      </c>
    </row>
    <row r="247" spans="1:7" x14ac:dyDescent="0.25">
      <c r="A247">
        <v>625600</v>
      </c>
      <c r="B247" t="s">
        <v>1298</v>
      </c>
      <c r="E247" s="1468">
        <v>2901083</v>
      </c>
      <c r="G247" s="1468">
        <v>2901083</v>
      </c>
    </row>
    <row r="248" spans="1:7" x14ac:dyDescent="0.25">
      <c r="A248">
        <v>625800</v>
      </c>
      <c r="B248">
        <v>625800</v>
      </c>
      <c r="E248" s="1468">
        <v>3353951</v>
      </c>
      <c r="G248" s="1468">
        <v>3353951</v>
      </c>
    </row>
    <row r="249" spans="1:7" x14ac:dyDescent="0.25">
      <c r="A249">
        <v>626500</v>
      </c>
      <c r="B249">
        <v>626500</v>
      </c>
      <c r="E249" s="1468">
        <v>7555410</v>
      </c>
      <c r="G249" s="1468">
        <v>7555410</v>
      </c>
    </row>
    <row r="250" spans="1:7" x14ac:dyDescent="0.25">
      <c r="A250">
        <v>626600</v>
      </c>
      <c r="B250">
        <v>626600</v>
      </c>
      <c r="E250" s="1468">
        <v>8386841</v>
      </c>
      <c r="G250" s="1468">
        <v>8386841</v>
      </c>
    </row>
    <row r="251" spans="1:7" x14ac:dyDescent="0.25">
      <c r="A251">
        <v>627000</v>
      </c>
      <c r="B251" t="s">
        <v>1700</v>
      </c>
      <c r="E251" s="1468">
        <v>1258442</v>
      </c>
      <c r="G251" s="1468">
        <v>1258442</v>
      </c>
    </row>
    <row r="252" spans="1:7" x14ac:dyDescent="0.25">
      <c r="A252">
        <v>627100</v>
      </c>
      <c r="B252" t="s">
        <v>1701</v>
      </c>
      <c r="E252" s="1468">
        <v>648423</v>
      </c>
      <c r="G252" s="1468">
        <v>648423</v>
      </c>
    </row>
    <row r="253" spans="1:7" x14ac:dyDescent="0.25">
      <c r="A253">
        <v>627200</v>
      </c>
      <c r="B253" t="s">
        <v>1702</v>
      </c>
      <c r="E253" s="1468">
        <v>4151500</v>
      </c>
      <c r="G253" s="1468">
        <v>4151500</v>
      </c>
    </row>
    <row r="254" spans="1:7" x14ac:dyDescent="0.25">
      <c r="A254">
        <v>627500</v>
      </c>
      <c r="B254" t="s">
        <v>1703</v>
      </c>
      <c r="E254" s="1468">
        <v>275530</v>
      </c>
      <c r="G254" s="1468">
        <v>275530</v>
      </c>
    </row>
    <row r="255" spans="1:7" x14ac:dyDescent="0.25">
      <c r="A255">
        <v>627800</v>
      </c>
      <c r="B255" t="s">
        <v>1704</v>
      </c>
      <c r="E255" s="1468">
        <v>238000</v>
      </c>
      <c r="G255" s="1468">
        <v>238000</v>
      </c>
    </row>
    <row r="256" spans="1:7" x14ac:dyDescent="0.25">
      <c r="A256">
        <v>627801</v>
      </c>
      <c r="B256">
        <v>627801</v>
      </c>
      <c r="E256" s="1468">
        <v>6250000</v>
      </c>
      <c r="G256" s="1468">
        <v>6250000</v>
      </c>
    </row>
    <row r="257" spans="1:8" x14ac:dyDescent="0.25">
      <c r="A257">
        <v>628000</v>
      </c>
      <c r="B257" t="s">
        <v>1696</v>
      </c>
      <c r="E257" s="1468">
        <v>9207833</v>
      </c>
      <c r="G257" s="1468">
        <v>9207833</v>
      </c>
    </row>
    <row r="258" spans="1:8" x14ac:dyDescent="0.25">
      <c r="A258">
        <v>628100</v>
      </c>
      <c r="B258" t="s">
        <v>1705</v>
      </c>
      <c r="E258" s="1468">
        <v>8471917</v>
      </c>
      <c r="G258" s="1468">
        <v>8471917</v>
      </c>
    </row>
    <row r="259" spans="1:8" x14ac:dyDescent="0.25">
      <c r="A259">
        <v>628300</v>
      </c>
      <c r="B259">
        <v>628300</v>
      </c>
      <c r="E259" s="1468">
        <v>4500</v>
      </c>
      <c r="G259" s="1468">
        <v>4500</v>
      </c>
    </row>
    <row r="260" spans="1:8" x14ac:dyDescent="0.25">
      <c r="A260">
        <v>628800</v>
      </c>
      <c r="B260">
        <v>628800</v>
      </c>
      <c r="E260" s="1468">
        <v>17918500</v>
      </c>
      <c r="G260" s="1468">
        <v>17918500</v>
      </c>
    </row>
    <row r="261" spans="1:8" x14ac:dyDescent="0.25">
      <c r="A261">
        <v>631000</v>
      </c>
      <c r="B261" t="s">
        <v>1706</v>
      </c>
      <c r="F261">
        <v>50</v>
      </c>
      <c r="H261">
        <v>50</v>
      </c>
    </row>
    <row r="262" spans="1:8" x14ac:dyDescent="0.25">
      <c r="A262">
        <v>631100</v>
      </c>
      <c r="B262" t="s">
        <v>1707</v>
      </c>
      <c r="E262" s="1468">
        <v>1398911</v>
      </c>
      <c r="G262" s="1468">
        <v>1398911</v>
      </c>
    </row>
    <row r="263" spans="1:8" x14ac:dyDescent="0.25">
      <c r="A263">
        <v>631200</v>
      </c>
      <c r="B263" t="s">
        <v>1708</v>
      </c>
      <c r="E263" s="1468">
        <v>11500</v>
      </c>
      <c r="G263" s="1468">
        <v>11500</v>
      </c>
    </row>
    <row r="264" spans="1:8" x14ac:dyDescent="0.25">
      <c r="A264">
        <v>631800</v>
      </c>
      <c r="B264" t="s">
        <v>908</v>
      </c>
      <c r="E264" s="1468">
        <v>2193053</v>
      </c>
      <c r="G264" s="1468">
        <v>2193053</v>
      </c>
    </row>
    <row r="265" spans="1:8" x14ac:dyDescent="0.25">
      <c r="A265">
        <v>631801</v>
      </c>
      <c r="B265">
        <v>631801</v>
      </c>
      <c r="E265" s="1468">
        <v>34425553</v>
      </c>
      <c r="G265" s="1468">
        <v>34425553</v>
      </c>
    </row>
    <row r="266" spans="1:8" x14ac:dyDescent="0.25">
      <c r="A266">
        <v>631802</v>
      </c>
      <c r="B266">
        <v>631802</v>
      </c>
      <c r="E266" s="1468">
        <v>43160044</v>
      </c>
      <c r="G266" s="1468">
        <v>43160044</v>
      </c>
    </row>
    <row r="267" spans="1:8" x14ac:dyDescent="0.25">
      <c r="A267">
        <v>631803</v>
      </c>
      <c r="B267">
        <v>631803</v>
      </c>
      <c r="E267" s="1468">
        <v>22037646</v>
      </c>
      <c r="G267" s="1468">
        <v>22037646</v>
      </c>
    </row>
    <row r="268" spans="1:8" x14ac:dyDescent="0.25">
      <c r="A268">
        <v>631804</v>
      </c>
      <c r="B268">
        <v>631804</v>
      </c>
      <c r="E268" s="1468">
        <v>1006235</v>
      </c>
      <c r="G268" s="1468">
        <v>1006235</v>
      </c>
    </row>
    <row r="269" spans="1:8" x14ac:dyDescent="0.25">
      <c r="A269">
        <v>631805</v>
      </c>
      <c r="B269">
        <v>631805</v>
      </c>
      <c r="E269" s="1468">
        <v>23696045</v>
      </c>
      <c r="G269" s="1468">
        <v>23696045</v>
      </c>
    </row>
    <row r="270" spans="1:8" x14ac:dyDescent="0.25">
      <c r="A270">
        <v>631806</v>
      </c>
      <c r="B270">
        <v>631806</v>
      </c>
      <c r="E270" s="1468">
        <v>83925</v>
      </c>
      <c r="G270" s="1468">
        <v>83925</v>
      </c>
    </row>
    <row r="271" spans="1:8" x14ac:dyDescent="0.25">
      <c r="A271">
        <v>631807</v>
      </c>
      <c r="B271">
        <v>631807</v>
      </c>
      <c r="E271" s="1468">
        <v>421844</v>
      </c>
      <c r="G271" s="1468">
        <v>421844</v>
      </c>
    </row>
    <row r="272" spans="1:8" x14ac:dyDescent="0.25">
      <c r="A272">
        <v>631808</v>
      </c>
      <c r="B272">
        <v>631808</v>
      </c>
      <c r="E272" s="1468">
        <v>74365</v>
      </c>
      <c r="G272" s="1468">
        <v>74365</v>
      </c>
    </row>
    <row r="273" spans="1:7" x14ac:dyDescent="0.25">
      <c r="A273">
        <v>632100</v>
      </c>
      <c r="B273">
        <v>632100</v>
      </c>
      <c r="E273" s="1468">
        <v>175000</v>
      </c>
      <c r="G273" s="1468">
        <v>175000</v>
      </c>
    </row>
    <row r="274" spans="1:7" x14ac:dyDescent="0.25">
      <c r="A274">
        <v>632400</v>
      </c>
      <c r="B274">
        <v>632400</v>
      </c>
      <c r="E274" s="1468">
        <v>39795253</v>
      </c>
      <c r="G274" s="1468">
        <v>39795253</v>
      </c>
    </row>
    <row r="275" spans="1:7" x14ac:dyDescent="0.25">
      <c r="A275">
        <v>632700</v>
      </c>
      <c r="B275">
        <v>632700</v>
      </c>
      <c r="E275" s="1468">
        <v>173196294</v>
      </c>
      <c r="G275" s="1468">
        <v>173196294</v>
      </c>
    </row>
    <row r="276" spans="1:7" x14ac:dyDescent="0.25">
      <c r="A276">
        <v>632800</v>
      </c>
      <c r="B276">
        <v>632800</v>
      </c>
      <c r="E276" s="1468">
        <v>350000</v>
      </c>
      <c r="G276" s="1468">
        <v>350000</v>
      </c>
    </row>
    <row r="277" spans="1:7" x14ac:dyDescent="0.25">
      <c r="A277">
        <v>633000</v>
      </c>
      <c r="B277" t="s">
        <v>1706</v>
      </c>
      <c r="E277" s="1468">
        <v>789890</v>
      </c>
      <c r="G277" s="1468">
        <v>789890</v>
      </c>
    </row>
    <row r="278" spans="1:7" x14ac:dyDescent="0.25">
      <c r="A278">
        <v>634000</v>
      </c>
      <c r="B278">
        <v>634000</v>
      </c>
      <c r="E278" s="1468">
        <v>3500000</v>
      </c>
      <c r="G278" s="1468">
        <v>3500000</v>
      </c>
    </row>
    <row r="279" spans="1:7" x14ac:dyDescent="0.25">
      <c r="A279">
        <v>634300</v>
      </c>
      <c r="B279">
        <v>634300</v>
      </c>
      <c r="E279" s="1468">
        <v>46240057</v>
      </c>
      <c r="G279" s="1468">
        <v>46240057</v>
      </c>
    </row>
    <row r="280" spans="1:7" x14ac:dyDescent="0.25">
      <c r="A280">
        <v>637200</v>
      </c>
      <c r="B280" t="s">
        <v>1709</v>
      </c>
      <c r="E280" s="1468">
        <v>183135799</v>
      </c>
      <c r="G280" s="1468">
        <v>183135799</v>
      </c>
    </row>
    <row r="281" spans="1:7" x14ac:dyDescent="0.25">
      <c r="A281">
        <v>638000</v>
      </c>
      <c r="B281">
        <v>638000</v>
      </c>
      <c r="E281" s="1468">
        <v>56500</v>
      </c>
      <c r="G281" s="1468">
        <v>56500</v>
      </c>
    </row>
    <row r="282" spans="1:7" x14ac:dyDescent="0.25">
      <c r="A282">
        <v>638300</v>
      </c>
      <c r="B282">
        <v>638300</v>
      </c>
      <c r="E282" s="1468">
        <v>440250</v>
      </c>
      <c r="G282" s="1468">
        <v>440250</v>
      </c>
    </row>
    <row r="283" spans="1:7" x14ac:dyDescent="0.25">
      <c r="A283">
        <v>638310</v>
      </c>
      <c r="B283">
        <v>638310</v>
      </c>
      <c r="E283" s="1468">
        <v>4587618</v>
      </c>
      <c r="G283" s="1468">
        <v>4587618</v>
      </c>
    </row>
    <row r="284" spans="1:7" x14ac:dyDescent="0.25">
      <c r="A284">
        <v>638320</v>
      </c>
      <c r="B284">
        <v>638320</v>
      </c>
      <c r="E284" s="1468">
        <v>3002725</v>
      </c>
      <c r="G284" s="1468">
        <v>3002725</v>
      </c>
    </row>
    <row r="285" spans="1:7" x14ac:dyDescent="0.25">
      <c r="A285">
        <v>638400</v>
      </c>
      <c r="B285">
        <v>638400</v>
      </c>
      <c r="E285" s="1468">
        <v>291995118</v>
      </c>
      <c r="G285" s="1468">
        <v>291995118</v>
      </c>
    </row>
    <row r="286" spans="1:7" x14ac:dyDescent="0.25">
      <c r="A286">
        <v>638410</v>
      </c>
      <c r="B286">
        <v>638410</v>
      </c>
      <c r="E286" s="1468">
        <v>1200000</v>
      </c>
      <c r="G286" s="1468">
        <v>1200000</v>
      </c>
    </row>
    <row r="287" spans="1:7" x14ac:dyDescent="0.25">
      <c r="A287">
        <v>641000</v>
      </c>
      <c r="B287" t="s">
        <v>1710</v>
      </c>
      <c r="E287" s="1468">
        <v>310639</v>
      </c>
      <c r="G287" s="1468">
        <v>310639</v>
      </c>
    </row>
    <row r="288" spans="1:7" x14ac:dyDescent="0.25">
      <c r="A288">
        <v>641101</v>
      </c>
      <c r="B288">
        <v>641101</v>
      </c>
      <c r="E288" s="1468">
        <v>36079726</v>
      </c>
      <c r="G288" s="1468">
        <v>36079726</v>
      </c>
    </row>
    <row r="289" spans="1:7" x14ac:dyDescent="0.25">
      <c r="A289">
        <v>641102</v>
      </c>
      <c r="B289">
        <v>641102</v>
      </c>
      <c r="E289" s="1468">
        <v>19728024</v>
      </c>
      <c r="G289" s="1468">
        <v>19728024</v>
      </c>
    </row>
    <row r="290" spans="1:7" x14ac:dyDescent="0.25">
      <c r="A290">
        <v>641200</v>
      </c>
      <c r="B290" t="s">
        <v>1711</v>
      </c>
      <c r="E290" s="1468">
        <v>32676913</v>
      </c>
      <c r="G290" s="1468">
        <v>32676913</v>
      </c>
    </row>
    <row r="291" spans="1:7" x14ac:dyDescent="0.25">
      <c r="A291">
        <v>641400</v>
      </c>
      <c r="B291" t="s">
        <v>1712</v>
      </c>
      <c r="E291">
        <v>750</v>
      </c>
      <c r="G291">
        <v>750</v>
      </c>
    </row>
    <row r="292" spans="1:7" x14ac:dyDescent="0.25">
      <c r="A292">
        <v>641700</v>
      </c>
      <c r="B292">
        <v>641700</v>
      </c>
      <c r="E292" s="1468">
        <v>137811548</v>
      </c>
      <c r="G292" s="1468">
        <v>137811548</v>
      </c>
    </row>
    <row r="293" spans="1:7" x14ac:dyDescent="0.25">
      <c r="A293">
        <v>641800</v>
      </c>
      <c r="B293">
        <v>641800</v>
      </c>
      <c r="E293" s="1468">
        <v>25735300</v>
      </c>
      <c r="G293" s="1468">
        <v>25735300</v>
      </c>
    </row>
    <row r="294" spans="1:7" x14ac:dyDescent="0.25">
      <c r="A294">
        <v>641801</v>
      </c>
      <c r="B294">
        <v>641801</v>
      </c>
      <c r="E294" s="1468">
        <v>1930839</v>
      </c>
      <c r="G294" s="1468">
        <v>1930839</v>
      </c>
    </row>
    <row r="295" spans="1:7" x14ac:dyDescent="0.25">
      <c r="A295">
        <v>646200</v>
      </c>
      <c r="B295">
        <v>646200</v>
      </c>
      <c r="E295" s="1468">
        <v>31000</v>
      </c>
      <c r="G295" s="1468">
        <v>31000</v>
      </c>
    </row>
    <row r="296" spans="1:7" x14ac:dyDescent="0.25">
      <c r="A296">
        <v>646300</v>
      </c>
      <c r="B296">
        <v>646300</v>
      </c>
      <c r="E296" s="1468">
        <v>34000</v>
      </c>
      <c r="G296" s="1468">
        <v>34000</v>
      </c>
    </row>
    <row r="297" spans="1:7" x14ac:dyDescent="0.25">
      <c r="A297">
        <v>646800</v>
      </c>
      <c r="B297">
        <v>646800</v>
      </c>
      <c r="E297" s="1468">
        <v>8000000</v>
      </c>
      <c r="G297" s="1468">
        <v>8000000</v>
      </c>
    </row>
    <row r="298" spans="1:7" x14ac:dyDescent="0.25">
      <c r="A298">
        <v>647100</v>
      </c>
      <c r="B298" t="s">
        <v>1713</v>
      </c>
      <c r="E298" s="1468">
        <v>10389896</v>
      </c>
      <c r="G298" s="1468">
        <v>10389896</v>
      </c>
    </row>
    <row r="299" spans="1:7" x14ac:dyDescent="0.25">
      <c r="A299">
        <v>647800</v>
      </c>
      <c r="B299">
        <v>647800</v>
      </c>
      <c r="E299" s="1468">
        <v>80025</v>
      </c>
      <c r="G299" s="1468">
        <v>80025</v>
      </c>
    </row>
    <row r="300" spans="1:7" x14ac:dyDescent="0.25">
      <c r="A300">
        <v>651100</v>
      </c>
      <c r="B300" t="s">
        <v>1714</v>
      </c>
      <c r="E300" s="1468">
        <v>35000</v>
      </c>
      <c r="G300" s="1468">
        <v>35000</v>
      </c>
    </row>
    <row r="301" spans="1:7" x14ac:dyDescent="0.25">
      <c r="A301">
        <v>657000</v>
      </c>
      <c r="B301">
        <v>657000</v>
      </c>
      <c r="E301" s="1468">
        <v>5000000</v>
      </c>
      <c r="G301" s="1468">
        <v>5000000</v>
      </c>
    </row>
    <row r="302" spans="1:7" x14ac:dyDescent="0.25">
      <c r="A302">
        <v>658000</v>
      </c>
      <c r="B302" t="s">
        <v>1715</v>
      </c>
      <c r="E302" s="1468">
        <v>226741</v>
      </c>
      <c r="G302" s="1468">
        <v>226741</v>
      </c>
    </row>
    <row r="303" spans="1:7" x14ac:dyDescent="0.25">
      <c r="A303">
        <v>658100</v>
      </c>
      <c r="B303">
        <v>658100</v>
      </c>
      <c r="E303" s="1468">
        <v>13714284</v>
      </c>
      <c r="G303" s="1468">
        <v>13714284</v>
      </c>
    </row>
    <row r="304" spans="1:7" x14ac:dyDescent="0.25">
      <c r="A304">
        <v>658200</v>
      </c>
      <c r="B304">
        <v>658200</v>
      </c>
      <c r="E304" s="1468">
        <v>13003420</v>
      </c>
      <c r="G304" s="1468">
        <v>13003420</v>
      </c>
    </row>
    <row r="305" spans="1:7" x14ac:dyDescent="0.25">
      <c r="A305">
        <v>658800</v>
      </c>
      <c r="B305">
        <v>658800</v>
      </c>
      <c r="E305" s="1468">
        <v>4927680</v>
      </c>
      <c r="G305" s="1468">
        <v>4927680</v>
      </c>
    </row>
    <row r="306" spans="1:7" x14ac:dyDescent="0.25">
      <c r="A306">
        <v>660000</v>
      </c>
      <c r="B306" t="s">
        <v>1716</v>
      </c>
      <c r="E306" s="1468">
        <v>180000</v>
      </c>
      <c r="G306" s="1468">
        <v>180000</v>
      </c>
    </row>
    <row r="307" spans="1:7" x14ac:dyDescent="0.25">
      <c r="A307">
        <v>661100</v>
      </c>
      <c r="B307" t="s">
        <v>1717</v>
      </c>
      <c r="E307" s="1468">
        <v>393839985</v>
      </c>
      <c r="G307" s="1468">
        <v>393839985</v>
      </c>
    </row>
    <row r="308" spans="1:7" x14ac:dyDescent="0.25">
      <c r="A308">
        <v>661200</v>
      </c>
      <c r="B308">
        <v>661200</v>
      </c>
      <c r="E308" s="1468">
        <v>20049690</v>
      </c>
      <c r="G308" s="1468">
        <v>20049690</v>
      </c>
    </row>
    <row r="309" spans="1:7" x14ac:dyDescent="0.25">
      <c r="A309">
        <v>661300</v>
      </c>
      <c r="B309">
        <v>661300</v>
      </c>
      <c r="E309" s="1468">
        <v>2285000</v>
      </c>
      <c r="G309" s="1468">
        <v>2285000</v>
      </c>
    </row>
    <row r="310" spans="1:7" x14ac:dyDescent="0.25">
      <c r="A310">
        <v>661400</v>
      </c>
      <c r="B310">
        <v>661400</v>
      </c>
      <c r="E310" s="1468">
        <v>1071207</v>
      </c>
      <c r="G310" s="1468">
        <v>1071207</v>
      </c>
    </row>
    <row r="311" spans="1:7" x14ac:dyDescent="0.25">
      <c r="A311">
        <v>661700</v>
      </c>
      <c r="B311" t="s">
        <v>1718</v>
      </c>
      <c r="E311" s="1468">
        <v>295180</v>
      </c>
      <c r="G311" s="1468">
        <v>295180</v>
      </c>
    </row>
    <row r="312" spans="1:7" x14ac:dyDescent="0.25">
      <c r="A312">
        <v>661801</v>
      </c>
      <c r="B312">
        <v>661801</v>
      </c>
      <c r="E312" s="1468">
        <v>6176334</v>
      </c>
      <c r="G312" s="1468">
        <v>6176334</v>
      </c>
    </row>
    <row r="313" spans="1:7" x14ac:dyDescent="0.25">
      <c r="A313">
        <v>662300</v>
      </c>
      <c r="B313">
        <v>662300</v>
      </c>
      <c r="E313" s="1468">
        <v>2622000</v>
      </c>
      <c r="G313" s="1468">
        <v>2622000</v>
      </c>
    </row>
    <row r="314" spans="1:7" x14ac:dyDescent="0.25">
      <c r="A314">
        <v>663000</v>
      </c>
      <c r="B314">
        <v>663000</v>
      </c>
      <c r="E314" s="1468">
        <v>13127466</v>
      </c>
      <c r="G314" s="1468">
        <v>13127466</v>
      </c>
    </row>
    <row r="315" spans="1:7" x14ac:dyDescent="0.25">
      <c r="A315">
        <v>663100</v>
      </c>
      <c r="B315">
        <v>663100</v>
      </c>
      <c r="E315" s="1468">
        <v>50589863</v>
      </c>
      <c r="G315" s="1468">
        <v>50589863</v>
      </c>
    </row>
    <row r="316" spans="1:7" x14ac:dyDescent="0.25">
      <c r="A316">
        <v>663200</v>
      </c>
      <c r="B316">
        <v>663200</v>
      </c>
      <c r="E316" s="1468">
        <v>30985502</v>
      </c>
      <c r="G316" s="1468">
        <v>30985502</v>
      </c>
    </row>
    <row r="317" spans="1:7" x14ac:dyDescent="0.25">
      <c r="A317">
        <v>663400</v>
      </c>
      <c r="B317">
        <v>663400</v>
      </c>
      <c r="E317" s="1468">
        <v>29359535</v>
      </c>
      <c r="G317" s="1468">
        <v>29359535</v>
      </c>
    </row>
    <row r="318" spans="1:7" x14ac:dyDescent="0.25">
      <c r="A318">
        <v>663800</v>
      </c>
      <c r="B318">
        <v>663800</v>
      </c>
      <c r="E318" s="1468">
        <v>14377147</v>
      </c>
      <c r="G318" s="1468">
        <v>14377147</v>
      </c>
    </row>
    <row r="319" spans="1:7" x14ac:dyDescent="0.25">
      <c r="A319">
        <v>664100</v>
      </c>
      <c r="B319">
        <v>664100</v>
      </c>
      <c r="E319" s="1468">
        <v>49930145</v>
      </c>
      <c r="G319" s="1468">
        <v>49930145</v>
      </c>
    </row>
    <row r="320" spans="1:7" x14ac:dyDescent="0.25">
      <c r="A320">
        <v>668400</v>
      </c>
      <c r="B320">
        <v>668400</v>
      </c>
      <c r="E320" s="1468">
        <v>3693216</v>
      </c>
      <c r="G320" s="1468">
        <v>3693216</v>
      </c>
    </row>
    <row r="321" spans="1:8" x14ac:dyDescent="0.25">
      <c r="A321">
        <v>671000</v>
      </c>
      <c r="B321" t="s">
        <v>1719</v>
      </c>
      <c r="E321" s="1468">
        <v>1160998137</v>
      </c>
      <c r="G321" s="1468">
        <v>1160998137</v>
      </c>
    </row>
    <row r="322" spans="1:8" x14ac:dyDescent="0.25">
      <c r="A322">
        <v>671100</v>
      </c>
      <c r="B322" t="s">
        <v>1720</v>
      </c>
      <c r="E322" s="1468">
        <v>630137</v>
      </c>
      <c r="G322" s="1468">
        <v>630137</v>
      </c>
    </row>
    <row r="323" spans="1:8" x14ac:dyDescent="0.25">
      <c r="A323">
        <v>671200</v>
      </c>
      <c r="B323" t="s">
        <v>1721</v>
      </c>
      <c r="E323" s="1468">
        <v>16017</v>
      </c>
      <c r="G323" s="1468">
        <v>16017</v>
      </c>
    </row>
    <row r="324" spans="1:8" x14ac:dyDescent="0.25">
      <c r="A324">
        <v>674010</v>
      </c>
      <c r="B324">
        <v>674010</v>
      </c>
      <c r="E324" s="1468">
        <v>17030090</v>
      </c>
      <c r="G324" s="1468">
        <v>17030090</v>
      </c>
    </row>
    <row r="325" spans="1:8" x14ac:dyDescent="0.25">
      <c r="A325">
        <v>674400</v>
      </c>
      <c r="B325">
        <v>674400</v>
      </c>
      <c r="E325" s="1468">
        <v>743831</v>
      </c>
      <c r="G325" s="1468">
        <v>743831</v>
      </c>
    </row>
    <row r="326" spans="1:8" x14ac:dyDescent="0.25">
      <c r="A326">
        <v>674500</v>
      </c>
      <c r="B326">
        <v>674500</v>
      </c>
      <c r="E326" s="1468">
        <v>447442</v>
      </c>
      <c r="G326" s="1468">
        <v>447442</v>
      </c>
    </row>
    <row r="327" spans="1:8" x14ac:dyDescent="0.25">
      <c r="A327">
        <v>675000</v>
      </c>
      <c r="B327" t="s">
        <v>1722</v>
      </c>
      <c r="E327" s="1468">
        <v>11691887</v>
      </c>
      <c r="G327" s="1468">
        <v>11691887</v>
      </c>
    </row>
    <row r="328" spans="1:8" x14ac:dyDescent="0.25">
      <c r="A328">
        <v>676000</v>
      </c>
      <c r="B328">
        <v>676000</v>
      </c>
      <c r="E328" s="1468">
        <v>63781301</v>
      </c>
      <c r="G328" s="1468">
        <v>63781301</v>
      </c>
    </row>
    <row r="329" spans="1:8" x14ac:dyDescent="0.25">
      <c r="A329">
        <v>678000</v>
      </c>
      <c r="B329" t="s">
        <v>1723</v>
      </c>
      <c r="E329" s="1468">
        <v>101000100</v>
      </c>
      <c r="G329" s="1468">
        <v>101000100</v>
      </c>
    </row>
    <row r="330" spans="1:8" x14ac:dyDescent="0.25">
      <c r="A330">
        <v>681100</v>
      </c>
      <c r="B330" t="s">
        <v>1724</v>
      </c>
      <c r="E330" s="1468">
        <v>1687686484</v>
      </c>
      <c r="G330" s="1468">
        <v>1687686484</v>
      </c>
    </row>
    <row r="331" spans="1:8" x14ac:dyDescent="0.25">
      <c r="A331">
        <v>702100</v>
      </c>
      <c r="B331">
        <v>702100</v>
      </c>
      <c r="F331" s="1468">
        <v>20482140</v>
      </c>
      <c r="H331" s="1468">
        <v>20482140</v>
      </c>
    </row>
    <row r="332" spans="1:8" x14ac:dyDescent="0.25">
      <c r="A332">
        <v>702101</v>
      </c>
      <c r="B332">
        <v>702101</v>
      </c>
      <c r="F332" s="1468">
        <v>18867953328</v>
      </c>
      <c r="H332" s="1468">
        <v>18867953328</v>
      </c>
    </row>
    <row r="333" spans="1:8" x14ac:dyDescent="0.25">
      <c r="A333">
        <v>702102</v>
      </c>
      <c r="B333">
        <v>702102</v>
      </c>
      <c r="F333" s="1468">
        <v>11255976250</v>
      </c>
      <c r="H333" s="1468">
        <v>11255976250</v>
      </c>
    </row>
    <row r="334" spans="1:8" x14ac:dyDescent="0.25">
      <c r="A334">
        <v>702103</v>
      </c>
      <c r="B334">
        <v>702103</v>
      </c>
      <c r="F334" s="1468">
        <v>805805800</v>
      </c>
      <c r="H334" s="1468">
        <v>805805800</v>
      </c>
    </row>
    <row r="335" spans="1:8" x14ac:dyDescent="0.25">
      <c r="A335">
        <v>702900</v>
      </c>
      <c r="B335">
        <v>702900</v>
      </c>
      <c r="E335" s="1468">
        <v>1515496710</v>
      </c>
      <c r="G335" s="1468">
        <v>1515496710</v>
      </c>
    </row>
    <row r="336" spans="1:8" x14ac:dyDescent="0.25">
      <c r="A336">
        <v>758000</v>
      </c>
      <c r="B336" t="s">
        <v>1725</v>
      </c>
      <c r="F336" s="1468">
        <v>16417</v>
      </c>
      <c r="H336" s="1468">
        <v>16417</v>
      </c>
    </row>
    <row r="337" spans="1:8" x14ac:dyDescent="0.25">
      <c r="A337">
        <v>758200</v>
      </c>
      <c r="B337">
        <v>758200</v>
      </c>
      <c r="F337" s="1468">
        <v>18182000</v>
      </c>
      <c r="H337" s="1468">
        <v>18182000</v>
      </c>
    </row>
    <row r="338" spans="1:8" x14ac:dyDescent="0.25">
      <c r="A338">
        <v>770000</v>
      </c>
      <c r="B338" t="s">
        <v>1726</v>
      </c>
      <c r="F338" s="1468">
        <v>601700</v>
      </c>
      <c r="H338" s="1468">
        <v>601700</v>
      </c>
    </row>
    <row r="339" spans="1:8" x14ac:dyDescent="0.25">
      <c r="A339">
        <v>771000</v>
      </c>
      <c r="B339" t="s">
        <v>1727</v>
      </c>
      <c r="F339" s="1468">
        <v>5103664</v>
      </c>
      <c r="H339" s="1468">
        <v>5103664</v>
      </c>
    </row>
    <row r="340" spans="1:8" x14ac:dyDescent="0.25">
      <c r="A340">
        <v>771300</v>
      </c>
      <c r="B340" t="s">
        <v>1728</v>
      </c>
      <c r="F340" s="1468">
        <v>86680480</v>
      </c>
      <c r="H340" s="1468">
        <v>86680480</v>
      </c>
    </row>
    <row r="341" spans="1:8" x14ac:dyDescent="0.25">
      <c r="A341">
        <v>776000</v>
      </c>
      <c r="B341">
        <v>776000</v>
      </c>
      <c r="F341" s="1468">
        <v>115051</v>
      </c>
      <c r="H341" s="1468">
        <v>115051</v>
      </c>
    </row>
    <row r="342" spans="1:8" x14ac:dyDescent="0.25">
      <c r="A342">
        <v>778200</v>
      </c>
      <c r="B342" t="s">
        <v>1729</v>
      </c>
      <c r="F342" s="1468">
        <v>266844</v>
      </c>
      <c r="H342" s="1468">
        <v>266844</v>
      </c>
    </row>
  </sheetData>
  <mergeCells count="4">
    <mergeCell ref="A1:H1"/>
    <mergeCell ref="C2:D2"/>
    <mergeCell ref="E2:F2"/>
    <mergeCell ref="G2:H2"/>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3A64-FF39-4CCA-AD2F-82FA0F044EBA}">
  <dimension ref="A1:H135"/>
  <sheetViews>
    <sheetView workbookViewId="0">
      <selection activeCell="G4" sqref="G4:H135"/>
    </sheetView>
  </sheetViews>
  <sheetFormatPr baseColWidth="10" defaultRowHeight="15" x14ac:dyDescent="0.25"/>
  <cols>
    <col min="1" max="1" width="10" bestFit="1" customWidth="1"/>
    <col min="2" max="2" width="38.5703125" customWidth="1"/>
    <col min="3" max="8" width="20" customWidth="1"/>
  </cols>
  <sheetData>
    <row r="1" spans="1:8" x14ac:dyDescent="0.25">
      <c r="A1" s="659" t="str">
        <f>"BALANCE "&amp;[1]IDENTIFICATION!H7-1</f>
        <v>BALANCE 2024</v>
      </c>
      <c r="B1" s="659"/>
      <c r="C1" s="659"/>
      <c r="D1" s="659"/>
      <c r="E1" s="659"/>
      <c r="F1" s="659"/>
      <c r="G1" s="659"/>
      <c r="H1" s="659"/>
    </row>
    <row r="2" spans="1:8" x14ac:dyDescent="0.25">
      <c r="A2" s="22"/>
      <c r="B2" s="23"/>
      <c r="C2" s="661" t="s">
        <v>43</v>
      </c>
      <c r="D2" s="661"/>
      <c r="E2" s="661" t="s">
        <v>44</v>
      </c>
      <c r="F2" s="661"/>
      <c r="G2" s="661" t="s">
        <v>45</v>
      </c>
      <c r="H2" s="661"/>
    </row>
    <row r="3" spans="1:8" x14ac:dyDescent="0.25">
      <c r="A3" s="19" t="s">
        <v>46</v>
      </c>
      <c r="B3" s="20" t="s">
        <v>47</v>
      </c>
      <c r="C3" s="21" t="s">
        <v>48</v>
      </c>
      <c r="D3" s="21" t="s">
        <v>49</v>
      </c>
      <c r="E3" s="21" t="s">
        <v>50</v>
      </c>
      <c r="F3" s="21" t="s">
        <v>51</v>
      </c>
      <c r="G3" s="21" t="s">
        <v>52</v>
      </c>
      <c r="H3" s="21" t="s">
        <v>53</v>
      </c>
    </row>
    <row r="4" spans="1:8" x14ac:dyDescent="0.25">
      <c r="A4" s="1469">
        <v>101300</v>
      </c>
      <c r="B4" s="1469" t="s">
        <v>1730</v>
      </c>
      <c r="E4" s="1471"/>
      <c r="F4" s="1472">
        <v>10100000000</v>
      </c>
      <c r="G4" s="1471"/>
      <c r="H4" s="1472">
        <v>10100000000</v>
      </c>
    </row>
    <row r="5" spans="1:8" x14ac:dyDescent="0.25">
      <c r="A5" s="1470">
        <v>129100</v>
      </c>
      <c r="B5" s="1470" t="s">
        <v>1730</v>
      </c>
      <c r="E5" s="1473">
        <v>20055904</v>
      </c>
      <c r="F5" s="1474"/>
      <c r="G5" s="1473">
        <v>20055904</v>
      </c>
      <c r="H5" s="1474"/>
    </row>
    <row r="6" spans="1:8" x14ac:dyDescent="0.25">
      <c r="A6" s="1469">
        <v>162010</v>
      </c>
      <c r="B6" s="1469" t="s">
        <v>1730</v>
      </c>
      <c r="E6" s="1471"/>
      <c r="F6" s="1472">
        <v>252937682</v>
      </c>
      <c r="G6" s="1471"/>
      <c r="H6" s="1472">
        <v>252937682</v>
      </c>
    </row>
    <row r="7" spans="1:8" x14ac:dyDescent="0.25">
      <c r="A7" s="1470">
        <v>162020</v>
      </c>
      <c r="B7" s="1470" t="s">
        <v>1730</v>
      </c>
      <c r="E7" s="1474"/>
      <c r="F7" s="1473">
        <v>15000000000</v>
      </c>
      <c r="G7" s="1474"/>
      <c r="H7" s="1473">
        <v>15000000000</v>
      </c>
    </row>
    <row r="8" spans="1:8" x14ac:dyDescent="0.25">
      <c r="A8" s="1469">
        <v>162030</v>
      </c>
      <c r="B8" s="1469" t="s">
        <v>1730</v>
      </c>
      <c r="E8" s="1471"/>
      <c r="F8" s="1472">
        <v>4460645615</v>
      </c>
      <c r="G8" s="1471"/>
      <c r="H8" s="1472">
        <v>4460645615</v>
      </c>
    </row>
    <row r="9" spans="1:8" x14ac:dyDescent="0.25">
      <c r="A9" s="1470">
        <v>213100</v>
      </c>
      <c r="B9" s="1470" t="s">
        <v>1730</v>
      </c>
      <c r="E9" s="1473">
        <v>64245912</v>
      </c>
      <c r="F9" s="1474"/>
      <c r="G9" s="1473">
        <v>64245912</v>
      </c>
      <c r="H9" s="1474"/>
    </row>
    <row r="10" spans="1:8" x14ac:dyDescent="0.25">
      <c r="A10" s="1469">
        <v>221800</v>
      </c>
      <c r="B10" s="1469" t="s">
        <v>1730</v>
      </c>
      <c r="E10" s="1472">
        <v>962734139</v>
      </c>
      <c r="F10" s="1471"/>
      <c r="G10" s="1472">
        <v>962734139</v>
      </c>
      <c r="H10" s="1471"/>
    </row>
    <row r="11" spans="1:8" x14ac:dyDescent="0.25">
      <c r="A11" s="1470">
        <v>222800</v>
      </c>
      <c r="B11" s="1470" t="s">
        <v>1730</v>
      </c>
      <c r="E11" s="1473">
        <v>435779000</v>
      </c>
      <c r="F11" s="1474"/>
      <c r="G11" s="1473">
        <v>435779000</v>
      </c>
      <c r="H11" s="1474"/>
    </row>
    <row r="12" spans="1:8" x14ac:dyDescent="0.25">
      <c r="A12" s="1469">
        <v>231102</v>
      </c>
      <c r="B12" s="1469" t="s">
        <v>1730</v>
      </c>
      <c r="E12" s="1472">
        <v>1437878625</v>
      </c>
      <c r="F12" s="1471"/>
      <c r="G12" s="1472">
        <v>1437878625</v>
      </c>
      <c r="H12" s="1471"/>
    </row>
    <row r="13" spans="1:8" x14ac:dyDescent="0.25">
      <c r="A13" s="1470">
        <v>231103</v>
      </c>
      <c r="B13" s="1470" t="s">
        <v>1730</v>
      </c>
      <c r="E13" s="1473">
        <v>16501045</v>
      </c>
      <c r="F13" s="1474"/>
      <c r="G13" s="1473">
        <v>16501045</v>
      </c>
      <c r="H13" s="1474"/>
    </row>
    <row r="14" spans="1:8" x14ac:dyDescent="0.25">
      <c r="A14" s="1469">
        <v>231106</v>
      </c>
      <c r="B14" s="1469" t="s">
        <v>1730</v>
      </c>
      <c r="E14" s="1472">
        <v>333928425</v>
      </c>
      <c r="F14" s="1471"/>
      <c r="G14" s="1472">
        <v>333928425</v>
      </c>
      <c r="H14" s="1471"/>
    </row>
    <row r="15" spans="1:8" x14ac:dyDescent="0.25">
      <c r="A15" s="1470">
        <v>231108</v>
      </c>
      <c r="B15" s="1470" t="s">
        <v>1730</v>
      </c>
      <c r="E15" s="1473">
        <v>159646906</v>
      </c>
      <c r="F15" s="1474"/>
      <c r="G15" s="1473">
        <v>159646906</v>
      </c>
      <c r="H15" s="1474"/>
    </row>
    <row r="16" spans="1:8" x14ac:dyDescent="0.25">
      <c r="A16" s="1469">
        <v>231109</v>
      </c>
      <c r="B16" s="1469" t="s">
        <v>1730</v>
      </c>
      <c r="E16" s="1472">
        <v>998913888</v>
      </c>
      <c r="F16" s="1471"/>
      <c r="G16" s="1472">
        <v>998913888</v>
      </c>
      <c r="H16" s="1471"/>
    </row>
    <row r="17" spans="1:8" x14ac:dyDescent="0.25">
      <c r="A17" s="1470">
        <v>231301</v>
      </c>
      <c r="B17" s="1470" t="s">
        <v>1730</v>
      </c>
      <c r="E17" s="1473">
        <v>244245977</v>
      </c>
      <c r="F17" s="1474"/>
      <c r="G17" s="1473">
        <v>244245977</v>
      </c>
      <c r="H17" s="1474"/>
    </row>
    <row r="18" spans="1:8" x14ac:dyDescent="0.25">
      <c r="A18" s="1469">
        <v>231302</v>
      </c>
      <c r="B18" s="1469" t="s">
        <v>1730</v>
      </c>
      <c r="E18" s="1472">
        <v>48657553</v>
      </c>
      <c r="F18" s="1471"/>
      <c r="G18" s="1472">
        <v>48657553</v>
      </c>
      <c r="H18" s="1471"/>
    </row>
    <row r="19" spans="1:8" x14ac:dyDescent="0.25">
      <c r="A19" s="1470">
        <v>233800</v>
      </c>
      <c r="B19" s="1470" t="s">
        <v>1730</v>
      </c>
      <c r="E19" s="1473">
        <v>43875500</v>
      </c>
      <c r="F19" s="1474"/>
      <c r="G19" s="1473">
        <v>43875500</v>
      </c>
      <c r="H19" s="1474"/>
    </row>
    <row r="20" spans="1:8" x14ac:dyDescent="0.25">
      <c r="A20" s="1469">
        <v>234000</v>
      </c>
      <c r="B20" s="1469" t="s">
        <v>1730</v>
      </c>
      <c r="E20" s="1472">
        <v>267698569</v>
      </c>
      <c r="F20" s="1471"/>
      <c r="G20" s="1472">
        <v>267698569</v>
      </c>
      <c r="H20" s="1471"/>
    </row>
    <row r="21" spans="1:8" x14ac:dyDescent="0.25">
      <c r="A21" s="1470">
        <v>234102</v>
      </c>
      <c r="B21" s="1470" t="s">
        <v>1730</v>
      </c>
      <c r="E21" s="1473">
        <v>419812480</v>
      </c>
      <c r="F21" s="1474"/>
      <c r="G21" s="1473">
        <v>419812480</v>
      </c>
      <c r="H21" s="1474"/>
    </row>
    <row r="22" spans="1:8" x14ac:dyDescent="0.25">
      <c r="A22" s="1469">
        <v>234105</v>
      </c>
      <c r="B22" s="1469" t="s">
        <v>1730</v>
      </c>
      <c r="E22" s="1472">
        <v>3750200533</v>
      </c>
      <c r="F22" s="1471"/>
      <c r="G22" s="1472">
        <v>3750200533</v>
      </c>
      <c r="H22" s="1471"/>
    </row>
    <row r="23" spans="1:8" x14ac:dyDescent="0.25">
      <c r="A23" s="1470">
        <v>234107</v>
      </c>
      <c r="B23" s="1470" t="s">
        <v>1730</v>
      </c>
      <c r="E23" s="1473">
        <v>361303936</v>
      </c>
      <c r="F23" s="1474"/>
      <c r="G23" s="1473">
        <v>361303936</v>
      </c>
      <c r="H23" s="1474"/>
    </row>
    <row r="24" spans="1:8" x14ac:dyDescent="0.25">
      <c r="A24" s="1469">
        <v>234108</v>
      </c>
      <c r="B24" s="1469" t="s">
        <v>1730</v>
      </c>
      <c r="E24" s="1472">
        <v>334246609</v>
      </c>
      <c r="F24" s="1471"/>
      <c r="G24" s="1472">
        <v>334246609</v>
      </c>
      <c r="H24" s="1471"/>
    </row>
    <row r="25" spans="1:8" x14ac:dyDescent="0.25">
      <c r="A25" s="1470">
        <v>234112</v>
      </c>
      <c r="B25" s="1470" t="s">
        <v>1730</v>
      </c>
      <c r="E25" s="1473">
        <v>426851125</v>
      </c>
      <c r="F25" s="1474"/>
      <c r="G25" s="1473">
        <v>426851125</v>
      </c>
      <c r="H25" s="1474"/>
    </row>
    <row r="26" spans="1:8" x14ac:dyDescent="0.25">
      <c r="A26" s="1469">
        <v>235800</v>
      </c>
      <c r="B26" s="1469" t="s">
        <v>1730</v>
      </c>
      <c r="E26" s="1472">
        <v>8764000</v>
      </c>
      <c r="F26" s="1471"/>
      <c r="G26" s="1472">
        <v>8764000</v>
      </c>
      <c r="H26" s="1471"/>
    </row>
    <row r="27" spans="1:8" x14ac:dyDescent="0.25">
      <c r="A27" s="1470">
        <v>239100</v>
      </c>
      <c r="B27" s="1470" t="s">
        <v>1730</v>
      </c>
      <c r="E27" s="1473">
        <v>320032719</v>
      </c>
      <c r="F27" s="1474"/>
      <c r="G27" s="1473">
        <v>320032719</v>
      </c>
      <c r="H27" s="1474"/>
    </row>
    <row r="28" spans="1:8" x14ac:dyDescent="0.25">
      <c r="A28" s="1469">
        <v>239101</v>
      </c>
      <c r="B28" s="1469" t="s">
        <v>1730</v>
      </c>
      <c r="E28" s="1472">
        <v>17764585</v>
      </c>
      <c r="F28" s="1471"/>
      <c r="G28" s="1472">
        <v>17764585</v>
      </c>
      <c r="H28" s="1471"/>
    </row>
    <row r="29" spans="1:8" x14ac:dyDescent="0.25">
      <c r="A29" s="1470">
        <v>239103</v>
      </c>
      <c r="B29" s="1470" t="s">
        <v>1730</v>
      </c>
      <c r="E29" s="1473">
        <v>2064250</v>
      </c>
      <c r="F29" s="1474"/>
      <c r="G29" s="1473">
        <v>2064250</v>
      </c>
      <c r="H29" s="1474"/>
    </row>
    <row r="30" spans="1:8" x14ac:dyDescent="0.25">
      <c r="A30" s="1469">
        <v>239200</v>
      </c>
      <c r="B30" s="1469" t="s">
        <v>1730</v>
      </c>
      <c r="E30" s="1472">
        <v>1231987616</v>
      </c>
      <c r="F30" s="1471"/>
      <c r="G30" s="1472">
        <v>1231987616</v>
      </c>
      <c r="H30" s="1471"/>
    </row>
    <row r="31" spans="1:8" x14ac:dyDescent="0.25">
      <c r="A31" s="1470">
        <v>239201</v>
      </c>
      <c r="B31" s="1470" t="s">
        <v>1730</v>
      </c>
      <c r="E31" s="1473">
        <v>298617865</v>
      </c>
      <c r="F31" s="1474"/>
      <c r="G31" s="1473">
        <v>298617865</v>
      </c>
      <c r="H31" s="1474"/>
    </row>
    <row r="32" spans="1:8" x14ac:dyDescent="0.25">
      <c r="A32" s="1469">
        <v>239202</v>
      </c>
      <c r="B32" s="1469" t="s">
        <v>1730</v>
      </c>
      <c r="E32" s="1472">
        <v>810595067</v>
      </c>
      <c r="F32" s="1471"/>
      <c r="G32" s="1472">
        <v>810595067</v>
      </c>
      <c r="H32" s="1471"/>
    </row>
    <row r="33" spans="1:8" x14ac:dyDescent="0.25">
      <c r="A33" s="1470">
        <v>239204</v>
      </c>
      <c r="B33" s="1470" t="s">
        <v>1730</v>
      </c>
      <c r="E33" s="1473">
        <v>91833980</v>
      </c>
      <c r="F33" s="1474"/>
      <c r="G33" s="1473">
        <v>91833980</v>
      </c>
      <c r="H33" s="1474"/>
    </row>
    <row r="34" spans="1:8" x14ac:dyDescent="0.25">
      <c r="A34" s="1469">
        <v>239206</v>
      </c>
      <c r="B34" s="1469" t="s">
        <v>1730</v>
      </c>
      <c r="E34" s="1472">
        <v>196787100</v>
      </c>
      <c r="F34" s="1471"/>
      <c r="G34" s="1472">
        <v>196787100</v>
      </c>
      <c r="H34" s="1471"/>
    </row>
    <row r="35" spans="1:8" x14ac:dyDescent="0.25">
      <c r="A35" s="1470">
        <v>239209</v>
      </c>
      <c r="B35" s="1470" t="s">
        <v>1730</v>
      </c>
      <c r="E35" s="1473">
        <v>1119425416</v>
      </c>
      <c r="F35" s="1474"/>
      <c r="G35" s="1473">
        <v>1119425416</v>
      </c>
      <c r="H35" s="1474"/>
    </row>
    <row r="36" spans="1:8" x14ac:dyDescent="0.25">
      <c r="A36" s="1469">
        <v>239210</v>
      </c>
      <c r="B36" s="1469" t="s">
        <v>1730</v>
      </c>
      <c r="E36" s="1472">
        <v>993580477</v>
      </c>
      <c r="F36" s="1471"/>
      <c r="G36" s="1472">
        <v>993580477</v>
      </c>
      <c r="H36" s="1471"/>
    </row>
    <row r="37" spans="1:8" x14ac:dyDescent="0.25">
      <c r="A37" s="1470">
        <v>239211</v>
      </c>
      <c r="B37" s="1470" t="s">
        <v>1730</v>
      </c>
      <c r="E37" s="1473">
        <v>170548820</v>
      </c>
      <c r="F37" s="1474"/>
      <c r="G37" s="1473">
        <v>170548820</v>
      </c>
      <c r="H37" s="1474"/>
    </row>
    <row r="38" spans="1:8" x14ac:dyDescent="0.25">
      <c r="A38" s="1469">
        <v>239212</v>
      </c>
      <c r="B38" s="1469" t="s">
        <v>1730</v>
      </c>
      <c r="E38" s="1472">
        <v>2902609725</v>
      </c>
      <c r="F38" s="1471"/>
      <c r="G38" s="1472">
        <v>2902609725</v>
      </c>
      <c r="H38" s="1471"/>
    </row>
    <row r="39" spans="1:8" x14ac:dyDescent="0.25">
      <c r="A39" s="1470">
        <v>239217</v>
      </c>
      <c r="B39" s="1470" t="s">
        <v>1730</v>
      </c>
      <c r="E39" s="1473">
        <v>679205393</v>
      </c>
      <c r="F39" s="1474"/>
      <c r="G39" s="1473">
        <v>679205393</v>
      </c>
      <c r="H39" s="1474"/>
    </row>
    <row r="40" spans="1:8" x14ac:dyDescent="0.25">
      <c r="A40" s="1469">
        <v>239218</v>
      </c>
      <c r="B40" s="1469" t="s">
        <v>1730</v>
      </c>
      <c r="E40" s="1472">
        <v>25630000</v>
      </c>
      <c r="F40" s="1471"/>
      <c r="G40" s="1472">
        <v>25630000</v>
      </c>
      <c r="H40" s="1471"/>
    </row>
    <row r="41" spans="1:8" x14ac:dyDescent="0.25">
      <c r="A41" s="1470">
        <v>239219</v>
      </c>
      <c r="B41" s="1470" t="s">
        <v>1730</v>
      </c>
      <c r="E41" s="1473">
        <v>239087232</v>
      </c>
      <c r="F41" s="1474"/>
      <c r="G41" s="1473">
        <v>239087232</v>
      </c>
      <c r="H41" s="1474"/>
    </row>
    <row r="42" spans="1:8" x14ac:dyDescent="0.25">
      <c r="A42" s="1469">
        <v>239220</v>
      </c>
      <c r="B42" s="1469" t="s">
        <v>1730</v>
      </c>
      <c r="E42" s="1472">
        <v>6300000</v>
      </c>
      <c r="F42" s="1471"/>
      <c r="G42" s="1472">
        <v>6300000</v>
      </c>
      <c r="H42" s="1471"/>
    </row>
    <row r="43" spans="1:8" x14ac:dyDescent="0.25">
      <c r="A43" s="1470">
        <v>239221</v>
      </c>
      <c r="B43" s="1470" t="s">
        <v>1730</v>
      </c>
      <c r="E43" s="1473">
        <v>15649400</v>
      </c>
      <c r="F43" s="1474"/>
      <c r="G43" s="1473">
        <v>15649400</v>
      </c>
      <c r="H43" s="1474"/>
    </row>
    <row r="44" spans="1:8" x14ac:dyDescent="0.25">
      <c r="A44" s="1469">
        <v>239300</v>
      </c>
      <c r="B44" s="1469" t="s">
        <v>1730</v>
      </c>
      <c r="E44" s="1472">
        <v>5930350</v>
      </c>
      <c r="F44" s="1471"/>
      <c r="G44" s="1472">
        <v>5930350</v>
      </c>
      <c r="H44" s="1471"/>
    </row>
    <row r="45" spans="1:8" x14ac:dyDescent="0.25">
      <c r="A45" s="1470">
        <v>239301</v>
      </c>
      <c r="B45" s="1470" t="s">
        <v>1730</v>
      </c>
      <c r="E45" s="1473">
        <v>241256862</v>
      </c>
      <c r="F45" s="1474"/>
      <c r="G45" s="1473">
        <v>241256862</v>
      </c>
      <c r="H45" s="1474"/>
    </row>
    <row r="46" spans="1:8" x14ac:dyDescent="0.25">
      <c r="A46" s="1469">
        <v>239302</v>
      </c>
      <c r="B46" s="1469" t="s">
        <v>1730</v>
      </c>
      <c r="E46" s="1472">
        <v>827850945</v>
      </c>
      <c r="F46" s="1471"/>
      <c r="G46" s="1472">
        <v>827850945</v>
      </c>
      <c r="H46" s="1471"/>
    </row>
    <row r="47" spans="1:8" x14ac:dyDescent="0.25">
      <c r="A47" s="1470">
        <v>239303</v>
      </c>
      <c r="B47" s="1470" t="s">
        <v>1730</v>
      </c>
      <c r="E47" s="1473">
        <v>108299673</v>
      </c>
      <c r="F47" s="1474"/>
      <c r="G47" s="1473">
        <v>108299673</v>
      </c>
      <c r="H47" s="1474"/>
    </row>
    <row r="48" spans="1:8" x14ac:dyDescent="0.25">
      <c r="A48" s="1469">
        <v>239306</v>
      </c>
      <c r="B48" s="1469" t="s">
        <v>1730</v>
      </c>
      <c r="E48" s="1472">
        <v>11250000</v>
      </c>
      <c r="F48" s="1471"/>
      <c r="G48" s="1472">
        <v>11250000</v>
      </c>
      <c r="H48" s="1471"/>
    </row>
    <row r="49" spans="1:8" x14ac:dyDescent="0.25">
      <c r="A49" s="1470">
        <v>239307</v>
      </c>
      <c r="B49" s="1470" t="s">
        <v>1730</v>
      </c>
      <c r="E49" s="1473">
        <v>2564580</v>
      </c>
      <c r="F49" s="1474"/>
      <c r="G49" s="1473">
        <v>2564580</v>
      </c>
      <c r="H49" s="1474"/>
    </row>
    <row r="50" spans="1:8" x14ac:dyDescent="0.25">
      <c r="A50" s="1469">
        <v>239308</v>
      </c>
      <c r="B50" s="1469" t="s">
        <v>1730</v>
      </c>
      <c r="E50" s="1472">
        <v>4100000</v>
      </c>
      <c r="F50" s="1471"/>
      <c r="G50" s="1472">
        <v>4100000</v>
      </c>
      <c r="H50" s="1471"/>
    </row>
    <row r="51" spans="1:8" x14ac:dyDescent="0.25">
      <c r="A51" s="1470">
        <v>239309</v>
      </c>
      <c r="B51" s="1470" t="s">
        <v>1730</v>
      </c>
      <c r="E51" s="1473">
        <v>260000</v>
      </c>
      <c r="F51" s="1474"/>
      <c r="G51" s="1473">
        <v>260000</v>
      </c>
      <c r="H51" s="1474"/>
    </row>
    <row r="52" spans="1:8" x14ac:dyDescent="0.25">
      <c r="A52" s="1469">
        <v>239310</v>
      </c>
      <c r="B52" s="1469" t="s">
        <v>1730</v>
      </c>
      <c r="E52" s="1472">
        <v>1406723174</v>
      </c>
      <c r="F52" s="1471"/>
      <c r="G52" s="1472">
        <v>1406723174</v>
      </c>
      <c r="H52" s="1471"/>
    </row>
    <row r="53" spans="1:8" x14ac:dyDescent="0.25">
      <c r="A53" s="1470">
        <v>239311</v>
      </c>
      <c r="B53" s="1470" t="s">
        <v>1730</v>
      </c>
      <c r="E53" s="1473">
        <v>288365495</v>
      </c>
      <c r="F53" s="1474"/>
      <c r="G53" s="1473">
        <v>288365495</v>
      </c>
      <c r="H53" s="1474"/>
    </row>
    <row r="54" spans="1:8" x14ac:dyDescent="0.25">
      <c r="A54" s="1469">
        <v>239400</v>
      </c>
      <c r="B54" s="1469" t="s">
        <v>1730</v>
      </c>
      <c r="E54" s="1472">
        <v>42140794</v>
      </c>
      <c r="F54" s="1471"/>
      <c r="G54" s="1472">
        <v>42140794</v>
      </c>
      <c r="H54" s="1471"/>
    </row>
    <row r="55" spans="1:8" x14ac:dyDescent="0.25">
      <c r="A55" s="1470">
        <v>239800</v>
      </c>
      <c r="B55" s="1470" t="s">
        <v>1730</v>
      </c>
      <c r="E55" s="1473">
        <v>5576977</v>
      </c>
      <c r="F55" s="1474"/>
      <c r="G55" s="1473">
        <v>5576977</v>
      </c>
      <c r="H55" s="1474"/>
    </row>
    <row r="56" spans="1:8" x14ac:dyDescent="0.25">
      <c r="A56" s="1469">
        <v>241000</v>
      </c>
      <c r="B56" s="1469" t="s">
        <v>1730</v>
      </c>
      <c r="E56" s="1472">
        <v>114369524</v>
      </c>
      <c r="F56" s="1471"/>
      <c r="G56" s="1472">
        <v>114369524</v>
      </c>
      <c r="H56" s="1471"/>
    </row>
    <row r="57" spans="1:8" x14ac:dyDescent="0.25">
      <c r="A57" s="1470">
        <v>241101</v>
      </c>
      <c r="B57" s="1470" t="s">
        <v>1730</v>
      </c>
      <c r="E57" s="1473">
        <v>514321</v>
      </c>
      <c r="F57" s="1474"/>
      <c r="G57" s="1473">
        <v>514321</v>
      </c>
      <c r="H57" s="1474"/>
    </row>
    <row r="58" spans="1:8" x14ac:dyDescent="0.25">
      <c r="A58" s="1469">
        <v>241102</v>
      </c>
      <c r="B58" s="1469" t="s">
        <v>1730</v>
      </c>
      <c r="E58" s="1472">
        <v>30141000</v>
      </c>
      <c r="F58" s="1471"/>
      <c r="G58" s="1472">
        <v>30141000</v>
      </c>
      <c r="H58" s="1471"/>
    </row>
    <row r="59" spans="1:8" x14ac:dyDescent="0.25">
      <c r="A59" s="1470">
        <v>241103</v>
      </c>
      <c r="B59" s="1470" t="s">
        <v>1730</v>
      </c>
      <c r="E59" s="1473">
        <v>40976580</v>
      </c>
      <c r="F59" s="1474"/>
      <c r="G59" s="1473">
        <v>40976580</v>
      </c>
      <c r="H59" s="1474"/>
    </row>
    <row r="60" spans="1:8" x14ac:dyDescent="0.25">
      <c r="A60" s="1469">
        <v>241201</v>
      </c>
      <c r="B60" s="1469" t="s">
        <v>1730</v>
      </c>
      <c r="E60" s="1472">
        <v>2390000</v>
      </c>
      <c r="F60" s="1471"/>
      <c r="G60" s="1472">
        <v>2390000</v>
      </c>
      <c r="H60" s="1471"/>
    </row>
    <row r="61" spans="1:8" x14ac:dyDescent="0.25">
      <c r="A61" s="1470">
        <v>241302</v>
      </c>
      <c r="B61" s="1470" t="s">
        <v>1730</v>
      </c>
      <c r="E61" s="1473">
        <v>125144033</v>
      </c>
      <c r="F61" s="1474"/>
      <c r="G61" s="1473">
        <v>125144033</v>
      </c>
      <c r="H61" s="1474"/>
    </row>
    <row r="62" spans="1:8" x14ac:dyDescent="0.25">
      <c r="A62" s="1469">
        <v>244100</v>
      </c>
      <c r="B62" s="1469" t="s">
        <v>1730</v>
      </c>
      <c r="E62" s="1472">
        <v>7510602</v>
      </c>
      <c r="F62" s="1471"/>
      <c r="G62" s="1472">
        <v>7510602</v>
      </c>
      <c r="H62" s="1471"/>
    </row>
    <row r="63" spans="1:8" x14ac:dyDescent="0.25">
      <c r="A63" s="1470">
        <v>244101</v>
      </c>
      <c r="B63" s="1470" t="s">
        <v>1730</v>
      </c>
      <c r="E63" s="1473">
        <v>12206474</v>
      </c>
      <c r="F63" s="1474"/>
      <c r="G63" s="1473">
        <v>12206474</v>
      </c>
      <c r="H63" s="1474"/>
    </row>
    <row r="64" spans="1:8" x14ac:dyDescent="0.25">
      <c r="A64" s="1469">
        <v>244200</v>
      </c>
      <c r="B64" s="1469" t="s">
        <v>1730</v>
      </c>
      <c r="E64" s="1472">
        <v>71526744</v>
      </c>
      <c r="F64" s="1471"/>
      <c r="G64" s="1472">
        <v>71526744</v>
      </c>
      <c r="H64" s="1471"/>
    </row>
    <row r="65" spans="1:8" x14ac:dyDescent="0.25">
      <c r="A65" s="1470">
        <v>244400</v>
      </c>
      <c r="B65" s="1470" t="s">
        <v>1730</v>
      </c>
      <c r="E65" s="1473">
        <v>23553500</v>
      </c>
      <c r="F65" s="1474"/>
      <c r="G65" s="1473">
        <v>23553500</v>
      </c>
      <c r="H65" s="1474"/>
    </row>
    <row r="66" spans="1:8" x14ac:dyDescent="0.25">
      <c r="A66" s="1469">
        <v>245000</v>
      </c>
      <c r="B66" s="1469" t="s">
        <v>1730</v>
      </c>
      <c r="E66" s="1472">
        <v>68723691</v>
      </c>
      <c r="F66" s="1471"/>
      <c r="G66" s="1472">
        <v>68723691</v>
      </c>
      <c r="H66" s="1471"/>
    </row>
    <row r="67" spans="1:8" x14ac:dyDescent="0.25">
      <c r="A67" s="1470">
        <v>245100</v>
      </c>
      <c r="B67" s="1470" t="s">
        <v>1730</v>
      </c>
      <c r="E67" s="1473">
        <v>5472446845</v>
      </c>
      <c r="F67" s="1474"/>
      <c r="G67" s="1473">
        <v>5472446845</v>
      </c>
      <c r="H67" s="1474"/>
    </row>
    <row r="68" spans="1:8" x14ac:dyDescent="0.25">
      <c r="A68" s="1469">
        <v>252000</v>
      </c>
      <c r="B68" s="1469" t="s">
        <v>1730</v>
      </c>
      <c r="E68" s="1472">
        <v>324618032</v>
      </c>
      <c r="F68" s="1471"/>
      <c r="G68" s="1472">
        <v>324618032</v>
      </c>
      <c r="H68" s="1471"/>
    </row>
    <row r="69" spans="1:8" x14ac:dyDescent="0.25">
      <c r="A69" s="1470">
        <v>275100</v>
      </c>
      <c r="B69" s="1470" t="s">
        <v>1730</v>
      </c>
      <c r="E69" s="1473">
        <v>1450000</v>
      </c>
      <c r="F69" s="1474"/>
      <c r="G69" s="1473">
        <v>1450000</v>
      </c>
      <c r="H69" s="1474"/>
    </row>
    <row r="70" spans="1:8" x14ac:dyDescent="0.25">
      <c r="A70" s="1469">
        <v>275800</v>
      </c>
      <c r="B70" s="1469" t="s">
        <v>1730</v>
      </c>
      <c r="E70" s="1472">
        <v>194464675</v>
      </c>
      <c r="F70" s="1471"/>
      <c r="G70" s="1472">
        <v>194464675</v>
      </c>
      <c r="H70" s="1471"/>
    </row>
    <row r="71" spans="1:8" x14ac:dyDescent="0.25">
      <c r="A71" s="1470">
        <v>278400</v>
      </c>
      <c r="B71" s="1470" t="s">
        <v>1730</v>
      </c>
      <c r="E71" s="1473">
        <v>1500000000</v>
      </c>
      <c r="F71" s="1474"/>
      <c r="G71" s="1473">
        <v>1500000000</v>
      </c>
      <c r="H71" s="1474"/>
    </row>
    <row r="72" spans="1:8" x14ac:dyDescent="0.25">
      <c r="A72" s="1469">
        <v>281300</v>
      </c>
      <c r="B72" s="1469" t="s">
        <v>1730</v>
      </c>
      <c r="E72" s="1471"/>
      <c r="F72" s="1472">
        <v>16230977</v>
      </c>
      <c r="G72" s="1471"/>
      <c r="H72" s="1472">
        <v>16230977</v>
      </c>
    </row>
    <row r="73" spans="1:8" x14ac:dyDescent="0.25">
      <c r="A73" s="1470">
        <v>283100</v>
      </c>
      <c r="B73" s="1470" t="s">
        <v>1730</v>
      </c>
      <c r="E73" s="1474"/>
      <c r="F73" s="1473">
        <v>138730642</v>
      </c>
      <c r="G73" s="1474"/>
      <c r="H73" s="1473">
        <v>138730642</v>
      </c>
    </row>
    <row r="74" spans="1:8" x14ac:dyDescent="0.25">
      <c r="A74" s="1469">
        <v>283400</v>
      </c>
      <c r="B74" s="1469" t="s">
        <v>1730</v>
      </c>
      <c r="E74" s="1471"/>
      <c r="F74" s="1472">
        <v>412613570</v>
      </c>
      <c r="G74" s="1471"/>
      <c r="H74" s="1472">
        <v>412613570</v>
      </c>
    </row>
    <row r="75" spans="1:8" x14ac:dyDescent="0.25">
      <c r="A75" s="1470">
        <v>284100</v>
      </c>
      <c r="B75" s="1470" t="s">
        <v>1730</v>
      </c>
      <c r="E75" s="1474"/>
      <c r="F75" s="1473">
        <v>15044968</v>
      </c>
      <c r="G75" s="1474"/>
      <c r="H75" s="1473">
        <v>15044968</v>
      </c>
    </row>
    <row r="76" spans="1:8" x14ac:dyDescent="0.25">
      <c r="A76" s="1469">
        <v>284400</v>
      </c>
      <c r="B76" s="1469" t="s">
        <v>1730</v>
      </c>
      <c r="E76" s="1471"/>
      <c r="F76" s="1472">
        <v>17992904</v>
      </c>
      <c r="G76" s="1471"/>
      <c r="H76" s="1472">
        <v>17992904</v>
      </c>
    </row>
    <row r="77" spans="1:8" x14ac:dyDescent="0.25">
      <c r="A77" s="1470">
        <v>284500</v>
      </c>
      <c r="B77" s="1470" t="s">
        <v>1730</v>
      </c>
      <c r="E77" s="1474"/>
      <c r="F77" s="1473">
        <v>581355720</v>
      </c>
      <c r="G77" s="1474"/>
      <c r="H77" s="1473">
        <v>581355720</v>
      </c>
    </row>
    <row r="78" spans="1:8" x14ac:dyDescent="0.25">
      <c r="A78" s="1469">
        <v>321001</v>
      </c>
      <c r="B78" s="1469" t="s">
        <v>1730</v>
      </c>
      <c r="E78" s="1472">
        <v>2535060857</v>
      </c>
      <c r="F78" s="1471"/>
      <c r="G78" s="1472">
        <v>2535060857</v>
      </c>
      <c r="H78" s="1471"/>
    </row>
    <row r="79" spans="1:8" x14ac:dyDescent="0.25">
      <c r="A79" s="1470">
        <v>321002</v>
      </c>
      <c r="B79" s="1470" t="s">
        <v>1730</v>
      </c>
      <c r="E79" s="1473">
        <v>812728654</v>
      </c>
      <c r="F79" s="1474"/>
      <c r="G79" s="1473">
        <v>812728654</v>
      </c>
      <c r="H79" s="1474"/>
    </row>
    <row r="80" spans="1:8" x14ac:dyDescent="0.25">
      <c r="A80" s="1469">
        <v>321003</v>
      </c>
      <c r="B80" s="1469" t="s">
        <v>1730</v>
      </c>
      <c r="E80" s="1472">
        <v>37596168</v>
      </c>
      <c r="F80" s="1471"/>
      <c r="G80" s="1472">
        <v>37596168</v>
      </c>
      <c r="H80" s="1471"/>
    </row>
    <row r="81" spans="1:8" x14ac:dyDescent="0.25">
      <c r="A81" s="1470">
        <v>321004</v>
      </c>
      <c r="B81" s="1470" t="s">
        <v>1730</v>
      </c>
      <c r="E81" s="1473">
        <v>166973440</v>
      </c>
      <c r="F81" s="1474"/>
      <c r="G81" s="1473">
        <v>166973440</v>
      </c>
      <c r="H81" s="1474"/>
    </row>
    <row r="82" spans="1:8" x14ac:dyDescent="0.25">
      <c r="A82" s="1469">
        <v>321005</v>
      </c>
      <c r="B82" s="1469" t="s">
        <v>1730</v>
      </c>
      <c r="E82" s="1472">
        <v>15822000</v>
      </c>
      <c r="F82" s="1471"/>
      <c r="G82" s="1472">
        <v>15822000</v>
      </c>
      <c r="H82" s="1471"/>
    </row>
    <row r="83" spans="1:8" x14ac:dyDescent="0.25">
      <c r="A83" s="1470">
        <v>338100</v>
      </c>
      <c r="B83" s="1470" t="s">
        <v>1730</v>
      </c>
      <c r="E83" s="1473">
        <v>194278580</v>
      </c>
      <c r="F83" s="1474"/>
      <c r="G83" s="1473">
        <v>194278580</v>
      </c>
      <c r="H83" s="1474"/>
    </row>
    <row r="84" spans="1:8" x14ac:dyDescent="0.25">
      <c r="A84" s="1469">
        <v>361000</v>
      </c>
      <c r="B84" s="1469" t="s">
        <v>1730</v>
      </c>
      <c r="E84" s="1472">
        <v>45140418</v>
      </c>
      <c r="F84" s="1471"/>
      <c r="G84" s="1472">
        <v>45140418</v>
      </c>
      <c r="H84" s="1471"/>
    </row>
    <row r="85" spans="1:8" x14ac:dyDescent="0.25">
      <c r="A85" s="1470">
        <v>362000</v>
      </c>
      <c r="B85" s="1470" t="s">
        <v>1730</v>
      </c>
      <c r="E85" s="1473">
        <v>70351382</v>
      </c>
      <c r="F85" s="1474"/>
      <c r="G85" s="1473">
        <v>70351382</v>
      </c>
      <c r="H85" s="1474"/>
    </row>
    <row r="86" spans="1:8" x14ac:dyDescent="0.25">
      <c r="A86" s="1469">
        <v>382001</v>
      </c>
      <c r="B86" s="1469" t="s">
        <v>1730</v>
      </c>
      <c r="E86" s="1472">
        <v>1636467942</v>
      </c>
      <c r="F86" s="1471"/>
      <c r="G86" s="1472">
        <v>1636467942</v>
      </c>
      <c r="H86" s="1471"/>
    </row>
    <row r="87" spans="1:8" x14ac:dyDescent="0.25">
      <c r="A87" s="1470">
        <v>401100</v>
      </c>
      <c r="B87" s="1470" t="s">
        <v>1730</v>
      </c>
      <c r="E87" s="1474"/>
      <c r="F87" s="1473">
        <v>2276047089</v>
      </c>
      <c r="G87" s="1474"/>
      <c r="H87" s="1473">
        <v>2276047089</v>
      </c>
    </row>
    <row r="88" spans="1:8" x14ac:dyDescent="0.25">
      <c r="A88" s="1469">
        <v>401200</v>
      </c>
      <c r="B88" s="1469" t="s">
        <v>1730</v>
      </c>
      <c r="E88" s="1471"/>
      <c r="F88" s="1472">
        <v>2370440033</v>
      </c>
      <c r="G88" s="1471"/>
      <c r="H88" s="1472">
        <v>2370440033</v>
      </c>
    </row>
    <row r="89" spans="1:8" x14ac:dyDescent="0.25">
      <c r="A89" s="1470">
        <v>401700</v>
      </c>
      <c r="B89" s="1470" t="s">
        <v>1730</v>
      </c>
      <c r="E89" s="1474"/>
      <c r="F89" s="1473">
        <v>2206499</v>
      </c>
      <c r="G89" s="1474"/>
      <c r="H89" s="1473">
        <v>2206499</v>
      </c>
    </row>
    <row r="90" spans="1:8" x14ac:dyDescent="0.25">
      <c r="A90" s="1469">
        <v>408000</v>
      </c>
      <c r="B90" s="1469" t="s">
        <v>1730</v>
      </c>
      <c r="E90" s="1471"/>
      <c r="F90" s="1472">
        <v>118612480</v>
      </c>
      <c r="G90" s="1471"/>
      <c r="H90" s="1472">
        <v>118612480</v>
      </c>
    </row>
    <row r="91" spans="1:8" x14ac:dyDescent="0.25">
      <c r="A91" s="1470">
        <v>408100</v>
      </c>
      <c r="B91" s="1470" t="s">
        <v>1730</v>
      </c>
      <c r="E91" s="1474"/>
      <c r="F91" s="1473">
        <v>7298693</v>
      </c>
      <c r="G91" s="1474"/>
      <c r="H91" s="1473">
        <v>7298693</v>
      </c>
    </row>
    <row r="92" spans="1:8" x14ac:dyDescent="0.25">
      <c r="A92" s="1469">
        <v>409100</v>
      </c>
      <c r="B92" s="1469" t="s">
        <v>1730</v>
      </c>
      <c r="E92" s="1472">
        <v>16106287</v>
      </c>
      <c r="F92" s="1471"/>
      <c r="G92" s="1472">
        <v>16106287</v>
      </c>
      <c r="H92" s="1471"/>
    </row>
    <row r="93" spans="1:8" x14ac:dyDescent="0.25">
      <c r="A93" s="1470">
        <v>409110</v>
      </c>
      <c r="B93" s="1470" t="s">
        <v>1730</v>
      </c>
      <c r="E93" s="1473">
        <v>419243545</v>
      </c>
      <c r="F93" s="1474"/>
      <c r="G93" s="1473">
        <v>419243545</v>
      </c>
      <c r="H93" s="1474"/>
    </row>
    <row r="94" spans="1:8" x14ac:dyDescent="0.25">
      <c r="A94" s="1469">
        <v>411100</v>
      </c>
      <c r="B94" s="1469" t="s">
        <v>1730</v>
      </c>
      <c r="E94" s="1472">
        <v>706738051</v>
      </c>
      <c r="F94" s="1471"/>
      <c r="G94" s="1472">
        <v>706738051</v>
      </c>
      <c r="H94" s="1471"/>
    </row>
    <row r="95" spans="1:8" x14ac:dyDescent="0.25">
      <c r="A95" s="1470">
        <v>419100</v>
      </c>
      <c r="B95" s="1470" t="s">
        <v>1730</v>
      </c>
      <c r="E95" s="1474"/>
      <c r="F95" s="1473">
        <v>126819681</v>
      </c>
      <c r="G95" s="1474"/>
      <c r="H95" s="1473">
        <v>126819681</v>
      </c>
    </row>
    <row r="96" spans="1:8" x14ac:dyDescent="0.25">
      <c r="A96" s="1469">
        <v>421000</v>
      </c>
      <c r="B96" s="1469" t="s">
        <v>1730</v>
      </c>
      <c r="E96" s="1472">
        <v>3555000</v>
      </c>
      <c r="F96" s="1471"/>
      <c r="G96" s="1472">
        <v>3555000</v>
      </c>
      <c r="H96" s="1471"/>
    </row>
    <row r="97" spans="1:8" x14ac:dyDescent="0.25">
      <c r="A97" s="1470">
        <v>422000</v>
      </c>
      <c r="B97" s="1470" t="s">
        <v>1730</v>
      </c>
      <c r="E97" s="1473">
        <v>15662221</v>
      </c>
      <c r="F97" s="1474"/>
      <c r="G97" s="1473">
        <v>15662221</v>
      </c>
      <c r="H97" s="1474"/>
    </row>
    <row r="98" spans="1:8" x14ac:dyDescent="0.25">
      <c r="A98" s="1469">
        <v>431300</v>
      </c>
      <c r="B98" s="1469" t="s">
        <v>1730</v>
      </c>
      <c r="E98" s="1471"/>
      <c r="F98" s="1472">
        <v>16758489</v>
      </c>
      <c r="G98" s="1471"/>
      <c r="H98" s="1472">
        <v>16758489</v>
      </c>
    </row>
    <row r="99" spans="1:8" x14ac:dyDescent="0.25">
      <c r="A99" s="1470">
        <v>441200</v>
      </c>
      <c r="B99" s="1470" t="s">
        <v>1730</v>
      </c>
      <c r="E99" s="1474"/>
      <c r="F99" s="1473">
        <v>750000</v>
      </c>
      <c r="G99" s="1474"/>
      <c r="H99" s="1473">
        <v>750000</v>
      </c>
    </row>
    <row r="100" spans="1:8" x14ac:dyDescent="0.25">
      <c r="A100" s="1469">
        <v>442210</v>
      </c>
      <c r="B100" s="1469" t="s">
        <v>1730</v>
      </c>
      <c r="E100" s="1472">
        <v>2000</v>
      </c>
      <c r="F100" s="1471"/>
      <c r="G100" s="1472">
        <v>2000</v>
      </c>
      <c r="H100" s="1471"/>
    </row>
    <row r="101" spans="1:8" x14ac:dyDescent="0.25">
      <c r="A101" s="1470">
        <v>442800</v>
      </c>
      <c r="B101" s="1470" t="s">
        <v>1730</v>
      </c>
      <c r="E101" s="1474"/>
      <c r="F101" s="1473">
        <v>33780648</v>
      </c>
      <c r="G101" s="1474"/>
      <c r="H101" s="1473">
        <v>33780648</v>
      </c>
    </row>
    <row r="102" spans="1:8" x14ac:dyDescent="0.25">
      <c r="A102" s="1469">
        <v>443100</v>
      </c>
      <c r="B102" s="1469" t="s">
        <v>1730</v>
      </c>
      <c r="E102" s="1471"/>
      <c r="F102" s="1472">
        <v>1418283</v>
      </c>
      <c r="G102" s="1471"/>
      <c r="H102" s="1472">
        <v>1418283</v>
      </c>
    </row>
    <row r="103" spans="1:8" x14ac:dyDescent="0.25">
      <c r="A103" s="1470">
        <v>446000</v>
      </c>
      <c r="B103" s="1470" t="s">
        <v>1730</v>
      </c>
      <c r="E103" s="1474"/>
      <c r="F103" s="1473">
        <v>2000</v>
      </c>
      <c r="G103" s="1474"/>
      <c r="H103" s="1473">
        <v>2000</v>
      </c>
    </row>
    <row r="104" spans="1:8" x14ac:dyDescent="0.25">
      <c r="A104" s="1469">
        <v>447200</v>
      </c>
      <c r="B104" s="1469" t="s">
        <v>1730</v>
      </c>
      <c r="E104" s="1471"/>
      <c r="F104" s="1472">
        <v>2399589</v>
      </c>
      <c r="G104" s="1471"/>
      <c r="H104" s="1472">
        <v>2399589</v>
      </c>
    </row>
    <row r="105" spans="1:8" x14ac:dyDescent="0.25">
      <c r="A105" s="1470">
        <v>447210</v>
      </c>
      <c r="B105" s="1470" t="s">
        <v>1730</v>
      </c>
      <c r="E105" s="1474"/>
      <c r="F105" s="1473">
        <v>8529428</v>
      </c>
      <c r="G105" s="1474"/>
      <c r="H105" s="1473">
        <v>8529428</v>
      </c>
    </row>
    <row r="106" spans="1:8" x14ac:dyDescent="0.25">
      <c r="A106" s="1469">
        <v>447810</v>
      </c>
      <c r="B106" s="1469" t="s">
        <v>1730</v>
      </c>
      <c r="E106" s="1471"/>
      <c r="F106" s="1472">
        <v>14548331</v>
      </c>
      <c r="G106" s="1471"/>
      <c r="H106" s="1472">
        <v>14548331</v>
      </c>
    </row>
    <row r="107" spans="1:8" x14ac:dyDescent="0.25">
      <c r="A107" s="1470">
        <v>447820</v>
      </c>
      <c r="B107" s="1470" t="s">
        <v>1730</v>
      </c>
      <c r="E107" s="1473">
        <v>6963729</v>
      </c>
      <c r="F107" s="1474"/>
      <c r="G107" s="1473">
        <v>6963729</v>
      </c>
      <c r="H107" s="1474"/>
    </row>
    <row r="108" spans="1:8" x14ac:dyDescent="0.25">
      <c r="A108" s="1469">
        <v>447831</v>
      </c>
      <c r="B108" s="1469" t="s">
        <v>1730</v>
      </c>
      <c r="E108" s="1471"/>
      <c r="F108" s="1472">
        <v>1394800</v>
      </c>
      <c r="G108" s="1471"/>
      <c r="H108" s="1472">
        <v>1394800</v>
      </c>
    </row>
    <row r="109" spans="1:8" x14ac:dyDescent="0.25">
      <c r="A109" s="1470">
        <v>447840</v>
      </c>
      <c r="B109" s="1470" t="s">
        <v>1730</v>
      </c>
      <c r="E109" s="1474"/>
      <c r="F109" s="1473">
        <v>142643</v>
      </c>
      <c r="G109" s="1474"/>
      <c r="H109" s="1473">
        <v>142643</v>
      </c>
    </row>
    <row r="110" spans="1:8" x14ac:dyDescent="0.25">
      <c r="A110" s="1469">
        <v>447850</v>
      </c>
      <c r="B110" s="1469" t="s">
        <v>1730</v>
      </c>
      <c r="E110" s="1471"/>
      <c r="F110" s="1472">
        <v>72750</v>
      </c>
      <c r="G110" s="1471"/>
      <c r="H110" s="1472">
        <v>72750</v>
      </c>
    </row>
    <row r="111" spans="1:8" x14ac:dyDescent="0.25">
      <c r="A111" s="1470">
        <v>449210</v>
      </c>
      <c r="B111" s="1470" t="s">
        <v>1730</v>
      </c>
      <c r="E111" s="1473">
        <v>500000</v>
      </c>
      <c r="F111" s="1474"/>
      <c r="G111" s="1473">
        <v>500000</v>
      </c>
      <c r="H111" s="1474"/>
    </row>
    <row r="112" spans="1:8" x14ac:dyDescent="0.25">
      <c r="A112" s="1469">
        <v>461341</v>
      </c>
      <c r="B112" s="1469" t="s">
        <v>1730</v>
      </c>
      <c r="E112" s="1472">
        <v>95000000</v>
      </c>
      <c r="F112" s="1471"/>
      <c r="G112" s="1472">
        <v>95000000</v>
      </c>
      <c r="H112" s="1471"/>
    </row>
    <row r="113" spans="1:8" x14ac:dyDescent="0.25">
      <c r="A113" s="1470">
        <v>461342</v>
      </c>
      <c r="B113" s="1470" t="s">
        <v>1730</v>
      </c>
      <c r="E113" s="1473">
        <v>98000000</v>
      </c>
      <c r="F113" s="1474"/>
      <c r="G113" s="1473">
        <v>98000000</v>
      </c>
      <c r="H113" s="1474"/>
    </row>
    <row r="114" spans="1:8" x14ac:dyDescent="0.25">
      <c r="A114" s="1469">
        <v>462140</v>
      </c>
      <c r="B114" s="1469" t="s">
        <v>1730</v>
      </c>
      <c r="E114" s="1471"/>
      <c r="F114" s="1472">
        <v>26232054</v>
      </c>
      <c r="G114" s="1471"/>
      <c r="H114" s="1472">
        <v>26232054</v>
      </c>
    </row>
    <row r="115" spans="1:8" x14ac:dyDescent="0.25">
      <c r="A115" s="1470">
        <v>471100</v>
      </c>
      <c r="B115" s="1470" t="s">
        <v>1730</v>
      </c>
      <c r="E115" s="1473">
        <v>274652382</v>
      </c>
      <c r="F115" s="1474"/>
      <c r="G115" s="1473">
        <v>274652382</v>
      </c>
      <c r="H115" s="1474"/>
    </row>
    <row r="116" spans="1:8" x14ac:dyDescent="0.25">
      <c r="A116" s="1469">
        <v>471104</v>
      </c>
      <c r="B116" s="1469" t="s">
        <v>1730</v>
      </c>
      <c r="E116" s="1472">
        <v>46000000</v>
      </c>
      <c r="F116" s="1471"/>
      <c r="G116" s="1472">
        <v>46000000</v>
      </c>
      <c r="H116" s="1471"/>
    </row>
    <row r="117" spans="1:8" x14ac:dyDescent="0.25">
      <c r="A117" s="1470">
        <v>471108</v>
      </c>
      <c r="B117" s="1470" t="s">
        <v>1730</v>
      </c>
      <c r="E117" s="1473">
        <v>400800</v>
      </c>
      <c r="F117" s="1474"/>
      <c r="G117" s="1473">
        <v>400800</v>
      </c>
      <c r="H117" s="1474"/>
    </row>
    <row r="118" spans="1:8" x14ac:dyDescent="0.25">
      <c r="A118" s="1469">
        <v>471110</v>
      </c>
      <c r="B118" s="1469" t="s">
        <v>1730</v>
      </c>
      <c r="E118" s="1472">
        <v>410000000</v>
      </c>
      <c r="F118" s="1471"/>
      <c r="G118" s="1472">
        <v>410000000</v>
      </c>
      <c r="H118" s="1471"/>
    </row>
    <row r="119" spans="1:8" x14ac:dyDescent="0.25">
      <c r="A119" s="1470">
        <v>471120</v>
      </c>
      <c r="B119" s="1470" t="s">
        <v>1730</v>
      </c>
      <c r="E119" s="1473">
        <v>600000</v>
      </c>
      <c r="F119" s="1474"/>
      <c r="G119" s="1473">
        <v>600000</v>
      </c>
      <c r="H119" s="1474"/>
    </row>
    <row r="120" spans="1:8" x14ac:dyDescent="0.25">
      <c r="A120" s="1469">
        <v>476000</v>
      </c>
      <c r="B120" s="1469" t="s">
        <v>1730</v>
      </c>
      <c r="E120" s="1472">
        <v>30327064</v>
      </c>
      <c r="F120" s="1471"/>
      <c r="G120" s="1472">
        <v>30327064</v>
      </c>
      <c r="H120" s="1471"/>
    </row>
    <row r="121" spans="1:8" x14ac:dyDescent="0.25">
      <c r="A121" s="1470">
        <v>481000</v>
      </c>
      <c r="B121" s="1470" t="s">
        <v>1730</v>
      </c>
      <c r="E121" s="1474"/>
      <c r="F121" s="1473">
        <v>2350357128</v>
      </c>
      <c r="G121" s="1474"/>
      <c r="H121" s="1473">
        <v>2350357128</v>
      </c>
    </row>
    <row r="122" spans="1:8" x14ac:dyDescent="0.25">
      <c r="A122" s="1469">
        <v>481700</v>
      </c>
      <c r="B122" s="1469" t="s">
        <v>1730</v>
      </c>
      <c r="E122" s="1471"/>
      <c r="F122" s="1472">
        <v>2416150</v>
      </c>
      <c r="G122" s="1471"/>
      <c r="H122" s="1472">
        <v>2416150</v>
      </c>
    </row>
    <row r="123" spans="1:8" x14ac:dyDescent="0.25">
      <c r="A123" s="1470">
        <v>521110</v>
      </c>
      <c r="B123" s="1470" t="s">
        <v>1730</v>
      </c>
      <c r="E123" s="1473">
        <v>177017596</v>
      </c>
      <c r="F123" s="1474"/>
      <c r="G123" s="1473">
        <v>177017596</v>
      </c>
      <c r="H123" s="1474"/>
    </row>
    <row r="124" spans="1:8" x14ac:dyDescent="0.25">
      <c r="A124" s="1469">
        <v>521111</v>
      </c>
      <c r="B124" s="1469" t="s">
        <v>1730</v>
      </c>
      <c r="E124" s="1471"/>
      <c r="F124" s="1472">
        <v>44972797</v>
      </c>
      <c r="G124" s="1471"/>
      <c r="H124" s="1472">
        <v>44972797</v>
      </c>
    </row>
    <row r="125" spans="1:8" x14ac:dyDescent="0.25">
      <c r="A125" s="1470">
        <v>521120</v>
      </c>
      <c r="B125" s="1470" t="s">
        <v>1730</v>
      </c>
      <c r="E125" s="1473">
        <v>441379044</v>
      </c>
      <c r="F125" s="1474"/>
      <c r="G125" s="1473">
        <v>441379044</v>
      </c>
      <c r="H125" s="1474"/>
    </row>
    <row r="126" spans="1:8" x14ac:dyDescent="0.25">
      <c r="A126" s="1469">
        <v>521130</v>
      </c>
      <c r="B126" s="1469" t="s">
        <v>1730</v>
      </c>
      <c r="E126" s="1472">
        <v>29693712</v>
      </c>
      <c r="F126" s="1471"/>
      <c r="G126" s="1472">
        <v>29693712</v>
      </c>
      <c r="H126" s="1471"/>
    </row>
    <row r="127" spans="1:8" x14ac:dyDescent="0.25">
      <c r="A127" s="1470">
        <v>521140</v>
      </c>
      <c r="B127" s="1470" t="s">
        <v>1730</v>
      </c>
      <c r="E127" s="1473">
        <v>1428163</v>
      </c>
      <c r="F127" s="1474"/>
      <c r="G127" s="1473">
        <v>1428163</v>
      </c>
      <c r="H127" s="1474"/>
    </row>
    <row r="128" spans="1:8" x14ac:dyDescent="0.25">
      <c r="A128" s="1469">
        <v>521150</v>
      </c>
      <c r="B128" s="1469" t="s">
        <v>1730</v>
      </c>
      <c r="E128" s="1472">
        <v>7738114</v>
      </c>
      <c r="F128" s="1471"/>
      <c r="G128" s="1472">
        <v>7738114</v>
      </c>
      <c r="H128" s="1471"/>
    </row>
    <row r="129" spans="1:8" x14ac:dyDescent="0.25">
      <c r="A129" s="1470">
        <v>521160</v>
      </c>
      <c r="B129" s="1470" t="s">
        <v>1730</v>
      </c>
      <c r="E129" s="1473">
        <v>87795550</v>
      </c>
      <c r="F129" s="1474"/>
      <c r="G129" s="1473">
        <v>87795550</v>
      </c>
      <c r="H129" s="1474"/>
    </row>
    <row r="130" spans="1:8" x14ac:dyDescent="0.25">
      <c r="A130" s="1469">
        <v>521161</v>
      </c>
      <c r="B130" s="1469" t="s">
        <v>1730</v>
      </c>
      <c r="E130" s="1471"/>
      <c r="F130" s="1472">
        <v>376852690</v>
      </c>
      <c r="G130" s="1471"/>
      <c r="H130" s="1472">
        <v>376852690</v>
      </c>
    </row>
    <row r="131" spans="1:8" x14ac:dyDescent="0.25">
      <c r="A131" s="1470">
        <v>521170</v>
      </c>
      <c r="B131" s="1470" t="s">
        <v>1730</v>
      </c>
      <c r="E131" s="1473">
        <v>27007</v>
      </c>
      <c r="F131" s="1474"/>
      <c r="G131" s="1473">
        <v>27007</v>
      </c>
      <c r="H131" s="1474"/>
    </row>
    <row r="132" spans="1:8" x14ac:dyDescent="0.25">
      <c r="A132" s="1469">
        <v>521180</v>
      </c>
      <c r="B132" s="1469" t="s">
        <v>1730</v>
      </c>
      <c r="E132" s="1472">
        <v>216696715</v>
      </c>
      <c r="F132" s="1471"/>
      <c r="G132" s="1472">
        <v>216696715</v>
      </c>
      <c r="H132" s="1471"/>
    </row>
    <row r="133" spans="1:8" x14ac:dyDescent="0.25">
      <c r="A133" s="1470">
        <v>521190</v>
      </c>
      <c r="B133" s="1470" t="s">
        <v>1730</v>
      </c>
      <c r="E133" s="1473">
        <v>228011</v>
      </c>
      <c r="F133" s="1474"/>
      <c r="G133" s="1473">
        <v>228011</v>
      </c>
      <c r="H133" s="1474"/>
    </row>
    <row r="134" spans="1:8" x14ac:dyDescent="0.25">
      <c r="A134" s="1469">
        <v>521200</v>
      </c>
      <c r="B134" s="1469" t="s">
        <v>1730</v>
      </c>
      <c r="E134" s="1471"/>
      <c r="F134" s="1472">
        <v>29609</v>
      </c>
      <c r="G134" s="1471"/>
      <c r="H134" s="1472">
        <v>29609</v>
      </c>
    </row>
    <row r="135" spans="1:8" x14ac:dyDescent="0.25">
      <c r="A135" s="1470">
        <v>120000</v>
      </c>
      <c r="B135" s="1470" t="s">
        <v>1730</v>
      </c>
      <c r="E135" s="1474"/>
      <c r="F135" s="1473">
        <v>213955132</v>
      </c>
      <c r="G135" s="1474"/>
      <c r="H135" s="1473">
        <v>213955132</v>
      </c>
    </row>
  </sheetData>
  <mergeCells count="4">
    <mergeCell ref="A1:H1"/>
    <mergeCell ref="C2:D2"/>
    <mergeCell ref="E2:F2"/>
    <mergeCell ref="G2:H2"/>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E94C5-3ABD-4433-96A9-3DB6D5AAB727}">
  <dimension ref="B1:R52"/>
  <sheetViews>
    <sheetView workbookViewId="0">
      <selection activeCell="F16" sqref="A1:XFD1048576"/>
    </sheetView>
  </sheetViews>
  <sheetFormatPr baseColWidth="10" defaultColWidth="11.42578125" defaultRowHeight="10.9" customHeight="1" x14ac:dyDescent="0.2"/>
  <cols>
    <col min="1" max="1" width="1.5703125" style="24" customWidth="1"/>
    <col min="2" max="2" width="1.42578125" style="24" customWidth="1"/>
    <col min="3" max="3" width="4.5703125" style="24" customWidth="1"/>
    <col min="4" max="4" width="10.7109375" style="24" customWidth="1"/>
    <col min="5" max="5" width="11.140625" style="24" customWidth="1"/>
    <col min="6" max="7" width="10.7109375" style="24" customWidth="1"/>
    <col min="8" max="8" width="7.42578125" style="24" customWidth="1"/>
    <col min="9" max="9" width="5.42578125" style="24" customWidth="1"/>
    <col min="10" max="11" width="10.7109375" style="24" customWidth="1"/>
    <col min="12" max="12" width="10.5703125" style="24" customWidth="1"/>
    <col min="13" max="13" width="11.28515625" style="24" customWidth="1"/>
    <col min="14" max="14" width="4.5703125" style="24" customWidth="1"/>
    <col min="15" max="15" width="1.42578125" style="24" customWidth="1"/>
    <col min="16" max="16" width="10.5703125" style="24" customWidth="1"/>
    <col min="17" max="17" width="7.28515625" style="24" customWidth="1"/>
    <col min="18" max="16384" width="11.42578125" style="24"/>
  </cols>
  <sheetData>
    <row r="1" spans="2:15" ht="8.25" customHeight="1" x14ac:dyDescent="0.2"/>
    <row r="2" spans="2:15" ht="8.4499999999999993" customHeight="1" x14ac:dyDescent="0.2">
      <c r="B2" s="25"/>
      <c r="C2" s="26"/>
      <c r="D2" s="26"/>
      <c r="E2" s="26"/>
      <c r="F2" s="26"/>
      <c r="G2" s="26"/>
      <c r="H2" s="26"/>
      <c r="I2" s="26"/>
      <c r="J2" s="26"/>
      <c r="K2" s="26"/>
      <c r="L2" s="26"/>
      <c r="M2" s="26"/>
      <c r="N2" s="26"/>
      <c r="O2" s="25"/>
    </row>
    <row r="3" spans="2:15" ht="23.25" customHeight="1" x14ac:dyDescent="0.2">
      <c r="B3" s="26"/>
      <c r="C3" s="690" t="s">
        <v>54</v>
      </c>
      <c r="D3" s="690"/>
      <c r="E3" s="690"/>
      <c r="F3" s="690"/>
      <c r="G3" s="690"/>
      <c r="H3" s="690"/>
      <c r="I3" s="27"/>
      <c r="J3" s="28"/>
      <c r="K3" s="690" t="s">
        <v>27</v>
      </c>
      <c r="L3" s="690"/>
      <c r="M3" s="690"/>
      <c r="N3" s="28"/>
      <c r="O3" s="26"/>
    </row>
    <row r="4" spans="2:15" ht="6" customHeight="1" x14ac:dyDescent="0.2">
      <c r="B4" s="26"/>
      <c r="C4" s="28"/>
      <c r="D4" s="29"/>
      <c r="E4" s="30"/>
      <c r="F4" s="30"/>
      <c r="G4" s="30"/>
      <c r="H4" s="30"/>
      <c r="I4" s="30"/>
      <c r="J4" s="30"/>
      <c r="K4" s="30"/>
      <c r="L4" s="30"/>
      <c r="M4" s="30"/>
      <c r="N4" s="28"/>
      <c r="O4" s="26"/>
    </row>
    <row r="5" spans="2:15" ht="23.25" customHeight="1" x14ac:dyDescent="0.2">
      <c r="B5" s="26"/>
      <c r="C5" s="690" t="s">
        <v>55</v>
      </c>
      <c r="D5" s="690"/>
      <c r="E5" s="690"/>
      <c r="F5" s="690"/>
      <c r="G5" s="690"/>
      <c r="H5" s="690"/>
      <c r="I5" s="27"/>
      <c r="J5" s="30"/>
      <c r="K5" s="691" t="s">
        <v>56</v>
      </c>
      <c r="L5" s="691"/>
      <c r="M5" s="691"/>
      <c r="N5" s="28"/>
      <c r="O5" s="26"/>
    </row>
    <row r="6" spans="2:15" ht="6.75" customHeight="1" x14ac:dyDescent="0.2">
      <c r="B6" s="26"/>
      <c r="C6" s="28"/>
      <c r="D6" s="30"/>
      <c r="E6" s="30"/>
      <c r="F6" s="30"/>
      <c r="G6" s="30"/>
      <c r="H6" s="30"/>
      <c r="I6" s="30"/>
      <c r="J6" s="30"/>
      <c r="K6" s="30"/>
      <c r="L6" s="30"/>
      <c r="M6" s="30"/>
      <c r="N6" s="28"/>
      <c r="O6" s="26"/>
    </row>
    <row r="7" spans="2:15" ht="20.25" customHeight="1" x14ac:dyDescent="0.2">
      <c r="B7" s="26"/>
      <c r="C7" s="690" t="s">
        <v>57</v>
      </c>
      <c r="D7" s="690"/>
      <c r="E7" s="690"/>
      <c r="F7" s="690"/>
      <c r="G7" s="690"/>
      <c r="H7" s="690"/>
      <c r="I7" s="27"/>
      <c r="J7" s="30"/>
      <c r="K7" s="30"/>
      <c r="L7" s="30"/>
      <c r="M7" s="30"/>
      <c r="N7" s="28"/>
      <c r="O7" s="26"/>
    </row>
    <row r="8" spans="2:15" ht="8.25" customHeight="1" x14ac:dyDescent="0.2">
      <c r="B8" s="26"/>
      <c r="C8" s="27"/>
      <c r="D8" s="27"/>
      <c r="E8" s="27"/>
      <c r="F8" s="27"/>
      <c r="G8" s="27"/>
      <c r="H8" s="27"/>
      <c r="I8" s="27"/>
      <c r="J8" s="30"/>
      <c r="K8" s="30"/>
      <c r="L8" s="30"/>
      <c r="M8" s="30"/>
      <c r="N8" s="28"/>
      <c r="O8" s="26"/>
    </row>
    <row r="9" spans="2:15" ht="19.149999999999999" customHeight="1" x14ac:dyDescent="0.2">
      <c r="B9" s="26"/>
      <c r="D9" s="678" t="s">
        <v>58</v>
      </c>
      <c r="E9" s="678"/>
      <c r="F9" s="678"/>
      <c r="G9" s="692" t="s">
        <v>25</v>
      </c>
      <c r="H9" s="687"/>
      <c r="I9" s="687"/>
      <c r="J9" s="687"/>
      <c r="K9" s="687"/>
      <c r="L9" s="687"/>
      <c r="M9" s="33"/>
      <c r="O9" s="26"/>
    </row>
    <row r="10" spans="2:15" ht="9.75" customHeight="1" x14ac:dyDescent="0.2">
      <c r="B10" s="26"/>
      <c r="D10" s="33"/>
      <c r="E10" s="33"/>
      <c r="F10" s="33"/>
      <c r="G10" s="33"/>
      <c r="H10" s="33"/>
      <c r="I10" s="33"/>
      <c r="J10" s="33"/>
      <c r="K10" s="33"/>
      <c r="L10" s="33"/>
      <c r="M10" s="33"/>
      <c r="O10" s="26"/>
    </row>
    <row r="11" spans="2:15" ht="34.5" customHeight="1" x14ac:dyDescent="0.2">
      <c r="B11" s="26"/>
      <c r="E11" s="687" t="s">
        <v>59</v>
      </c>
      <c r="F11" s="678"/>
      <c r="G11" s="678"/>
      <c r="H11" s="678"/>
      <c r="I11" s="678"/>
      <c r="J11" s="678"/>
      <c r="K11" s="678"/>
      <c r="L11" s="678"/>
      <c r="O11" s="26"/>
    </row>
    <row r="12" spans="2:15" ht="6.75" customHeight="1" x14ac:dyDescent="0.2">
      <c r="B12" s="26"/>
      <c r="O12" s="26"/>
    </row>
    <row r="13" spans="2:15" ht="20.45" customHeight="1" x14ac:dyDescent="0.25">
      <c r="B13" s="26"/>
      <c r="D13" s="34"/>
      <c r="E13" s="678" t="s">
        <v>60</v>
      </c>
      <c r="F13" s="678"/>
      <c r="G13" s="678"/>
      <c r="H13" s="688">
        <v>45291</v>
      </c>
      <c r="I13" s="678"/>
      <c r="J13" s="678"/>
      <c r="K13" s="678"/>
      <c r="L13" s="678"/>
      <c r="M13" s="34"/>
      <c r="O13" s="26"/>
    </row>
    <row r="14" spans="2:15" ht="7.5" customHeight="1" x14ac:dyDescent="0.2">
      <c r="B14" s="26"/>
      <c r="D14" s="32"/>
      <c r="E14" s="35"/>
      <c r="F14" s="32"/>
      <c r="G14" s="36"/>
      <c r="H14" s="36"/>
      <c r="I14" s="36"/>
      <c r="J14" s="36"/>
      <c r="K14" s="36"/>
      <c r="L14" s="35"/>
      <c r="M14" s="32"/>
      <c r="O14" s="26"/>
    </row>
    <row r="15" spans="2:15" ht="23.25" customHeight="1" x14ac:dyDescent="0.25">
      <c r="B15" s="26"/>
      <c r="D15" s="34"/>
      <c r="E15" s="34"/>
      <c r="F15" s="678" t="s">
        <v>61</v>
      </c>
      <c r="G15" s="678"/>
      <c r="H15" s="678"/>
      <c r="I15" s="678"/>
      <c r="J15" s="678"/>
      <c r="K15" s="678"/>
      <c r="L15" s="34"/>
      <c r="M15" s="34"/>
      <c r="O15" s="26"/>
    </row>
    <row r="16" spans="2:15" ht="4.9000000000000004" customHeight="1" x14ac:dyDescent="0.25">
      <c r="B16" s="26"/>
      <c r="D16" s="34"/>
      <c r="E16" s="34"/>
      <c r="F16" s="37"/>
      <c r="G16" s="38"/>
      <c r="H16" s="38"/>
      <c r="I16" s="38"/>
      <c r="J16" s="38"/>
      <c r="K16" s="34"/>
      <c r="L16" s="34"/>
      <c r="M16" s="34"/>
      <c r="O16" s="26"/>
    </row>
    <row r="17" spans="2:18" ht="21" customHeight="1" x14ac:dyDescent="0.2">
      <c r="B17" s="26"/>
      <c r="D17" s="675" t="s">
        <v>62</v>
      </c>
      <c r="E17" s="675"/>
      <c r="F17" s="675"/>
      <c r="G17" s="689" t="s">
        <v>2</v>
      </c>
      <c r="H17" s="689"/>
      <c r="I17" s="689"/>
      <c r="J17" s="689"/>
      <c r="K17" s="689"/>
      <c r="L17" s="689"/>
      <c r="M17" s="689"/>
      <c r="O17" s="26"/>
    </row>
    <row r="18" spans="2:18" ht="19.149999999999999" customHeight="1" x14ac:dyDescent="0.2">
      <c r="B18" s="26"/>
      <c r="D18" s="40"/>
      <c r="E18" s="40"/>
      <c r="F18" s="40"/>
      <c r="G18" s="678" t="s">
        <v>4</v>
      </c>
      <c r="H18" s="678"/>
      <c r="I18" s="678"/>
      <c r="J18" s="678"/>
      <c r="K18" s="678"/>
      <c r="L18" s="678"/>
      <c r="M18" s="678"/>
      <c r="O18" s="26"/>
    </row>
    <row r="19" spans="2:18" ht="19.149999999999999" customHeight="1" x14ac:dyDescent="0.2">
      <c r="B19" s="26"/>
      <c r="D19" s="675" t="s">
        <v>63</v>
      </c>
      <c r="E19" s="675"/>
      <c r="F19" s="681" t="s">
        <v>6</v>
      </c>
      <c r="G19" s="681"/>
      <c r="H19" s="681"/>
      <c r="I19" s="681"/>
      <c r="J19" s="681"/>
      <c r="K19" s="681"/>
      <c r="L19" s="681"/>
      <c r="M19" s="681"/>
      <c r="O19" s="26"/>
    </row>
    <row r="20" spans="2:18" ht="19.149999999999999" customHeight="1" x14ac:dyDescent="0.2">
      <c r="B20" s="26"/>
      <c r="D20" s="675" t="s">
        <v>64</v>
      </c>
      <c r="E20" s="675"/>
      <c r="F20" s="683" t="s">
        <v>10</v>
      </c>
      <c r="G20" s="683"/>
      <c r="H20" s="683"/>
      <c r="I20" s="683"/>
      <c r="J20" s="683"/>
      <c r="K20" s="683"/>
      <c r="L20" s="683"/>
      <c r="M20" s="683"/>
      <c r="O20" s="26"/>
    </row>
    <row r="21" spans="2:18" ht="46.5" customHeight="1" x14ac:dyDescent="0.2">
      <c r="B21" s="26"/>
      <c r="D21" s="675" t="s">
        <v>65</v>
      </c>
      <c r="E21" s="675"/>
      <c r="F21" s="685" t="s">
        <v>16</v>
      </c>
      <c r="G21" s="686"/>
      <c r="H21" s="686"/>
      <c r="I21" s="686"/>
      <c r="J21" s="686"/>
      <c r="K21" s="686"/>
      <c r="L21" s="686"/>
      <c r="M21" s="686"/>
      <c r="O21" s="26"/>
    </row>
    <row r="22" spans="2:18" ht="19.149999999999999" customHeight="1" x14ac:dyDescent="0.2">
      <c r="B22" s="26"/>
      <c r="D22" s="41" t="s">
        <v>66</v>
      </c>
      <c r="E22" s="41"/>
      <c r="F22" s="683">
        <v>25242546</v>
      </c>
      <c r="G22" s="683"/>
      <c r="H22" s="683"/>
      <c r="I22" s="683"/>
      <c r="J22" s="683"/>
      <c r="K22" s="683"/>
      <c r="L22" s="683"/>
      <c r="M22" s="683"/>
      <c r="O22" s="26"/>
      <c r="R22" s="42"/>
    </row>
    <row r="23" spans="2:18" ht="19.149999999999999" customHeight="1" x14ac:dyDescent="0.2">
      <c r="B23" s="26"/>
      <c r="D23" s="675" t="s">
        <v>67</v>
      </c>
      <c r="E23" s="675"/>
      <c r="F23" s="683" t="s">
        <v>29</v>
      </c>
      <c r="G23" s="683"/>
      <c r="H23" s="683"/>
      <c r="I23" s="683"/>
      <c r="J23" s="683"/>
      <c r="K23" s="683"/>
      <c r="L23" s="683"/>
      <c r="M23" s="683"/>
      <c r="O23" s="26"/>
    </row>
    <row r="24" spans="2:18" ht="19.149999999999999" customHeight="1" x14ac:dyDescent="0.2">
      <c r="B24" s="26"/>
      <c r="D24" s="675" t="s">
        <v>68</v>
      </c>
      <c r="E24" s="675"/>
      <c r="F24" s="675"/>
      <c r="G24" s="684" t="s">
        <v>13</v>
      </c>
      <c r="H24" s="684"/>
      <c r="I24" s="684"/>
      <c r="J24" s="684"/>
      <c r="K24" s="684"/>
      <c r="L24" s="684"/>
      <c r="M24" s="43"/>
      <c r="O24" s="26"/>
    </row>
    <row r="25" spans="2:18" ht="19.149999999999999" customHeight="1" x14ac:dyDescent="0.2">
      <c r="B25" s="26"/>
      <c r="D25" s="675" t="s">
        <v>69</v>
      </c>
      <c r="E25" s="675"/>
      <c r="F25" s="675"/>
      <c r="G25" s="683" t="s">
        <v>8</v>
      </c>
      <c r="H25" s="683"/>
      <c r="I25" s="683"/>
      <c r="J25" s="683"/>
      <c r="K25" s="683"/>
      <c r="L25" s="683"/>
      <c r="M25" s="44"/>
      <c r="O25" s="26"/>
    </row>
    <row r="26" spans="2:18" ht="7.5" customHeight="1" x14ac:dyDescent="0.2">
      <c r="B26" s="26"/>
      <c r="F26" s="45"/>
      <c r="G26" s="45"/>
      <c r="H26" s="45"/>
      <c r="I26" s="45"/>
      <c r="J26" s="45"/>
      <c r="O26" s="26"/>
    </row>
    <row r="27" spans="2:18" ht="43.9" customHeight="1" x14ac:dyDescent="0.2">
      <c r="B27" s="26"/>
      <c r="D27" s="675" t="s">
        <v>70</v>
      </c>
      <c r="E27" s="675"/>
      <c r="F27" s="679" t="s">
        <v>35</v>
      </c>
      <c r="G27" s="679"/>
      <c r="H27" s="679"/>
      <c r="I27" s="679"/>
      <c r="J27" s="679"/>
      <c r="K27" s="679"/>
      <c r="L27" s="679"/>
      <c r="M27" s="679"/>
      <c r="O27" s="26"/>
    </row>
    <row r="28" spans="2:18" ht="19.149999999999999" customHeight="1" x14ac:dyDescent="0.2">
      <c r="B28" s="26"/>
      <c r="D28" s="46"/>
      <c r="E28" s="46"/>
      <c r="F28" s="680" t="s">
        <v>36</v>
      </c>
      <c r="G28" s="680"/>
      <c r="H28" s="680"/>
      <c r="I28" s="680"/>
      <c r="J28" s="680"/>
      <c r="K28" s="680"/>
      <c r="L28" s="680"/>
      <c r="M28" s="680"/>
      <c r="O28" s="26"/>
    </row>
    <row r="29" spans="2:18" ht="19.149999999999999" customHeight="1" x14ac:dyDescent="0.2">
      <c r="B29" s="26"/>
      <c r="D29" s="675" t="s">
        <v>71</v>
      </c>
      <c r="E29" s="675"/>
      <c r="F29" s="675"/>
      <c r="G29" s="681" t="s">
        <v>38</v>
      </c>
      <c r="H29" s="681"/>
      <c r="I29" s="681"/>
      <c r="J29" s="681"/>
      <c r="K29" s="681"/>
      <c r="L29" s="681"/>
      <c r="M29" s="681"/>
      <c r="O29" s="26"/>
    </row>
    <row r="30" spans="2:18" ht="19.149999999999999" customHeight="1" x14ac:dyDescent="0.2">
      <c r="B30" s="26"/>
      <c r="D30" s="675" t="s">
        <v>72</v>
      </c>
      <c r="E30" s="675"/>
      <c r="F30" s="682" t="s">
        <v>40</v>
      </c>
      <c r="G30" s="682"/>
      <c r="H30" s="682"/>
      <c r="I30" s="682"/>
      <c r="J30" s="682"/>
      <c r="K30" s="682"/>
      <c r="L30" s="682"/>
      <c r="M30" s="682"/>
      <c r="O30" s="26"/>
    </row>
    <row r="31" spans="2:18" ht="19.149999999999999" customHeight="1" x14ac:dyDescent="0.2">
      <c r="B31" s="26"/>
      <c r="D31" s="675" t="s">
        <v>73</v>
      </c>
      <c r="E31" s="675"/>
      <c r="F31" s="676">
        <v>44713</v>
      </c>
      <c r="G31" s="676"/>
      <c r="H31" s="45"/>
      <c r="I31" s="41"/>
      <c r="J31" s="677" t="s">
        <v>74</v>
      </c>
      <c r="K31" s="677"/>
      <c r="L31" s="676">
        <v>45991</v>
      </c>
      <c r="M31" s="676"/>
      <c r="O31" s="26"/>
    </row>
    <row r="32" spans="2:18" ht="7.15" customHeight="1" x14ac:dyDescent="0.2">
      <c r="B32" s="26"/>
      <c r="D32" s="39"/>
      <c r="E32" s="39"/>
      <c r="F32" s="45"/>
      <c r="G32" s="45"/>
      <c r="H32" s="45"/>
      <c r="I32" s="45"/>
      <c r="J32" s="45"/>
      <c r="O32" s="26"/>
    </row>
    <row r="33" spans="2:15" ht="24.75" customHeight="1" x14ac:dyDescent="0.2">
      <c r="B33" s="26"/>
      <c r="F33" s="678" t="s">
        <v>75</v>
      </c>
      <c r="G33" s="678"/>
      <c r="H33" s="678"/>
      <c r="I33" s="678"/>
      <c r="J33" s="678"/>
      <c r="K33" s="678"/>
      <c r="O33" s="26"/>
    </row>
    <row r="34" spans="2:15" ht="24.75" customHeight="1" x14ac:dyDescent="0.2">
      <c r="B34" s="26"/>
      <c r="D34" s="611" t="s">
        <v>76</v>
      </c>
      <c r="E34" s="611"/>
      <c r="F34" s="611"/>
      <c r="G34" s="611"/>
      <c r="H34" s="611"/>
      <c r="I34" s="45"/>
      <c r="J34" s="611" t="s">
        <v>77</v>
      </c>
      <c r="K34" s="611"/>
      <c r="L34" s="611"/>
      <c r="M34" s="611"/>
      <c r="O34" s="26"/>
    </row>
    <row r="35" spans="2:15" ht="20.45" customHeight="1" x14ac:dyDescent="0.2">
      <c r="B35" s="26"/>
      <c r="D35" s="670" t="s">
        <v>78</v>
      </c>
      <c r="E35" s="671"/>
      <c r="F35" s="671"/>
      <c r="G35" s="671"/>
      <c r="H35" s="48"/>
      <c r="I35" s="45"/>
      <c r="J35" s="672" t="s">
        <v>79</v>
      </c>
      <c r="K35" s="673"/>
      <c r="L35" s="673"/>
      <c r="M35" s="674"/>
      <c r="O35" s="26"/>
    </row>
    <row r="36" spans="2:15" ht="6" customHeight="1" x14ac:dyDescent="0.2">
      <c r="B36" s="26"/>
      <c r="D36" s="49"/>
      <c r="F36" s="45"/>
      <c r="G36" s="45"/>
      <c r="H36" s="50"/>
      <c r="I36" s="45"/>
      <c r="J36" s="664"/>
      <c r="K36" s="665"/>
      <c r="L36" s="665"/>
      <c r="M36" s="666"/>
      <c r="O36" s="26"/>
    </row>
    <row r="37" spans="2:15" ht="20.45" customHeight="1" x14ac:dyDescent="0.2">
      <c r="B37" s="26"/>
      <c r="D37" s="662" t="s">
        <v>80</v>
      </c>
      <c r="E37" s="663"/>
      <c r="F37" s="663"/>
      <c r="G37" s="663"/>
      <c r="H37" s="50"/>
      <c r="I37" s="45"/>
      <c r="J37" s="664"/>
      <c r="K37" s="665"/>
      <c r="L37" s="665"/>
      <c r="M37" s="666"/>
      <c r="O37" s="26"/>
    </row>
    <row r="38" spans="2:15" ht="4.5" customHeight="1" x14ac:dyDescent="0.2">
      <c r="B38" s="26"/>
      <c r="D38" s="49"/>
      <c r="F38" s="45"/>
      <c r="G38" s="45"/>
      <c r="H38" s="50"/>
      <c r="I38" s="45"/>
      <c r="J38" s="664"/>
      <c r="K38" s="665"/>
      <c r="L38" s="665"/>
      <c r="M38" s="666"/>
      <c r="O38" s="26"/>
    </row>
    <row r="39" spans="2:15" ht="20.45" customHeight="1" x14ac:dyDescent="0.2">
      <c r="B39" s="26"/>
      <c r="D39" s="662" t="s">
        <v>81</v>
      </c>
      <c r="E39" s="663"/>
      <c r="F39" s="663"/>
      <c r="G39" s="663"/>
      <c r="H39" s="50"/>
      <c r="I39" s="45"/>
      <c r="J39" s="664"/>
      <c r="K39" s="665"/>
      <c r="L39" s="665"/>
      <c r="M39" s="666"/>
      <c r="O39" s="26"/>
    </row>
    <row r="40" spans="2:15" ht="3.75" customHeight="1" x14ac:dyDescent="0.2">
      <c r="B40" s="26"/>
      <c r="D40" s="49"/>
      <c r="F40" s="45"/>
      <c r="G40" s="45"/>
      <c r="H40" s="50"/>
      <c r="I40" s="45"/>
      <c r="J40" s="664"/>
      <c r="K40" s="665"/>
      <c r="L40" s="665"/>
      <c r="M40" s="666"/>
      <c r="O40" s="26"/>
    </row>
    <row r="41" spans="2:15" ht="20.45" customHeight="1" x14ac:dyDescent="0.2">
      <c r="B41" s="26"/>
      <c r="D41" s="662" t="s">
        <v>82</v>
      </c>
      <c r="E41" s="663"/>
      <c r="F41" s="663"/>
      <c r="G41" s="663"/>
      <c r="H41" s="50"/>
      <c r="I41" s="45"/>
      <c r="J41" s="664"/>
      <c r="K41" s="665"/>
      <c r="L41" s="665"/>
      <c r="M41" s="666"/>
      <c r="O41" s="26"/>
    </row>
    <row r="42" spans="2:15" ht="5.45" customHeight="1" x14ac:dyDescent="0.2">
      <c r="B42" s="26"/>
      <c r="D42" s="49"/>
      <c r="F42" s="45"/>
      <c r="G42" s="45"/>
      <c r="H42" s="50"/>
      <c r="I42" s="45"/>
      <c r="J42" s="51"/>
      <c r="M42" s="52"/>
      <c r="O42" s="26"/>
    </row>
    <row r="43" spans="2:15" ht="20.45" customHeight="1" x14ac:dyDescent="0.2">
      <c r="B43" s="26"/>
      <c r="D43" s="662" t="s">
        <v>83</v>
      </c>
      <c r="E43" s="663"/>
      <c r="F43" s="663"/>
      <c r="G43" s="663"/>
      <c r="H43" s="50"/>
      <c r="I43" s="45"/>
      <c r="J43" s="672" t="s">
        <v>84</v>
      </c>
      <c r="K43" s="673"/>
      <c r="L43" s="673"/>
      <c r="M43" s="674"/>
      <c r="O43" s="26"/>
    </row>
    <row r="44" spans="2:15" ht="7.9" customHeight="1" x14ac:dyDescent="0.2">
      <c r="B44" s="26"/>
      <c r="D44" s="49"/>
      <c r="F44" s="45"/>
      <c r="G44" s="45"/>
      <c r="H44" s="50"/>
      <c r="I44" s="45"/>
      <c r="J44" s="664"/>
      <c r="K44" s="665"/>
      <c r="L44" s="665"/>
      <c r="M44" s="666"/>
      <c r="O44" s="26"/>
    </row>
    <row r="45" spans="2:15" ht="20.45" customHeight="1" x14ac:dyDescent="0.2">
      <c r="B45" s="26"/>
      <c r="D45" s="662" t="s">
        <v>85</v>
      </c>
      <c r="E45" s="663"/>
      <c r="F45" s="663"/>
      <c r="G45" s="663"/>
      <c r="H45" s="53"/>
      <c r="I45" s="45"/>
      <c r="J45" s="667"/>
      <c r="K45" s="668"/>
      <c r="L45" s="668"/>
      <c r="M45" s="669"/>
      <c r="O45" s="26"/>
    </row>
    <row r="46" spans="2:15" ht="11.45" customHeight="1" x14ac:dyDescent="0.2">
      <c r="B46" s="26"/>
      <c r="D46" s="54"/>
      <c r="E46" s="55"/>
      <c r="F46" s="56"/>
      <c r="G46" s="56"/>
      <c r="H46" s="57"/>
      <c r="I46" s="45"/>
      <c r="J46" s="51"/>
      <c r="M46" s="52"/>
      <c r="O46" s="26"/>
    </row>
    <row r="47" spans="2:15" ht="18" customHeight="1" x14ac:dyDescent="0.2">
      <c r="B47" s="26"/>
      <c r="D47" s="662" t="s">
        <v>86</v>
      </c>
      <c r="E47" s="663"/>
      <c r="F47" s="663"/>
      <c r="G47" s="663"/>
      <c r="H47" s="58"/>
      <c r="I47" s="45"/>
      <c r="J47" s="664" t="s">
        <v>87</v>
      </c>
      <c r="K47" s="665"/>
      <c r="L47" s="665"/>
      <c r="M47" s="666"/>
      <c r="O47" s="26"/>
    </row>
    <row r="48" spans="2:15" ht="6.75" customHeight="1" x14ac:dyDescent="0.2">
      <c r="B48" s="26"/>
      <c r="D48" s="49"/>
      <c r="F48" s="45"/>
      <c r="G48" s="45"/>
      <c r="H48" s="59"/>
      <c r="I48" s="45"/>
      <c r="J48" s="664"/>
      <c r="K48" s="665"/>
      <c r="L48" s="665"/>
      <c r="M48" s="666"/>
      <c r="O48" s="26"/>
    </row>
    <row r="49" spans="2:15" ht="18" customHeight="1" x14ac:dyDescent="0.2">
      <c r="B49" s="26"/>
      <c r="D49" s="662" t="s">
        <v>88</v>
      </c>
      <c r="E49" s="663"/>
      <c r="F49" s="663"/>
      <c r="G49" s="45"/>
      <c r="H49" s="58"/>
      <c r="I49" s="45"/>
      <c r="J49" s="664"/>
      <c r="K49" s="665"/>
      <c r="L49" s="665"/>
      <c r="M49" s="666"/>
      <c r="O49" s="26"/>
    </row>
    <row r="50" spans="2:15" ht="11.25" customHeight="1" x14ac:dyDescent="0.2">
      <c r="B50" s="26"/>
      <c r="D50" s="60"/>
      <c r="E50" s="61"/>
      <c r="F50" s="62"/>
      <c r="G50" s="62"/>
      <c r="H50" s="63"/>
      <c r="I50" s="45"/>
      <c r="J50" s="667"/>
      <c r="K50" s="668"/>
      <c r="L50" s="668"/>
      <c r="M50" s="669"/>
      <c r="O50" s="26"/>
    </row>
    <row r="51" spans="2:15" ht="11.25" customHeight="1" x14ac:dyDescent="0.2">
      <c r="B51" s="26"/>
      <c r="F51" s="45"/>
      <c r="G51" s="45"/>
      <c r="H51" s="45"/>
      <c r="I51" s="45"/>
      <c r="J51" s="45"/>
      <c r="O51" s="26"/>
    </row>
    <row r="52" spans="2:15" ht="8.4499999999999993" customHeight="1" x14ac:dyDescent="0.2">
      <c r="B52" s="25"/>
      <c r="C52" s="26"/>
      <c r="D52" s="26"/>
      <c r="E52" s="26"/>
      <c r="F52" s="26"/>
      <c r="G52" s="26"/>
      <c r="H52" s="26"/>
      <c r="I52" s="26"/>
      <c r="J52" s="26"/>
      <c r="K52" s="26"/>
      <c r="L52" s="26"/>
      <c r="M52" s="26"/>
      <c r="N52" s="26"/>
      <c r="O52" s="25"/>
    </row>
  </sheetData>
  <mergeCells count="52">
    <mergeCell ref="D9:F9"/>
    <mergeCell ref="G9:L9"/>
    <mergeCell ref="C3:H3"/>
    <mergeCell ref="K3:M3"/>
    <mergeCell ref="C5:H5"/>
    <mergeCell ref="K5:M5"/>
    <mergeCell ref="C7:H7"/>
    <mergeCell ref="E11:L11"/>
    <mergeCell ref="E13:G13"/>
    <mergeCell ref="H13:L13"/>
    <mergeCell ref="F15:K15"/>
    <mergeCell ref="D17:F17"/>
    <mergeCell ref="G17:M17"/>
    <mergeCell ref="D25:F25"/>
    <mergeCell ref="G25:L25"/>
    <mergeCell ref="G18:M18"/>
    <mergeCell ref="D19:E19"/>
    <mergeCell ref="F19:M19"/>
    <mergeCell ref="D20:E20"/>
    <mergeCell ref="F20:M20"/>
    <mergeCell ref="D21:E21"/>
    <mergeCell ref="F21:M21"/>
    <mergeCell ref="F22:M22"/>
    <mergeCell ref="D23:E23"/>
    <mergeCell ref="F23:M23"/>
    <mergeCell ref="D24:F24"/>
    <mergeCell ref="G24:L24"/>
    <mergeCell ref="D34:H34"/>
    <mergeCell ref="J34:M34"/>
    <mergeCell ref="D27:E27"/>
    <mergeCell ref="F27:M27"/>
    <mergeCell ref="F28:M28"/>
    <mergeCell ref="D29:F29"/>
    <mergeCell ref="G29:M29"/>
    <mergeCell ref="D30:E30"/>
    <mergeCell ref="F30:M30"/>
    <mergeCell ref="D31:E31"/>
    <mergeCell ref="F31:G31"/>
    <mergeCell ref="J31:K31"/>
    <mergeCell ref="L31:M31"/>
    <mergeCell ref="F33:K33"/>
    <mergeCell ref="D47:G47"/>
    <mergeCell ref="J47:M50"/>
    <mergeCell ref="D49:F49"/>
    <mergeCell ref="D35:G35"/>
    <mergeCell ref="J35:M41"/>
    <mergeCell ref="D37:G37"/>
    <mergeCell ref="D39:G39"/>
    <mergeCell ref="D41:G41"/>
    <mergeCell ref="D43:G43"/>
    <mergeCell ref="J43:M45"/>
    <mergeCell ref="D45:G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Check Box 4">
              <controlPr defaultSize="0" autoFill="0" autoLine="0" autoPict="0">
                <anchor moveWithCells="1">
                  <from>
                    <xdr:col>7</xdr:col>
                    <xdr:colOff>123825</xdr:colOff>
                    <xdr:row>33</xdr:row>
                    <xdr:rowOff>276225</xdr:rowOff>
                  </from>
                  <to>
                    <xdr:col>7</xdr:col>
                    <xdr:colOff>476250</xdr:colOff>
                    <xdr:row>36</xdr:row>
                    <xdr:rowOff>0</xdr:rowOff>
                  </to>
                </anchor>
              </controlPr>
            </control>
          </mc:Choice>
        </mc:AlternateContent>
        <mc:AlternateContent xmlns:mc="http://schemas.openxmlformats.org/markup-compatibility/2006">
          <mc:Choice Requires="x14">
            <control shapeId="6146" r:id="rId4" name="Check Box 5">
              <controlPr defaultSize="0" autoFill="0" autoLine="0" autoPict="0">
                <anchor moveWithCells="1">
                  <from>
                    <xdr:col>7</xdr:col>
                    <xdr:colOff>123825</xdr:colOff>
                    <xdr:row>35</xdr:row>
                    <xdr:rowOff>38100</xdr:rowOff>
                  </from>
                  <to>
                    <xdr:col>7</xdr:col>
                    <xdr:colOff>485775</xdr:colOff>
                    <xdr:row>36</xdr:row>
                    <xdr:rowOff>123825</xdr:rowOff>
                  </to>
                </anchor>
              </controlPr>
            </control>
          </mc:Choice>
        </mc:AlternateContent>
        <mc:AlternateContent xmlns:mc="http://schemas.openxmlformats.org/markup-compatibility/2006">
          <mc:Choice Requires="x14">
            <control shapeId="6147" r:id="rId5" name="Check Box 6">
              <controlPr defaultSize="0" autoFill="0" autoLine="0" autoPict="0">
                <anchor moveWithCells="1">
                  <from>
                    <xdr:col>7</xdr:col>
                    <xdr:colOff>123825</xdr:colOff>
                    <xdr:row>37</xdr:row>
                    <xdr:rowOff>19050</xdr:rowOff>
                  </from>
                  <to>
                    <xdr:col>7</xdr:col>
                    <xdr:colOff>485775</xdr:colOff>
                    <xdr:row>38</xdr:row>
                    <xdr:rowOff>104775</xdr:rowOff>
                  </to>
                </anchor>
              </controlPr>
            </control>
          </mc:Choice>
        </mc:AlternateContent>
        <mc:AlternateContent xmlns:mc="http://schemas.openxmlformats.org/markup-compatibility/2006">
          <mc:Choice Requires="x14">
            <control shapeId="6148" r:id="rId6" name="Check Box 7">
              <controlPr defaultSize="0" autoFill="0" autoLine="0" autoPict="0">
                <anchor moveWithCells="1">
                  <from>
                    <xdr:col>7</xdr:col>
                    <xdr:colOff>123825</xdr:colOff>
                    <xdr:row>39</xdr:row>
                    <xdr:rowOff>19050</xdr:rowOff>
                  </from>
                  <to>
                    <xdr:col>7</xdr:col>
                    <xdr:colOff>476250</xdr:colOff>
                    <xdr:row>40</xdr:row>
                    <xdr:rowOff>104775</xdr:rowOff>
                  </to>
                </anchor>
              </controlPr>
            </control>
          </mc:Choice>
        </mc:AlternateContent>
        <mc:AlternateContent xmlns:mc="http://schemas.openxmlformats.org/markup-compatibility/2006">
          <mc:Choice Requires="x14">
            <control shapeId="6149" r:id="rId7" name="Check Box 5">
              <controlPr defaultSize="0" autoFill="0" autoLine="0" autoPict="0">
                <anchor moveWithCells="1">
                  <from>
                    <xdr:col>7</xdr:col>
                    <xdr:colOff>123825</xdr:colOff>
                    <xdr:row>41</xdr:row>
                    <xdr:rowOff>19050</xdr:rowOff>
                  </from>
                  <to>
                    <xdr:col>7</xdr:col>
                    <xdr:colOff>476250</xdr:colOff>
                    <xdr:row>42</xdr:row>
                    <xdr:rowOff>95250</xdr:rowOff>
                  </to>
                </anchor>
              </controlPr>
            </control>
          </mc:Choice>
        </mc:AlternateContent>
        <mc:AlternateContent xmlns:mc="http://schemas.openxmlformats.org/markup-compatibility/2006">
          <mc:Choice Requires="x14">
            <control shapeId="6150" r:id="rId8" name="Check Box 6">
              <controlPr defaultSize="0" autoFill="0" autoLine="0" autoPict="0">
                <anchor moveWithCells="1">
                  <from>
                    <xdr:col>7</xdr:col>
                    <xdr:colOff>133350</xdr:colOff>
                    <xdr:row>43</xdr:row>
                    <xdr:rowOff>19050</xdr:rowOff>
                  </from>
                  <to>
                    <xdr:col>7</xdr:col>
                    <xdr:colOff>476250</xdr:colOff>
                    <xdr:row>44</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AADA-EF5C-4F8F-B06C-A4B22F29C57B}">
  <dimension ref="A3:H40"/>
  <sheetViews>
    <sheetView workbookViewId="0">
      <selection activeCell="E16" sqref="A1:XFD1048576"/>
    </sheetView>
  </sheetViews>
  <sheetFormatPr baseColWidth="10" defaultRowHeight="15" x14ac:dyDescent="0.25"/>
  <cols>
    <col min="1" max="1" width="5.7109375" customWidth="1"/>
    <col min="8" max="8" width="24.28515625" customWidth="1"/>
  </cols>
  <sheetData>
    <row r="3" spans="1:8" ht="15.75" x14ac:dyDescent="0.25">
      <c r="A3" s="693" t="s">
        <v>89</v>
      </c>
      <c r="B3" s="693"/>
      <c r="C3" s="693"/>
      <c r="D3" s="693"/>
      <c r="E3" s="693"/>
      <c r="F3" s="693"/>
      <c r="G3" s="693"/>
      <c r="H3" s="693"/>
    </row>
    <row r="4" spans="1:8" ht="15.75" x14ac:dyDescent="0.25">
      <c r="A4" s="64"/>
      <c r="B4" s="64"/>
      <c r="C4" s="64"/>
      <c r="D4" s="64"/>
      <c r="E4" s="64"/>
      <c r="F4" s="64"/>
      <c r="G4" s="64"/>
      <c r="H4" s="64"/>
    </row>
    <row r="5" spans="1:8" ht="15.75" x14ac:dyDescent="0.25">
      <c r="A5" s="64"/>
      <c r="B5" s="64"/>
      <c r="C5" s="64"/>
      <c r="D5" s="64"/>
      <c r="E5" s="64"/>
      <c r="F5" s="64"/>
      <c r="G5" s="64"/>
      <c r="H5" s="64"/>
    </row>
    <row r="6" spans="1:8" ht="15.75" x14ac:dyDescent="0.25">
      <c r="A6" s="65" t="s">
        <v>90</v>
      </c>
      <c r="B6" s="64"/>
      <c r="C6" s="64"/>
      <c r="D6" s="64"/>
      <c r="E6" s="64"/>
      <c r="F6" s="64"/>
      <c r="G6" s="64"/>
      <c r="H6" s="64"/>
    </row>
    <row r="7" spans="1:8" ht="15.75" x14ac:dyDescent="0.25">
      <c r="A7" s="65"/>
      <c r="B7" s="64"/>
      <c r="C7" s="64"/>
      <c r="D7" s="64"/>
      <c r="E7" s="64"/>
      <c r="F7" s="64"/>
      <c r="G7" s="64"/>
      <c r="H7" s="64"/>
    </row>
    <row r="8" spans="1:8" ht="15.75" x14ac:dyDescent="0.25">
      <c r="A8" s="64"/>
      <c r="B8" s="64"/>
      <c r="C8" s="64"/>
      <c r="D8" s="64"/>
      <c r="E8" s="64"/>
      <c r="F8" s="64"/>
      <c r="G8" s="64"/>
      <c r="H8" s="64"/>
    </row>
    <row r="9" spans="1:8" ht="15.75" x14ac:dyDescent="0.25">
      <c r="A9" s="64"/>
      <c r="B9" s="64" t="s">
        <v>91</v>
      </c>
      <c r="C9" s="64"/>
      <c r="D9" s="64"/>
      <c r="E9" s="64"/>
      <c r="F9" s="64"/>
      <c r="G9" s="64"/>
      <c r="H9" s="64"/>
    </row>
    <row r="10" spans="1:8" ht="15.75" x14ac:dyDescent="0.25">
      <c r="A10" s="64"/>
      <c r="B10" s="64"/>
      <c r="C10" s="64"/>
      <c r="D10" s="64"/>
      <c r="E10" s="64"/>
      <c r="F10" s="64"/>
      <c r="G10" s="64"/>
      <c r="H10" s="64"/>
    </row>
    <row r="11" spans="1:8" ht="15.75" x14ac:dyDescent="0.25">
      <c r="A11" s="64"/>
      <c r="B11" s="64" t="s">
        <v>92</v>
      </c>
      <c r="C11" s="64"/>
      <c r="D11" s="64"/>
      <c r="E11" s="64"/>
      <c r="F11" s="64"/>
      <c r="G11" s="64"/>
      <c r="H11" s="64"/>
    </row>
    <row r="12" spans="1:8" ht="15.75" x14ac:dyDescent="0.25">
      <c r="A12" s="64"/>
      <c r="B12" s="64"/>
      <c r="C12" s="64"/>
      <c r="D12" s="64"/>
      <c r="E12" s="64"/>
      <c r="F12" s="64"/>
      <c r="G12" s="64"/>
      <c r="H12" s="64"/>
    </row>
    <row r="13" spans="1:8" ht="15.75" x14ac:dyDescent="0.25">
      <c r="A13" s="64"/>
      <c r="B13" s="64" t="s">
        <v>93</v>
      </c>
      <c r="C13" s="64"/>
      <c r="D13" s="64"/>
      <c r="E13" s="64"/>
      <c r="F13" s="64"/>
      <c r="G13" s="64"/>
      <c r="H13" s="64"/>
    </row>
    <row r="14" spans="1:8" ht="15.75" x14ac:dyDescent="0.25">
      <c r="A14" s="64"/>
      <c r="B14" s="64"/>
      <c r="C14" s="64"/>
      <c r="D14" s="64"/>
      <c r="E14" s="64"/>
      <c r="F14" s="64"/>
      <c r="G14" s="64"/>
      <c r="H14" s="64"/>
    </row>
    <row r="15" spans="1:8" ht="15.75" x14ac:dyDescent="0.25">
      <c r="A15" s="64"/>
      <c r="B15" s="64" t="s">
        <v>94</v>
      </c>
      <c r="C15" s="64"/>
      <c r="D15" s="64"/>
      <c r="E15" s="64"/>
      <c r="F15" s="64"/>
      <c r="G15" s="64"/>
      <c r="H15" s="64"/>
    </row>
    <row r="16" spans="1:8" ht="15.75" x14ac:dyDescent="0.25">
      <c r="A16" s="64"/>
      <c r="B16" s="64"/>
      <c r="C16" s="64"/>
      <c r="D16" s="64"/>
      <c r="E16" s="64"/>
      <c r="F16" s="64"/>
      <c r="G16" s="64"/>
      <c r="H16" s="64"/>
    </row>
    <row r="17" spans="1:8" ht="15.75" x14ac:dyDescent="0.25">
      <c r="A17" s="64"/>
      <c r="B17" s="64" t="s">
        <v>95</v>
      </c>
      <c r="C17" s="64"/>
      <c r="D17" s="64"/>
      <c r="E17" s="64"/>
      <c r="F17" s="64"/>
      <c r="G17" s="64"/>
      <c r="H17" s="64"/>
    </row>
    <row r="18" spans="1:8" ht="15.75" x14ac:dyDescent="0.25">
      <c r="A18" s="64"/>
      <c r="B18" s="64"/>
      <c r="C18" s="64"/>
      <c r="D18" s="64"/>
      <c r="E18" s="64"/>
      <c r="F18" s="64"/>
      <c r="G18" s="64"/>
      <c r="H18" s="64"/>
    </row>
    <row r="19" spans="1:8" ht="15.75" x14ac:dyDescent="0.25">
      <c r="A19" s="64"/>
      <c r="B19" s="64" t="s">
        <v>96</v>
      </c>
      <c r="C19" s="64"/>
      <c r="D19" s="64"/>
      <c r="E19" s="64"/>
      <c r="F19" s="64"/>
      <c r="G19" s="64"/>
      <c r="H19" s="64"/>
    </row>
    <row r="20" spans="1:8" ht="15.75" x14ac:dyDescent="0.25">
      <c r="A20" s="64"/>
      <c r="B20" s="64"/>
      <c r="C20" s="64"/>
      <c r="D20" s="64"/>
      <c r="E20" s="64"/>
      <c r="F20" s="64"/>
      <c r="G20" s="64"/>
      <c r="H20" s="64"/>
    </row>
    <row r="21" spans="1:8" ht="15.75" x14ac:dyDescent="0.25">
      <c r="A21" s="64"/>
      <c r="B21" s="64"/>
      <c r="C21" s="64"/>
      <c r="D21" s="64"/>
      <c r="E21" s="64"/>
      <c r="F21" s="64"/>
      <c r="G21" s="64"/>
      <c r="H21" s="64"/>
    </row>
    <row r="22" spans="1:8" ht="15.75" x14ac:dyDescent="0.25">
      <c r="A22" s="65" t="s">
        <v>97</v>
      </c>
      <c r="B22" s="64"/>
      <c r="C22" s="64"/>
      <c r="D22" s="64"/>
      <c r="E22" s="64"/>
      <c r="F22" s="64"/>
      <c r="G22" s="64"/>
      <c r="H22" s="64"/>
    </row>
    <row r="23" spans="1:8" ht="15.75" x14ac:dyDescent="0.25">
      <c r="A23" s="65"/>
      <c r="B23" s="64"/>
      <c r="C23" s="64"/>
      <c r="D23" s="64"/>
      <c r="E23" s="64"/>
      <c r="F23" s="64"/>
      <c r="G23" s="64"/>
      <c r="H23" s="64"/>
    </row>
    <row r="24" spans="1:8" ht="15.75" x14ac:dyDescent="0.25">
      <c r="A24" s="64"/>
      <c r="B24" s="64"/>
      <c r="C24" s="64"/>
      <c r="D24" s="64"/>
      <c r="E24" s="64"/>
      <c r="F24" s="64"/>
      <c r="G24" s="64"/>
      <c r="H24" s="64"/>
    </row>
    <row r="25" spans="1:8" ht="15.75" x14ac:dyDescent="0.25">
      <c r="A25" s="64"/>
      <c r="B25" s="64" t="s">
        <v>98</v>
      </c>
      <c r="C25" s="64"/>
      <c r="D25" s="64"/>
      <c r="E25" s="64"/>
      <c r="F25" s="64"/>
      <c r="G25" s="64"/>
      <c r="H25" s="64"/>
    </row>
    <row r="26" spans="1:8" ht="15.75" x14ac:dyDescent="0.25">
      <c r="A26" s="64"/>
      <c r="B26" s="64"/>
      <c r="C26" s="64"/>
      <c r="D26" s="64"/>
      <c r="E26" s="64"/>
      <c r="F26" s="64"/>
      <c r="G26" s="64"/>
      <c r="H26" s="64"/>
    </row>
    <row r="27" spans="1:8" ht="15.75" x14ac:dyDescent="0.25">
      <c r="A27" s="64"/>
      <c r="B27" s="64" t="s">
        <v>99</v>
      </c>
      <c r="C27" s="64"/>
      <c r="D27" s="64"/>
      <c r="E27" s="64"/>
      <c r="F27" s="64"/>
      <c r="G27" s="64"/>
      <c r="H27" s="64"/>
    </row>
    <row r="28" spans="1:8" ht="15.75" x14ac:dyDescent="0.25">
      <c r="A28" s="64"/>
      <c r="B28" s="64" t="s">
        <v>100</v>
      </c>
      <c r="C28" s="64"/>
      <c r="D28" s="64"/>
      <c r="E28" s="64"/>
      <c r="F28" s="64"/>
      <c r="G28" s="64"/>
      <c r="H28" s="64"/>
    </row>
    <row r="29" spans="1:8" ht="15.75" x14ac:dyDescent="0.25">
      <c r="A29" s="64"/>
      <c r="B29" s="64"/>
      <c r="C29" s="64"/>
      <c r="D29" s="64"/>
      <c r="E29" s="64"/>
      <c r="F29" s="64"/>
      <c r="G29" s="64"/>
      <c r="H29" s="64"/>
    </row>
    <row r="30" spans="1:8" ht="15.75" x14ac:dyDescent="0.25">
      <c r="A30" s="64"/>
      <c r="B30" s="64" t="s">
        <v>93</v>
      </c>
      <c r="C30" s="64"/>
      <c r="D30" s="64"/>
      <c r="E30" s="64"/>
      <c r="F30" s="64"/>
      <c r="G30" s="64"/>
      <c r="H30" s="64"/>
    </row>
    <row r="31" spans="1:8" ht="15.75" x14ac:dyDescent="0.25">
      <c r="A31" s="64"/>
      <c r="B31" s="64"/>
      <c r="C31" s="64"/>
      <c r="D31" s="64"/>
      <c r="E31" s="64"/>
      <c r="F31" s="64"/>
      <c r="G31" s="64"/>
      <c r="H31" s="64"/>
    </row>
    <row r="32" spans="1:8" ht="15.75" x14ac:dyDescent="0.25">
      <c r="A32" s="64"/>
      <c r="B32" s="64" t="s">
        <v>95</v>
      </c>
      <c r="C32" s="64"/>
      <c r="D32" s="64"/>
      <c r="E32" s="64"/>
      <c r="F32" s="64"/>
      <c r="G32" s="64"/>
      <c r="H32" s="64"/>
    </row>
    <row r="33" spans="1:8" ht="15.75" x14ac:dyDescent="0.25">
      <c r="A33" s="64"/>
      <c r="B33" s="64"/>
      <c r="C33" s="64"/>
      <c r="D33" s="64"/>
      <c r="E33" s="64"/>
      <c r="F33" s="64"/>
      <c r="G33" s="64"/>
      <c r="H33" s="64"/>
    </row>
    <row r="34" spans="1:8" ht="15.75" x14ac:dyDescent="0.25">
      <c r="A34" s="64"/>
      <c r="B34" s="64" t="s">
        <v>96</v>
      </c>
      <c r="C34" s="64"/>
      <c r="D34" s="64"/>
      <c r="E34" s="64"/>
      <c r="F34" s="64"/>
      <c r="G34" s="64"/>
      <c r="H34" s="64"/>
    </row>
    <row r="35" spans="1:8" ht="15.75" x14ac:dyDescent="0.25">
      <c r="A35" s="64"/>
      <c r="B35" s="64"/>
      <c r="C35" s="64"/>
      <c r="D35" s="64"/>
      <c r="E35" s="64"/>
      <c r="F35" s="64"/>
      <c r="G35" s="64"/>
      <c r="H35" s="64"/>
    </row>
    <row r="36" spans="1:8" ht="15.75" x14ac:dyDescent="0.25">
      <c r="A36" s="64"/>
      <c r="B36" s="64"/>
      <c r="C36" s="64"/>
      <c r="D36" s="64"/>
      <c r="E36" s="64"/>
      <c r="F36" s="64"/>
      <c r="G36" s="64"/>
      <c r="H36" s="64"/>
    </row>
    <row r="37" spans="1:8" ht="15.75" x14ac:dyDescent="0.25">
      <c r="A37" s="65" t="s">
        <v>101</v>
      </c>
      <c r="B37" s="64"/>
      <c r="C37" s="64"/>
      <c r="D37" s="64"/>
      <c r="E37" s="64"/>
      <c r="F37" s="64"/>
      <c r="G37" s="64"/>
      <c r="H37" s="64"/>
    </row>
    <row r="38" spans="1:8" ht="15.75" x14ac:dyDescent="0.25">
      <c r="A38" s="64"/>
      <c r="B38" s="64"/>
      <c r="C38" s="64"/>
      <c r="D38" s="64"/>
      <c r="E38" s="64"/>
      <c r="F38" s="64"/>
      <c r="G38" s="64"/>
      <c r="H38" s="64"/>
    </row>
    <row r="39" spans="1:8" ht="15.75" x14ac:dyDescent="0.25">
      <c r="A39" s="64"/>
      <c r="B39" s="694" t="s">
        <v>102</v>
      </c>
      <c r="C39" s="694"/>
      <c r="D39" s="694"/>
      <c r="E39" s="694"/>
      <c r="F39" s="694"/>
      <c r="G39" s="694"/>
      <c r="H39" s="694"/>
    </row>
    <row r="40" spans="1:8" ht="15.75" x14ac:dyDescent="0.25">
      <c r="A40" s="64"/>
      <c r="B40" s="694" t="s">
        <v>103</v>
      </c>
      <c r="C40" s="694"/>
      <c r="D40" s="694"/>
      <c r="E40" s="694"/>
      <c r="F40" s="694"/>
      <c r="G40" s="694"/>
      <c r="H40" s="694"/>
    </row>
  </sheetData>
  <mergeCells count="3">
    <mergeCell ref="A3:H3"/>
    <mergeCell ref="B39:H39"/>
    <mergeCell ref="B40:H4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B6126-F77F-45DE-8546-25570F497B15}">
  <dimension ref="A3:AJ126"/>
  <sheetViews>
    <sheetView workbookViewId="0">
      <selection activeCell="G15" sqref="A1:XFD1048576"/>
    </sheetView>
  </sheetViews>
  <sheetFormatPr baseColWidth="10" defaultRowHeight="15" x14ac:dyDescent="0.25"/>
  <cols>
    <col min="1" max="1" width="2.85546875" customWidth="1"/>
    <col min="2" max="4" width="2.7109375" customWidth="1"/>
    <col min="5" max="8" width="2.42578125" customWidth="1"/>
    <col min="9" max="15" width="2.7109375" customWidth="1"/>
    <col min="16" max="16" width="3.7109375" customWidth="1"/>
    <col min="17" max="17" width="2.7109375" customWidth="1"/>
    <col min="18" max="18" width="2.5703125" customWidth="1"/>
    <col min="19" max="21" width="2.7109375" customWidth="1"/>
    <col min="22" max="27" width="2.42578125" customWidth="1"/>
    <col min="28" max="33" width="2.7109375" customWidth="1"/>
    <col min="34" max="35" width="3.28515625" customWidth="1"/>
    <col min="36" max="36" width="2.5703125" customWidth="1"/>
  </cols>
  <sheetData>
    <row r="3" spans="1:36" ht="15.75" x14ac:dyDescent="0.25">
      <c r="A3" s="697" t="s">
        <v>104</v>
      </c>
      <c r="B3" s="697"/>
      <c r="C3" s="697"/>
      <c r="D3" s="697"/>
      <c r="E3" s="697"/>
      <c r="F3" s="697"/>
      <c r="G3" s="697"/>
      <c r="H3" s="697"/>
      <c r="I3" s="697"/>
      <c r="J3" s="697"/>
      <c r="K3" s="697"/>
      <c r="L3" s="697"/>
      <c r="M3" s="697"/>
      <c r="N3" s="697"/>
      <c r="O3" s="697"/>
      <c r="P3" s="697"/>
      <c r="Q3" s="697"/>
      <c r="R3" s="697"/>
      <c r="S3" s="697"/>
      <c r="T3" s="697"/>
      <c r="U3" s="697"/>
      <c r="V3" s="697"/>
      <c r="W3" s="697"/>
      <c r="X3" s="697"/>
      <c r="Y3" s="697"/>
      <c r="Z3" s="697"/>
      <c r="AA3" s="697"/>
      <c r="AB3" s="697"/>
      <c r="AC3" s="697"/>
      <c r="AD3" s="697"/>
      <c r="AE3" s="697"/>
      <c r="AF3" s="697"/>
      <c r="AG3" s="697"/>
      <c r="AH3" s="697"/>
      <c r="AI3" s="697"/>
      <c r="AJ3" s="697"/>
    </row>
    <row r="4" spans="1:36" x14ac:dyDescent="0.25">
      <c r="A4" s="66"/>
      <c r="B4" s="67"/>
      <c r="C4" s="67"/>
      <c r="D4" s="67"/>
      <c r="E4" s="67"/>
      <c r="F4" s="67"/>
      <c r="G4" s="67"/>
      <c r="H4" s="67"/>
      <c r="I4" s="67"/>
      <c r="J4" s="67"/>
      <c r="K4" s="67"/>
      <c r="L4" s="67"/>
      <c r="M4" s="67"/>
      <c r="N4" s="66"/>
      <c r="O4" s="66"/>
      <c r="P4" s="66"/>
      <c r="Q4" s="66"/>
      <c r="R4" s="66"/>
      <c r="S4" s="66"/>
      <c r="T4" s="68"/>
      <c r="U4" s="68"/>
      <c r="V4" s="68"/>
      <c r="W4" s="68"/>
      <c r="X4" s="68"/>
      <c r="Y4" s="68"/>
      <c r="Z4" s="68"/>
      <c r="AA4" s="68"/>
      <c r="AB4" s="68"/>
      <c r="AC4" s="68"/>
      <c r="AD4" s="68"/>
      <c r="AE4" s="68"/>
      <c r="AF4" s="68"/>
      <c r="AG4" s="68"/>
      <c r="AH4" s="68"/>
      <c r="AI4" s="68"/>
      <c r="AJ4" s="68"/>
    </row>
    <row r="5" spans="1:36" x14ac:dyDescent="0.25">
      <c r="A5" s="69"/>
      <c r="B5" s="70"/>
      <c r="C5" s="70"/>
      <c r="D5" s="70"/>
      <c r="E5" s="70"/>
      <c r="F5" s="70"/>
      <c r="G5" s="70"/>
      <c r="H5" s="70"/>
      <c r="I5" s="70"/>
      <c r="J5" s="70"/>
      <c r="K5" s="70"/>
      <c r="L5" s="70"/>
      <c r="M5" s="70"/>
      <c r="N5" s="70"/>
      <c r="O5" s="70"/>
      <c r="P5" s="70"/>
      <c r="Q5" s="71"/>
      <c r="R5" s="72"/>
      <c r="S5" s="698"/>
      <c r="T5" s="699"/>
      <c r="U5" s="699"/>
      <c r="V5" s="699"/>
      <c r="W5" s="699"/>
      <c r="X5" s="699"/>
      <c r="Y5" s="699"/>
      <c r="Z5" s="699"/>
      <c r="AA5" s="699"/>
      <c r="AB5" s="699"/>
      <c r="AC5" s="699"/>
      <c r="AD5" s="699"/>
      <c r="AE5" s="699"/>
      <c r="AF5" s="699"/>
      <c r="AG5" s="699"/>
      <c r="AH5" s="699"/>
      <c r="AI5" s="73"/>
      <c r="AJ5" s="74"/>
    </row>
    <row r="6" spans="1:36" ht="16.5" x14ac:dyDescent="0.25">
      <c r="A6" s="700" t="s">
        <v>105</v>
      </c>
      <c r="B6" s="701"/>
      <c r="C6" s="701"/>
      <c r="D6" s="701"/>
      <c r="E6" s="701"/>
      <c r="F6" s="701"/>
      <c r="G6" s="701"/>
      <c r="H6" s="701"/>
      <c r="I6" s="701"/>
      <c r="J6" s="701"/>
      <c r="K6" s="701"/>
      <c r="L6" s="701"/>
      <c r="M6" s="701"/>
      <c r="N6" s="701"/>
      <c r="O6" s="701"/>
      <c r="P6" s="701"/>
      <c r="Q6" s="701"/>
      <c r="R6" s="702"/>
      <c r="S6" s="700" t="s">
        <v>106</v>
      </c>
      <c r="T6" s="701"/>
      <c r="U6" s="701"/>
      <c r="V6" s="701"/>
      <c r="W6" s="701"/>
      <c r="X6" s="701"/>
      <c r="Y6" s="701"/>
      <c r="Z6" s="701"/>
      <c r="AA6" s="701"/>
      <c r="AB6" s="701"/>
      <c r="AC6" s="701"/>
      <c r="AD6" s="701"/>
      <c r="AE6" s="701"/>
      <c r="AF6" s="701"/>
      <c r="AG6" s="701"/>
      <c r="AH6" s="701"/>
      <c r="AI6" s="701"/>
      <c r="AJ6" s="702"/>
    </row>
    <row r="7" spans="1:36" x14ac:dyDescent="0.25">
      <c r="A7" s="75"/>
      <c r="B7" s="76"/>
      <c r="C7" s="76"/>
      <c r="D7" s="76"/>
      <c r="E7" s="76"/>
      <c r="F7" s="76"/>
      <c r="G7" s="76"/>
      <c r="H7" s="76"/>
      <c r="I7" s="76"/>
      <c r="J7" s="76"/>
      <c r="K7" s="76"/>
      <c r="L7" s="76"/>
      <c r="M7" s="76"/>
      <c r="N7" s="68"/>
      <c r="O7" s="68"/>
      <c r="P7" s="68"/>
      <c r="Q7" s="77"/>
      <c r="R7" s="78"/>
      <c r="S7" s="68"/>
      <c r="T7" s="68"/>
      <c r="U7" s="68"/>
      <c r="V7" s="68"/>
      <c r="W7" s="68"/>
      <c r="X7" s="68"/>
      <c r="Y7" s="68"/>
      <c r="Z7" s="68"/>
      <c r="AA7" s="68"/>
      <c r="AB7" s="68"/>
      <c r="AC7" s="68"/>
      <c r="AD7" s="68"/>
      <c r="AE7" s="68"/>
      <c r="AF7" s="68"/>
      <c r="AG7" s="68"/>
      <c r="AH7" s="68"/>
      <c r="AI7" s="77"/>
      <c r="AJ7" s="79"/>
    </row>
    <row r="8" spans="1:36" x14ac:dyDescent="0.25">
      <c r="A8" s="75"/>
      <c r="B8" s="76"/>
      <c r="C8" s="76"/>
      <c r="D8" s="76"/>
      <c r="E8" s="76"/>
      <c r="F8" s="76"/>
      <c r="G8" s="76"/>
      <c r="H8" s="76"/>
      <c r="I8" s="76"/>
      <c r="J8" s="76"/>
      <c r="K8" s="76"/>
      <c r="L8" s="76"/>
      <c r="M8" s="76"/>
      <c r="N8" s="68"/>
      <c r="O8" s="68"/>
      <c r="P8" s="68"/>
      <c r="Q8" s="77"/>
      <c r="R8" s="78"/>
      <c r="S8" s="68"/>
      <c r="T8" s="68"/>
      <c r="U8" s="68"/>
      <c r="V8" s="68"/>
      <c r="W8" s="68"/>
      <c r="X8" s="68"/>
      <c r="Y8" s="68"/>
      <c r="Z8" s="68"/>
      <c r="AA8" s="68"/>
      <c r="AB8" s="68"/>
      <c r="AC8" s="68"/>
      <c r="AD8" s="68"/>
      <c r="AE8" s="68"/>
      <c r="AF8" s="68"/>
      <c r="AG8" s="68"/>
      <c r="AH8" s="68"/>
      <c r="AI8" s="77"/>
      <c r="AJ8" s="79"/>
    </row>
    <row r="9" spans="1:36" ht="16.5" x14ac:dyDescent="0.25">
      <c r="A9" s="80" t="s">
        <v>107</v>
      </c>
      <c r="B9" s="76"/>
      <c r="C9" s="76"/>
      <c r="D9" s="76"/>
      <c r="E9" s="76"/>
      <c r="F9" s="76"/>
      <c r="G9" s="76"/>
      <c r="H9" s="76"/>
      <c r="I9" s="76"/>
      <c r="J9" s="76"/>
      <c r="K9" s="76"/>
      <c r="L9" s="76"/>
      <c r="M9" s="76"/>
      <c r="N9" s="68"/>
      <c r="O9" s="81" t="s">
        <v>108</v>
      </c>
      <c r="P9" s="68"/>
      <c r="Q9" s="82" t="s">
        <v>108</v>
      </c>
      <c r="R9" s="78"/>
      <c r="S9" s="80" t="s">
        <v>109</v>
      </c>
      <c r="T9" s="68"/>
      <c r="U9" s="68"/>
      <c r="V9" s="68"/>
      <c r="W9" s="68"/>
      <c r="X9" s="68"/>
      <c r="Y9" s="68"/>
      <c r="Z9" s="68"/>
      <c r="AA9" s="68"/>
      <c r="AB9" s="68"/>
      <c r="AC9" s="68"/>
      <c r="AD9" s="68"/>
      <c r="AE9" s="68"/>
      <c r="AF9" s="68"/>
      <c r="AG9" s="67"/>
      <c r="AH9" s="68"/>
      <c r="AI9" s="67"/>
      <c r="AJ9" s="83"/>
    </row>
    <row r="10" spans="1:36" x14ac:dyDescent="0.25">
      <c r="A10" s="80" t="s">
        <v>110</v>
      </c>
      <c r="B10" s="76"/>
      <c r="C10" s="76"/>
      <c r="D10" s="76"/>
      <c r="E10" s="76"/>
      <c r="F10" s="76"/>
      <c r="G10" s="76"/>
      <c r="H10" s="76"/>
      <c r="I10" s="76"/>
      <c r="J10" s="76"/>
      <c r="K10" s="76"/>
      <c r="L10" s="76"/>
      <c r="M10" s="76"/>
      <c r="N10" s="68"/>
      <c r="O10" s="68"/>
      <c r="P10" s="68"/>
      <c r="Q10" s="77"/>
      <c r="R10" s="78"/>
      <c r="S10" s="80" t="s">
        <v>111</v>
      </c>
      <c r="T10" s="68"/>
      <c r="U10" s="68"/>
      <c r="V10" s="68"/>
      <c r="W10" s="68"/>
      <c r="X10" s="68"/>
      <c r="Y10" s="68"/>
      <c r="Z10" s="68"/>
      <c r="AA10" s="68"/>
      <c r="AB10" s="68"/>
      <c r="AC10" s="68"/>
      <c r="AD10" s="68"/>
      <c r="AE10" s="68"/>
      <c r="AF10" s="68"/>
      <c r="AG10" s="68"/>
      <c r="AH10" s="68"/>
      <c r="AI10" s="68"/>
      <c r="AJ10" s="83"/>
    </row>
    <row r="11" spans="1:36" ht="15.75" x14ac:dyDescent="0.25">
      <c r="A11" s="75"/>
      <c r="B11" s="76"/>
      <c r="C11" s="76"/>
      <c r="D11" s="76"/>
      <c r="E11" s="76"/>
      <c r="F11" s="76"/>
      <c r="G11" s="76"/>
      <c r="H11" s="76"/>
      <c r="I11" s="76"/>
      <c r="J11" s="76"/>
      <c r="K11" s="76"/>
      <c r="L11" s="76"/>
      <c r="M11" s="76"/>
      <c r="N11" s="68"/>
      <c r="O11" s="68"/>
      <c r="P11" s="68"/>
      <c r="Q11" s="77"/>
      <c r="R11" s="78"/>
      <c r="S11" s="66" t="s">
        <v>112</v>
      </c>
      <c r="T11" s="84"/>
      <c r="U11" s="84"/>
      <c r="V11" s="84"/>
      <c r="W11" s="84"/>
      <c r="X11" s="84"/>
      <c r="Y11" s="84"/>
      <c r="Z11" s="84"/>
      <c r="AA11" s="84"/>
      <c r="AB11" s="84"/>
      <c r="AC11" s="84"/>
      <c r="AD11" s="84"/>
      <c r="AE11" s="84"/>
      <c r="AF11" s="84"/>
      <c r="AG11" s="84"/>
      <c r="AH11" s="84"/>
      <c r="AI11" s="84"/>
      <c r="AJ11" s="83"/>
    </row>
    <row r="12" spans="1:36" x14ac:dyDescent="0.25">
      <c r="A12" s="80" t="s">
        <v>113</v>
      </c>
      <c r="B12" s="76"/>
      <c r="C12" s="76"/>
      <c r="D12" s="76"/>
      <c r="E12" s="76"/>
      <c r="F12" s="76"/>
      <c r="G12" s="76"/>
      <c r="H12" s="76"/>
      <c r="I12" s="76"/>
      <c r="J12" s="76"/>
      <c r="K12" s="76"/>
      <c r="L12" s="76"/>
      <c r="M12" s="76"/>
      <c r="N12" s="68"/>
      <c r="O12" s="85" t="s">
        <v>108</v>
      </c>
      <c r="P12" s="68"/>
      <c r="Q12" s="85" t="s">
        <v>114</v>
      </c>
      <c r="R12" s="78"/>
      <c r="S12" s="66" t="s">
        <v>115</v>
      </c>
      <c r="T12" s="84"/>
      <c r="U12" s="84"/>
      <c r="V12" s="84"/>
      <c r="W12" s="84"/>
      <c r="X12" s="84"/>
      <c r="Y12" s="84"/>
      <c r="Z12" s="84"/>
      <c r="AA12" s="84"/>
      <c r="AB12" s="84"/>
      <c r="AC12" s="84"/>
      <c r="AD12" s="84"/>
      <c r="AE12" s="84"/>
      <c r="AF12" s="84"/>
      <c r="AG12" s="85">
        <v>2</v>
      </c>
      <c r="AH12" s="84"/>
      <c r="AI12" s="85" t="s">
        <v>108</v>
      </c>
      <c r="AJ12" s="83"/>
    </row>
    <row r="13" spans="1:36" x14ac:dyDescent="0.25">
      <c r="A13" s="75"/>
      <c r="B13" s="76"/>
      <c r="C13" s="76"/>
      <c r="D13" s="76"/>
      <c r="E13" s="76"/>
      <c r="F13" s="76"/>
      <c r="G13" s="76"/>
      <c r="H13" s="76"/>
      <c r="I13" s="76"/>
      <c r="J13" s="76"/>
      <c r="K13" s="76"/>
      <c r="L13" s="76"/>
      <c r="M13" s="76"/>
      <c r="N13" s="68"/>
      <c r="O13" s="86"/>
      <c r="P13" s="68"/>
      <c r="Q13" s="87"/>
      <c r="R13" s="78"/>
      <c r="S13" s="66" t="s">
        <v>116</v>
      </c>
      <c r="T13" s="68"/>
      <c r="U13" s="68"/>
      <c r="V13" s="68"/>
      <c r="W13" s="68"/>
      <c r="X13" s="68"/>
      <c r="Y13" s="68"/>
      <c r="Z13" s="68"/>
      <c r="AA13" s="68"/>
      <c r="AB13" s="68"/>
      <c r="AC13" s="68"/>
      <c r="AD13" s="68"/>
      <c r="AE13" s="68"/>
      <c r="AF13" s="68"/>
      <c r="AG13" s="85" t="s">
        <v>117</v>
      </c>
      <c r="AH13" s="86"/>
      <c r="AI13" s="85" t="s">
        <v>114</v>
      </c>
      <c r="AJ13" s="78"/>
    </row>
    <row r="14" spans="1:36" x14ac:dyDescent="0.25">
      <c r="A14" s="80" t="s">
        <v>118</v>
      </c>
      <c r="B14" s="76"/>
      <c r="C14" s="76"/>
      <c r="D14" s="76"/>
      <c r="E14" s="76"/>
      <c r="F14" s="76"/>
      <c r="G14" s="76"/>
      <c r="H14" s="76"/>
      <c r="I14" s="76"/>
      <c r="J14" s="76"/>
      <c r="K14" s="76"/>
      <c r="L14" s="76"/>
      <c r="M14" s="76"/>
      <c r="N14" s="68"/>
      <c r="O14" s="85" t="s">
        <v>108</v>
      </c>
      <c r="P14" s="68"/>
      <c r="Q14" s="85" t="s">
        <v>117</v>
      </c>
      <c r="R14" s="78"/>
      <c r="S14" s="84"/>
      <c r="T14" s="84"/>
      <c r="U14" s="84"/>
      <c r="V14" s="84"/>
      <c r="W14" s="84"/>
      <c r="X14" s="84"/>
      <c r="Y14" s="84"/>
      <c r="Z14" s="84"/>
      <c r="AA14" s="84"/>
      <c r="AB14" s="84"/>
      <c r="AC14" s="84"/>
      <c r="AD14" s="84"/>
      <c r="AE14" s="84"/>
      <c r="AF14" s="84"/>
      <c r="AG14" s="84"/>
      <c r="AH14" s="84"/>
      <c r="AI14" s="84"/>
      <c r="AJ14" s="79"/>
    </row>
    <row r="15" spans="1:36" x14ac:dyDescent="0.25">
      <c r="A15" s="75"/>
      <c r="B15" s="76"/>
      <c r="C15" s="76"/>
      <c r="D15" s="76"/>
      <c r="E15" s="76"/>
      <c r="F15" s="76"/>
      <c r="G15" s="76"/>
      <c r="H15" s="76"/>
      <c r="I15" s="76"/>
      <c r="J15" s="76"/>
      <c r="K15" s="76"/>
      <c r="L15" s="76"/>
      <c r="M15" s="76"/>
      <c r="N15" s="68"/>
      <c r="O15" s="86"/>
      <c r="P15" s="68"/>
      <c r="Q15" s="87"/>
      <c r="R15" s="78"/>
      <c r="S15" s="84" t="s">
        <v>119</v>
      </c>
      <c r="T15" s="84"/>
      <c r="U15" s="84"/>
      <c r="V15" s="84"/>
      <c r="W15" s="84"/>
      <c r="X15" s="84"/>
      <c r="Y15" s="84"/>
      <c r="Z15" s="84"/>
      <c r="AA15" s="84"/>
      <c r="AB15" s="84"/>
      <c r="AC15" s="84"/>
      <c r="AD15" s="84"/>
      <c r="AE15" s="84"/>
      <c r="AF15" s="84"/>
      <c r="AG15" s="85">
        <v>2</v>
      </c>
      <c r="AH15" s="66"/>
      <c r="AI15" s="85">
        <v>2</v>
      </c>
      <c r="AJ15" s="79"/>
    </row>
    <row r="16" spans="1:36" x14ac:dyDescent="0.25">
      <c r="A16" s="80" t="s">
        <v>120</v>
      </c>
      <c r="B16" s="76"/>
      <c r="C16" s="76"/>
      <c r="D16" s="76"/>
      <c r="E16" s="76"/>
      <c r="F16" s="76"/>
      <c r="G16" s="76"/>
      <c r="H16" s="76"/>
      <c r="I16" s="76"/>
      <c r="J16" s="76"/>
      <c r="K16" s="76"/>
      <c r="L16" s="76"/>
      <c r="M16" s="76"/>
      <c r="N16" s="68"/>
      <c r="O16" s="85" t="s">
        <v>108</v>
      </c>
      <c r="P16" s="68"/>
      <c r="Q16" s="85" t="s">
        <v>121</v>
      </c>
      <c r="R16" s="78"/>
      <c r="S16" s="84"/>
      <c r="T16" s="84"/>
      <c r="U16" s="84"/>
      <c r="V16" s="84"/>
      <c r="W16" s="84"/>
      <c r="X16" s="84"/>
      <c r="Y16" s="84"/>
      <c r="Z16" s="84"/>
      <c r="AA16" s="84"/>
      <c r="AB16" s="84"/>
      <c r="AC16" s="84"/>
      <c r="AD16" s="84"/>
      <c r="AE16" s="84"/>
      <c r="AF16" s="84"/>
      <c r="AG16" s="84"/>
      <c r="AH16" s="84"/>
      <c r="AI16" s="84"/>
      <c r="AJ16" s="79"/>
    </row>
    <row r="17" spans="1:36" x14ac:dyDescent="0.25">
      <c r="A17" s="75"/>
      <c r="B17" s="76"/>
      <c r="C17" s="76"/>
      <c r="D17" s="76"/>
      <c r="E17" s="76"/>
      <c r="F17" s="76"/>
      <c r="G17" s="76"/>
      <c r="H17" s="76"/>
      <c r="I17" s="76"/>
      <c r="J17" s="76"/>
      <c r="K17" s="76"/>
      <c r="L17" s="76"/>
      <c r="M17" s="76"/>
      <c r="N17" s="68"/>
      <c r="O17" s="86"/>
      <c r="P17" s="68"/>
      <c r="Q17" s="87"/>
      <c r="R17" s="78"/>
      <c r="S17" s="66" t="s">
        <v>122</v>
      </c>
      <c r="T17" s="68"/>
      <c r="U17" s="68"/>
      <c r="V17" s="68"/>
      <c r="W17" s="68"/>
      <c r="X17" s="68"/>
      <c r="Y17" s="68"/>
      <c r="Z17" s="68"/>
      <c r="AA17" s="68"/>
      <c r="AB17" s="68"/>
      <c r="AC17" s="68"/>
      <c r="AD17" s="68"/>
      <c r="AE17" s="68"/>
      <c r="AF17" s="68"/>
      <c r="AG17" s="85" t="s">
        <v>117</v>
      </c>
      <c r="AH17" s="86"/>
      <c r="AI17" s="85" t="s">
        <v>121</v>
      </c>
      <c r="AJ17" s="79"/>
    </row>
    <row r="18" spans="1:36" x14ac:dyDescent="0.25">
      <c r="A18" s="80" t="s">
        <v>123</v>
      </c>
      <c r="B18" s="76"/>
      <c r="C18" s="76"/>
      <c r="D18" s="76"/>
      <c r="E18" s="76"/>
      <c r="F18" s="76"/>
      <c r="G18" s="76"/>
      <c r="H18" s="76"/>
      <c r="I18" s="76"/>
      <c r="J18" s="76"/>
      <c r="K18" s="76"/>
      <c r="L18" s="76"/>
      <c r="M18" s="76"/>
      <c r="N18" s="68"/>
      <c r="O18" s="85" t="s">
        <v>108</v>
      </c>
      <c r="P18" s="68"/>
      <c r="Q18" s="85" t="s">
        <v>124</v>
      </c>
      <c r="R18" s="78"/>
      <c r="S18" s="84"/>
      <c r="T18" s="84"/>
      <c r="U18" s="84"/>
      <c r="V18" s="84"/>
      <c r="W18" s="84"/>
      <c r="X18" s="84"/>
      <c r="Y18" s="84"/>
      <c r="Z18" s="84"/>
      <c r="AA18" s="84"/>
      <c r="AB18" s="84"/>
      <c r="AC18" s="84"/>
      <c r="AD18" s="84"/>
      <c r="AE18" s="84"/>
      <c r="AF18" s="84"/>
      <c r="AG18" s="84"/>
      <c r="AH18" s="84"/>
      <c r="AI18" s="84"/>
      <c r="AJ18" s="79"/>
    </row>
    <row r="19" spans="1:36" x14ac:dyDescent="0.25">
      <c r="A19" s="75"/>
      <c r="B19" s="76"/>
      <c r="C19" s="76"/>
      <c r="D19" s="76"/>
      <c r="E19" s="76"/>
      <c r="F19" s="76"/>
      <c r="G19" s="76"/>
      <c r="H19" s="76"/>
      <c r="I19" s="76"/>
      <c r="J19" s="76"/>
      <c r="K19" s="76"/>
      <c r="L19" s="76"/>
      <c r="M19" s="76"/>
      <c r="N19" s="68"/>
      <c r="O19" s="86"/>
      <c r="P19" s="68"/>
      <c r="Q19" s="87"/>
      <c r="R19" s="78"/>
      <c r="S19" s="66" t="s">
        <v>125</v>
      </c>
      <c r="T19" s="68"/>
      <c r="U19" s="68"/>
      <c r="V19" s="68"/>
      <c r="W19" s="68"/>
      <c r="X19" s="68"/>
      <c r="Y19" s="68"/>
      <c r="Z19" s="68"/>
      <c r="AA19" s="68"/>
      <c r="AB19" s="68"/>
      <c r="AC19" s="68"/>
      <c r="AD19" s="68"/>
      <c r="AE19" s="68"/>
      <c r="AF19" s="68"/>
      <c r="AG19" s="85" t="s">
        <v>121</v>
      </c>
      <c r="AH19" s="86"/>
      <c r="AI19" s="85" t="s">
        <v>126</v>
      </c>
      <c r="AJ19" s="79"/>
    </row>
    <row r="20" spans="1:36" x14ac:dyDescent="0.25">
      <c r="A20" s="80" t="s">
        <v>127</v>
      </c>
      <c r="B20" s="76"/>
      <c r="C20" s="76"/>
      <c r="D20" s="76"/>
      <c r="E20" s="76"/>
      <c r="F20" s="76"/>
      <c r="G20" s="76"/>
      <c r="H20" s="76"/>
      <c r="I20" s="76"/>
      <c r="J20" s="76"/>
      <c r="K20" s="76"/>
      <c r="L20" s="76"/>
      <c r="M20" s="76"/>
      <c r="N20" s="68"/>
      <c r="O20" s="85" t="s">
        <v>108</v>
      </c>
      <c r="P20" s="68"/>
      <c r="Q20" s="85" t="s">
        <v>128</v>
      </c>
      <c r="R20" s="78"/>
      <c r="S20" s="84"/>
      <c r="T20" s="84"/>
      <c r="U20" s="84"/>
      <c r="V20" s="84"/>
      <c r="W20" s="84"/>
      <c r="X20" s="84"/>
      <c r="Y20" s="84"/>
      <c r="Z20" s="84"/>
      <c r="AA20" s="84"/>
      <c r="AB20" s="84"/>
      <c r="AC20" s="84"/>
      <c r="AD20" s="84"/>
      <c r="AE20" s="84"/>
      <c r="AF20" s="84"/>
      <c r="AG20" s="84"/>
      <c r="AH20" s="84"/>
      <c r="AI20" s="84"/>
      <c r="AJ20" s="79"/>
    </row>
    <row r="21" spans="1:36" x14ac:dyDescent="0.25">
      <c r="A21" s="75"/>
      <c r="B21" s="76"/>
      <c r="C21" s="76"/>
      <c r="D21" s="76"/>
      <c r="E21" s="76"/>
      <c r="F21" s="76"/>
      <c r="G21" s="76"/>
      <c r="H21" s="76"/>
      <c r="I21" s="76"/>
      <c r="J21" s="76"/>
      <c r="K21" s="76"/>
      <c r="L21" s="76"/>
      <c r="M21" s="76"/>
      <c r="N21" s="68"/>
      <c r="O21" s="86"/>
      <c r="P21" s="68"/>
      <c r="Q21" s="87"/>
      <c r="R21" s="78"/>
      <c r="S21" s="88" t="s">
        <v>129</v>
      </c>
      <c r="T21" s="68"/>
      <c r="U21" s="68"/>
      <c r="V21" s="68"/>
      <c r="W21" s="68"/>
      <c r="X21" s="68"/>
      <c r="Y21" s="68"/>
      <c r="Z21" s="68"/>
      <c r="AA21" s="68"/>
      <c r="AB21" s="68"/>
      <c r="AC21" s="68"/>
      <c r="AD21" s="68"/>
      <c r="AE21" s="68"/>
      <c r="AF21" s="68"/>
      <c r="AG21" s="85" t="s">
        <v>124</v>
      </c>
      <c r="AH21" s="86"/>
      <c r="AI21" s="85" t="s">
        <v>108</v>
      </c>
      <c r="AJ21" s="79"/>
    </row>
    <row r="22" spans="1:36" x14ac:dyDescent="0.25">
      <c r="A22" s="80" t="s">
        <v>130</v>
      </c>
      <c r="B22" s="76"/>
      <c r="C22" s="76"/>
      <c r="D22" s="76"/>
      <c r="E22" s="76"/>
      <c r="F22" s="76"/>
      <c r="G22" s="76"/>
      <c r="H22" s="76"/>
      <c r="I22" s="76"/>
      <c r="J22" s="76"/>
      <c r="K22" s="76"/>
      <c r="L22" s="76"/>
      <c r="M22" s="76"/>
      <c r="N22" s="68"/>
      <c r="O22" s="85" t="s">
        <v>108</v>
      </c>
      <c r="P22" s="68"/>
      <c r="Q22" s="85" t="s">
        <v>131</v>
      </c>
      <c r="R22" s="78"/>
      <c r="S22" s="68"/>
      <c r="T22" s="68"/>
      <c r="U22" s="68"/>
      <c r="V22" s="68"/>
      <c r="W22" s="68"/>
      <c r="X22" s="68"/>
      <c r="Y22" s="68"/>
      <c r="Z22" s="68"/>
      <c r="AA22" s="68"/>
      <c r="AB22" s="68"/>
      <c r="AC22" s="68"/>
      <c r="AD22" s="68"/>
      <c r="AE22" s="68"/>
      <c r="AF22" s="68"/>
      <c r="AG22" s="86"/>
      <c r="AH22" s="86"/>
      <c r="AI22" s="87"/>
      <c r="AJ22" s="79"/>
    </row>
    <row r="23" spans="1:36" x14ac:dyDescent="0.25">
      <c r="A23" s="75"/>
      <c r="B23" s="76"/>
      <c r="C23" s="76"/>
      <c r="D23" s="76"/>
      <c r="E23" s="76"/>
      <c r="F23" s="76"/>
      <c r="G23" s="76"/>
      <c r="H23" s="76"/>
      <c r="I23" s="76"/>
      <c r="J23" s="76"/>
      <c r="K23" s="76"/>
      <c r="L23" s="76"/>
      <c r="M23" s="76"/>
      <c r="N23" s="68"/>
      <c r="O23" s="86"/>
      <c r="P23" s="68"/>
      <c r="Q23" s="87"/>
      <c r="R23" s="78"/>
      <c r="S23" s="88" t="s">
        <v>132</v>
      </c>
      <c r="T23" s="68"/>
      <c r="U23" s="68"/>
      <c r="V23" s="68"/>
      <c r="W23" s="68"/>
      <c r="X23" s="68"/>
      <c r="Y23" s="68"/>
      <c r="Z23" s="68"/>
      <c r="AA23" s="68"/>
      <c r="AB23" s="68"/>
      <c r="AC23" s="68"/>
      <c r="AD23" s="68"/>
      <c r="AE23" s="68"/>
      <c r="AF23" s="68"/>
      <c r="AG23" s="85" t="s">
        <v>124</v>
      </c>
      <c r="AH23" s="86"/>
      <c r="AI23" s="85" t="s">
        <v>114</v>
      </c>
      <c r="AJ23" s="79"/>
    </row>
    <row r="24" spans="1:36" x14ac:dyDescent="0.25">
      <c r="A24" s="80" t="s">
        <v>133</v>
      </c>
      <c r="B24" s="76"/>
      <c r="C24" s="76"/>
      <c r="D24" s="76"/>
      <c r="E24" s="76"/>
      <c r="F24" s="76"/>
      <c r="G24" s="76"/>
      <c r="H24" s="76"/>
      <c r="I24" s="76"/>
      <c r="J24" s="76"/>
      <c r="K24" s="76"/>
      <c r="L24" s="76"/>
      <c r="M24" s="76"/>
      <c r="N24" s="68"/>
      <c r="O24" s="85" t="s">
        <v>108</v>
      </c>
      <c r="P24" s="68"/>
      <c r="Q24" s="85" t="s">
        <v>134</v>
      </c>
      <c r="R24" s="78"/>
      <c r="S24" s="66" t="s">
        <v>135</v>
      </c>
      <c r="T24" s="84"/>
      <c r="U24" s="84"/>
      <c r="V24" s="84"/>
      <c r="W24" s="84"/>
      <c r="X24" s="84"/>
      <c r="Y24" s="84"/>
      <c r="Z24" s="84"/>
      <c r="AA24" s="84"/>
      <c r="AB24" s="84"/>
      <c r="AC24" s="84"/>
      <c r="AD24" s="84"/>
      <c r="AE24" s="84"/>
      <c r="AF24" s="84"/>
      <c r="AG24" s="89">
        <v>4</v>
      </c>
      <c r="AH24" s="89"/>
      <c r="AI24" s="89">
        <v>2</v>
      </c>
      <c r="AJ24" s="79"/>
    </row>
    <row r="25" spans="1:36" x14ac:dyDescent="0.25">
      <c r="A25" s="75"/>
      <c r="B25" s="76"/>
      <c r="C25" s="76"/>
      <c r="D25" s="76"/>
      <c r="E25" s="76"/>
      <c r="F25" s="76"/>
      <c r="G25" s="76"/>
      <c r="H25" s="76"/>
      <c r="I25" s="76"/>
      <c r="J25" s="76"/>
      <c r="K25" s="76"/>
      <c r="L25" s="76"/>
      <c r="M25" s="76"/>
      <c r="N25" s="68"/>
      <c r="O25" s="86"/>
      <c r="P25" s="68"/>
      <c r="Q25" s="87"/>
      <c r="R25" s="78"/>
      <c r="S25" s="66" t="s">
        <v>136</v>
      </c>
      <c r="T25" s="68"/>
      <c r="U25" s="68"/>
      <c r="V25" s="68"/>
      <c r="W25" s="68"/>
      <c r="X25" s="68"/>
      <c r="Y25" s="68"/>
      <c r="Z25" s="68"/>
      <c r="AA25" s="68"/>
      <c r="AB25" s="68"/>
      <c r="AC25" s="68"/>
      <c r="AD25" s="68"/>
      <c r="AE25" s="68"/>
      <c r="AF25" s="68"/>
      <c r="AG25" s="85" t="s">
        <v>124</v>
      </c>
      <c r="AH25" s="86"/>
      <c r="AI25" s="85" t="s">
        <v>126</v>
      </c>
      <c r="AJ25" s="79"/>
    </row>
    <row r="26" spans="1:36" x14ac:dyDescent="0.25">
      <c r="A26" s="80" t="s">
        <v>137</v>
      </c>
      <c r="B26" s="76"/>
      <c r="C26" s="76"/>
      <c r="D26" s="76"/>
      <c r="E26" s="76"/>
      <c r="F26" s="76"/>
      <c r="G26" s="76"/>
      <c r="H26" s="76"/>
      <c r="I26" s="76"/>
      <c r="J26" s="76"/>
      <c r="K26" s="76"/>
      <c r="L26" s="76"/>
      <c r="M26" s="76"/>
      <c r="N26" s="68"/>
      <c r="O26" s="85" t="s">
        <v>108</v>
      </c>
      <c r="P26" s="68"/>
      <c r="Q26" s="85" t="s">
        <v>138</v>
      </c>
      <c r="R26" s="79"/>
      <c r="S26" s="84"/>
      <c r="T26" s="84"/>
      <c r="U26" s="84"/>
      <c r="V26" s="84"/>
      <c r="W26" s="84"/>
      <c r="X26" s="84"/>
      <c r="Y26" s="84"/>
      <c r="Z26" s="84"/>
      <c r="AA26" s="84"/>
      <c r="AB26" s="84"/>
      <c r="AC26" s="84"/>
      <c r="AD26" s="84"/>
      <c r="AE26" s="84"/>
      <c r="AF26" s="84"/>
      <c r="AG26" s="84"/>
      <c r="AH26" s="84"/>
      <c r="AI26" s="84"/>
      <c r="AJ26" s="79"/>
    </row>
    <row r="27" spans="1:36" x14ac:dyDescent="0.25">
      <c r="A27" s="80"/>
      <c r="B27" s="76"/>
      <c r="C27" s="76"/>
      <c r="D27" s="76"/>
      <c r="E27" s="76"/>
      <c r="F27" s="76"/>
      <c r="G27" s="76"/>
      <c r="H27" s="76"/>
      <c r="I27" s="76"/>
      <c r="J27" s="76"/>
      <c r="K27" s="76"/>
      <c r="L27" s="76"/>
      <c r="M27" s="76"/>
      <c r="N27" s="68"/>
      <c r="O27" s="85"/>
      <c r="P27" s="68"/>
      <c r="Q27" s="85"/>
      <c r="R27" s="79"/>
      <c r="S27" s="88" t="s">
        <v>139</v>
      </c>
      <c r="T27" s="68"/>
      <c r="U27" s="68"/>
      <c r="V27" s="68"/>
      <c r="W27" s="68"/>
      <c r="X27" s="68"/>
      <c r="Y27" s="68"/>
      <c r="Z27" s="68"/>
      <c r="AA27" s="68"/>
      <c r="AB27" s="68"/>
      <c r="AC27" s="68"/>
      <c r="AD27" s="68"/>
      <c r="AE27" s="68"/>
      <c r="AF27" s="68"/>
      <c r="AG27" s="85" t="s">
        <v>128</v>
      </c>
      <c r="AH27" s="68"/>
      <c r="AI27" s="85" t="s">
        <v>108</v>
      </c>
      <c r="AJ27" s="79"/>
    </row>
    <row r="28" spans="1:36" x14ac:dyDescent="0.25">
      <c r="A28" s="80" t="s">
        <v>140</v>
      </c>
      <c r="B28" s="76"/>
      <c r="C28" s="76"/>
      <c r="D28" s="76"/>
      <c r="E28" s="76"/>
      <c r="F28" s="76"/>
      <c r="G28" s="76"/>
      <c r="H28" s="76"/>
      <c r="I28" s="76"/>
      <c r="J28" s="76"/>
      <c r="K28" s="76"/>
      <c r="L28" s="76"/>
      <c r="M28" s="76"/>
      <c r="N28" s="68"/>
      <c r="O28" s="85" t="s">
        <v>108</v>
      </c>
      <c r="P28" s="68"/>
      <c r="Q28" s="85" t="s">
        <v>126</v>
      </c>
      <c r="R28" s="79"/>
      <c r="S28" s="66" t="s">
        <v>141</v>
      </c>
      <c r="T28" s="84"/>
      <c r="U28" s="84"/>
      <c r="V28" s="84"/>
      <c r="W28" s="84"/>
      <c r="X28" s="84"/>
      <c r="Y28" s="84"/>
      <c r="Z28" s="84"/>
      <c r="AA28" s="84"/>
      <c r="AB28" s="84"/>
      <c r="AC28" s="84"/>
      <c r="AD28" s="84"/>
      <c r="AE28" s="67"/>
      <c r="AF28" s="84"/>
      <c r="AG28" s="90">
        <v>5</v>
      </c>
      <c r="AH28" s="66"/>
      <c r="AI28" s="90">
        <v>2</v>
      </c>
      <c r="AJ28" s="79"/>
    </row>
    <row r="29" spans="1:36" x14ac:dyDescent="0.25">
      <c r="A29" s="80"/>
      <c r="B29" s="76"/>
      <c r="C29" s="76"/>
      <c r="D29" s="76"/>
      <c r="E29" s="76"/>
      <c r="F29" s="76"/>
      <c r="G29" s="76"/>
      <c r="H29" s="76"/>
      <c r="I29" s="76"/>
      <c r="J29" s="76"/>
      <c r="K29" s="76"/>
      <c r="L29" s="76"/>
      <c r="M29" s="76"/>
      <c r="N29" s="68"/>
      <c r="O29" s="81"/>
      <c r="P29" s="68"/>
      <c r="Q29" s="82"/>
      <c r="R29" s="79"/>
      <c r="S29" s="88" t="s">
        <v>142</v>
      </c>
      <c r="T29" s="68"/>
      <c r="U29" s="68"/>
      <c r="V29" s="68"/>
      <c r="W29" s="68"/>
      <c r="X29" s="68"/>
      <c r="Y29" s="68"/>
      <c r="Z29" s="68"/>
      <c r="AA29" s="68"/>
      <c r="AB29" s="68"/>
      <c r="AC29" s="68"/>
      <c r="AD29" s="68"/>
      <c r="AE29" s="68"/>
      <c r="AF29" s="68"/>
      <c r="AG29" s="85" t="s">
        <v>128</v>
      </c>
      <c r="AH29" s="68"/>
      <c r="AI29" s="85" t="s">
        <v>121</v>
      </c>
      <c r="AJ29" s="79"/>
    </row>
    <row r="30" spans="1:36" x14ac:dyDescent="0.25">
      <c r="A30" s="703" t="s">
        <v>143</v>
      </c>
      <c r="B30" s="704"/>
      <c r="C30" s="704"/>
      <c r="D30" s="704"/>
      <c r="E30" s="704"/>
      <c r="F30" s="704"/>
      <c r="G30" s="704"/>
      <c r="H30" s="704"/>
      <c r="I30" s="704"/>
      <c r="J30" s="704"/>
      <c r="K30" s="704"/>
      <c r="L30" s="704"/>
      <c r="M30" s="704"/>
      <c r="N30" s="704"/>
      <c r="O30" s="704"/>
      <c r="P30" s="704"/>
      <c r="Q30" s="704"/>
      <c r="R30" s="705"/>
      <c r="S30" s="66" t="s">
        <v>144</v>
      </c>
      <c r="T30" s="68"/>
      <c r="U30" s="68"/>
      <c r="V30" s="68"/>
      <c r="W30" s="68"/>
      <c r="X30" s="68"/>
      <c r="Y30" s="68"/>
      <c r="Z30" s="68"/>
      <c r="AA30" s="68"/>
      <c r="AB30" s="68"/>
      <c r="AC30" s="68"/>
      <c r="AD30" s="68"/>
      <c r="AE30" s="68"/>
      <c r="AF30" s="68"/>
      <c r="AG30" s="89">
        <v>5</v>
      </c>
      <c r="AH30" s="68"/>
      <c r="AI30" s="89">
        <v>9</v>
      </c>
      <c r="AJ30" s="83"/>
    </row>
    <row r="31" spans="1:36" x14ac:dyDescent="0.25">
      <c r="A31" s="80"/>
      <c r="B31" s="76"/>
      <c r="C31" s="76"/>
      <c r="D31" s="76"/>
      <c r="E31" s="76"/>
      <c r="F31" s="76"/>
      <c r="G31" s="76"/>
      <c r="H31" s="76"/>
      <c r="I31" s="76"/>
      <c r="J31" s="76"/>
      <c r="K31" s="76"/>
      <c r="L31" s="76"/>
      <c r="M31" s="76"/>
      <c r="N31" s="68"/>
      <c r="O31" s="81"/>
      <c r="P31" s="68"/>
      <c r="Q31" s="82"/>
      <c r="R31" s="79"/>
      <c r="S31" s="66" t="s">
        <v>145</v>
      </c>
      <c r="T31" s="84"/>
      <c r="U31" s="84"/>
      <c r="V31" s="84"/>
      <c r="W31" s="84"/>
      <c r="X31" s="84"/>
      <c r="Y31" s="84"/>
      <c r="Z31" s="84"/>
      <c r="AA31" s="84"/>
      <c r="AB31" s="84"/>
      <c r="AC31" s="84"/>
      <c r="AD31" s="84"/>
      <c r="AE31" s="67"/>
      <c r="AF31" s="84"/>
      <c r="AG31" s="89">
        <v>6</v>
      </c>
      <c r="AH31" s="66"/>
      <c r="AI31" s="91" t="s">
        <v>108</v>
      </c>
      <c r="AJ31" s="83"/>
    </row>
    <row r="32" spans="1:36" x14ac:dyDescent="0.25">
      <c r="A32" s="80" t="s">
        <v>146</v>
      </c>
      <c r="B32" s="76"/>
      <c r="C32" s="76"/>
      <c r="D32" s="76"/>
      <c r="E32" s="76"/>
      <c r="F32" s="76"/>
      <c r="G32" s="76"/>
      <c r="H32" s="76"/>
      <c r="I32" s="76"/>
      <c r="J32" s="76"/>
      <c r="K32" s="76"/>
      <c r="L32" s="76"/>
      <c r="M32" s="76"/>
      <c r="N32" s="68"/>
      <c r="O32" s="81"/>
      <c r="P32" s="68"/>
      <c r="Q32" s="85" t="s">
        <v>114</v>
      </c>
      <c r="R32" s="79"/>
      <c r="S32" s="92"/>
      <c r="T32" s="68"/>
      <c r="U32" s="68"/>
      <c r="V32" s="68"/>
      <c r="W32" s="68"/>
      <c r="X32" s="68"/>
      <c r="Y32" s="68"/>
      <c r="Z32" s="68"/>
      <c r="AA32" s="68"/>
      <c r="AB32" s="68"/>
      <c r="AC32" s="68"/>
      <c r="AD32" s="68"/>
      <c r="AE32" s="68"/>
      <c r="AF32" s="68"/>
      <c r="AG32" s="68"/>
      <c r="AH32" s="68"/>
      <c r="AI32" s="68"/>
      <c r="AJ32" s="83"/>
    </row>
    <row r="33" spans="1:36" x14ac:dyDescent="0.25">
      <c r="A33" s="80"/>
      <c r="B33" s="76"/>
      <c r="C33" s="76"/>
      <c r="D33" s="76"/>
      <c r="E33" s="76"/>
      <c r="F33" s="76"/>
      <c r="G33" s="76"/>
      <c r="H33" s="76"/>
      <c r="I33" s="76"/>
      <c r="J33" s="76"/>
      <c r="K33" s="76"/>
      <c r="L33" s="76"/>
      <c r="M33" s="76"/>
      <c r="N33" s="68"/>
      <c r="O33" s="81"/>
      <c r="P33" s="68"/>
      <c r="Q33" s="85"/>
      <c r="R33" s="79"/>
      <c r="S33" s="66" t="s">
        <v>147</v>
      </c>
      <c r="T33" s="84"/>
      <c r="U33" s="84"/>
      <c r="V33" s="84"/>
      <c r="W33" s="84"/>
      <c r="X33" s="84"/>
      <c r="Y33" s="84"/>
      <c r="Z33" s="84"/>
      <c r="AA33" s="84"/>
      <c r="AB33" s="84"/>
      <c r="AC33" s="84"/>
      <c r="AD33" s="84"/>
      <c r="AE33" s="67"/>
      <c r="AF33" s="84"/>
      <c r="AG33" s="89">
        <v>9</v>
      </c>
      <c r="AH33" s="89"/>
      <c r="AI33" s="89">
        <v>9</v>
      </c>
      <c r="AJ33" s="83"/>
    </row>
    <row r="34" spans="1:36" x14ac:dyDescent="0.25">
      <c r="A34" s="80" t="s">
        <v>148</v>
      </c>
      <c r="B34" s="76"/>
      <c r="C34" s="76"/>
      <c r="D34" s="76"/>
      <c r="E34" s="76"/>
      <c r="F34" s="76"/>
      <c r="G34" s="76"/>
      <c r="H34" s="76"/>
      <c r="I34" s="76"/>
      <c r="J34" s="76"/>
      <c r="K34" s="76"/>
      <c r="L34" s="76"/>
      <c r="M34" s="76"/>
      <c r="N34" s="68"/>
      <c r="O34" s="81"/>
      <c r="P34" s="68"/>
      <c r="Q34" s="85" t="s">
        <v>117</v>
      </c>
      <c r="R34" s="79"/>
      <c r="S34" s="92"/>
      <c r="T34" s="68"/>
      <c r="U34" s="68"/>
      <c r="V34" s="68"/>
      <c r="W34" s="68"/>
      <c r="X34" s="68"/>
      <c r="Y34" s="68"/>
      <c r="Z34" s="68"/>
      <c r="AA34" s="68"/>
      <c r="AB34" s="68"/>
      <c r="AC34" s="68"/>
      <c r="AD34" s="68"/>
      <c r="AE34" s="68"/>
      <c r="AF34" s="68"/>
      <c r="AG34" s="68"/>
      <c r="AH34" s="68"/>
      <c r="AI34" s="68"/>
      <c r="AJ34" s="83"/>
    </row>
    <row r="35" spans="1:36" x14ac:dyDescent="0.25">
      <c r="A35" s="80"/>
      <c r="B35" s="76"/>
      <c r="C35" s="76"/>
      <c r="D35" s="76"/>
      <c r="E35" s="76"/>
      <c r="F35" s="76"/>
      <c r="G35" s="76"/>
      <c r="H35" s="76"/>
      <c r="I35" s="76"/>
      <c r="J35" s="76"/>
      <c r="K35" s="76"/>
      <c r="L35" s="76"/>
      <c r="M35" s="76"/>
      <c r="N35" s="68"/>
      <c r="O35" s="81"/>
      <c r="P35" s="68"/>
      <c r="Q35" s="85"/>
      <c r="R35" s="79"/>
      <c r="S35" s="92"/>
      <c r="T35" s="68"/>
      <c r="U35" s="68"/>
      <c r="V35" s="68"/>
      <c r="W35" s="68"/>
      <c r="X35" s="68"/>
      <c r="Y35" s="68"/>
      <c r="Z35" s="68"/>
      <c r="AA35" s="68"/>
      <c r="AB35" s="68"/>
      <c r="AC35" s="68"/>
      <c r="AD35" s="68"/>
      <c r="AE35" s="68"/>
      <c r="AF35" s="68"/>
      <c r="AG35" s="68"/>
      <c r="AH35" s="68"/>
      <c r="AI35" s="68"/>
      <c r="AJ35" s="83"/>
    </row>
    <row r="36" spans="1:36" x14ac:dyDescent="0.25">
      <c r="A36" s="80" t="s">
        <v>149</v>
      </c>
      <c r="B36" s="76"/>
      <c r="C36" s="76"/>
      <c r="D36" s="76"/>
      <c r="E36" s="76"/>
      <c r="F36" s="76"/>
      <c r="G36" s="76"/>
      <c r="H36" s="76"/>
      <c r="I36" s="76"/>
      <c r="J36" s="76"/>
      <c r="K36" s="76"/>
      <c r="L36" s="76"/>
      <c r="M36" s="76"/>
      <c r="N36" s="68"/>
      <c r="O36" s="81"/>
      <c r="P36" s="68"/>
      <c r="Q36" s="85" t="s">
        <v>121</v>
      </c>
      <c r="R36" s="79"/>
      <c r="S36" s="93"/>
      <c r="T36" s="68"/>
      <c r="U36" s="68"/>
      <c r="V36" s="68"/>
      <c r="W36" s="68"/>
      <c r="X36" s="68"/>
      <c r="Y36" s="68"/>
      <c r="Z36" s="68"/>
      <c r="AA36" s="68"/>
      <c r="AB36" s="68"/>
      <c r="AC36" s="68"/>
      <c r="AD36" s="68"/>
      <c r="AE36" s="68"/>
      <c r="AF36" s="68"/>
      <c r="AG36" s="68"/>
      <c r="AH36" s="68"/>
      <c r="AI36" s="68"/>
      <c r="AJ36" s="83"/>
    </row>
    <row r="37" spans="1:36" x14ac:dyDescent="0.25">
      <c r="A37" s="80"/>
      <c r="B37" s="76"/>
      <c r="C37" s="76"/>
      <c r="D37" s="76"/>
      <c r="E37" s="76"/>
      <c r="F37" s="76"/>
      <c r="G37" s="76"/>
      <c r="H37" s="76"/>
      <c r="I37" s="76"/>
      <c r="J37" s="76"/>
      <c r="K37" s="76"/>
      <c r="L37" s="76"/>
      <c r="M37" s="76"/>
      <c r="N37" s="68"/>
      <c r="O37" s="81"/>
      <c r="P37" s="68"/>
      <c r="Q37" s="85"/>
      <c r="R37" s="79"/>
      <c r="S37" s="93"/>
      <c r="T37" s="68"/>
      <c r="U37" s="68"/>
      <c r="V37" s="68"/>
      <c r="W37" s="68"/>
      <c r="X37" s="68"/>
      <c r="Y37" s="68"/>
      <c r="Z37" s="68"/>
      <c r="AA37" s="68"/>
      <c r="AB37" s="68"/>
      <c r="AC37" s="68"/>
      <c r="AD37" s="68"/>
      <c r="AE37" s="68"/>
      <c r="AF37" s="68"/>
      <c r="AG37" s="68"/>
      <c r="AH37" s="68"/>
      <c r="AI37" s="68"/>
      <c r="AJ37" s="83"/>
    </row>
    <row r="38" spans="1:36" x14ac:dyDescent="0.25">
      <c r="A38" s="80" t="s">
        <v>150</v>
      </c>
      <c r="B38" s="76"/>
      <c r="C38" s="76"/>
      <c r="D38" s="76"/>
      <c r="E38" s="76"/>
      <c r="F38" s="76"/>
      <c r="G38" s="76"/>
      <c r="H38" s="76"/>
      <c r="I38" s="76"/>
      <c r="J38" s="76"/>
      <c r="K38" s="76"/>
      <c r="L38" s="76"/>
      <c r="M38" s="76"/>
      <c r="N38" s="68"/>
      <c r="O38" s="81"/>
      <c r="P38" s="68"/>
      <c r="Q38" s="85" t="s">
        <v>124</v>
      </c>
      <c r="R38" s="79"/>
      <c r="S38" s="93"/>
      <c r="T38" s="68"/>
      <c r="U38" s="68"/>
      <c r="V38" s="68"/>
      <c r="W38" s="68"/>
      <c r="X38" s="68"/>
      <c r="Y38" s="68"/>
      <c r="Z38" s="68"/>
      <c r="AA38" s="68"/>
      <c r="AB38" s="68"/>
      <c r="AC38" s="68"/>
      <c r="AD38" s="68"/>
      <c r="AE38" s="68"/>
      <c r="AF38" s="68"/>
      <c r="AG38" s="68"/>
      <c r="AH38" s="68"/>
      <c r="AI38" s="68"/>
      <c r="AJ38" s="83"/>
    </row>
    <row r="39" spans="1:36" x14ac:dyDescent="0.25">
      <c r="A39" s="80"/>
      <c r="B39" s="76"/>
      <c r="C39" s="76"/>
      <c r="D39" s="76"/>
      <c r="E39" s="76"/>
      <c r="F39" s="76"/>
      <c r="G39" s="76"/>
      <c r="H39" s="76"/>
      <c r="I39" s="76"/>
      <c r="J39" s="76"/>
      <c r="K39" s="76"/>
      <c r="L39" s="76"/>
      <c r="M39" s="76"/>
      <c r="N39" s="68"/>
      <c r="O39" s="81"/>
      <c r="P39" s="68"/>
      <c r="Q39" s="85"/>
      <c r="R39" s="79"/>
      <c r="S39" s="93"/>
      <c r="T39" s="68"/>
      <c r="U39" s="68"/>
      <c r="V39" s="68"/>
      <c r="W39" s="68"/>
      <c r="X39" s="68"/>
      <c r="Y39" s="68"/>
      <c r="Z39" s="68"/>
      <c r="AA39" s="68"/>
      <c r="AB39" s="68"/>
      <c r="AC39" s="68"/>
      <c r="AD39" s="68"/>
      <c r="AE39" s="68"/>
      <c r="AF39" s="68"/>
      <c r="AG39" s="68"/>
      <c r="AH39" s="68"/>
      <c r="AI39" s="68"/>
      <c r="AJ39" s="83"/>
    </row>
    <row r="40" spans="1:36" x14ac:dyDescent="0.25">
      <c r="A40" s="80" t="s">
        <v>151</v>
      </c>
      <c r="B40" s="76"/>
      <c r="C40" s="76"/>
      <c r="D40" s="76"/>
      <c r="E40" s="76"/>
      <c r="F40" s="76"/>
      <c r="G40" s="76"/>
      <c r="H40" s="76"/>
      <c r="I40" s="76"/>
      <c r="J40" s="76"/>
      <c r="K40" s="76"/>
      <c r="L40" s="76"/>
      <c r="M40" s="76"/>
      <c r="N40" s="68"/>
      <c r="O40" s="81"/>
      <c r="P40" s="68"/>
      <c r="Q40" s="85" t="s">
        <v>128</v>
      </c>
      <c r="R40" s="79"/>
      <c r="S40" s="93"/>
      <c r="T40" s="68"/>
      <c r="U40" s="68"/>
      <c r="V40" s="68"/>
      <c r="W40" s="68"/>
      <c r="X40" s="68"/>
      <c r="Y40" s="68"/>
      <c r="Z40" s="68"/>
      <c r="AA40" s="68"/>
      <c r="AB40" s="68"/>
      <c r="AC40" s="68"/>
      <c r="AD40" s="68"/>
      <c r="AE40" s="68"/>
      <c r="AF40" s="68"/>
      <c r="AG40" s="68"/>
      <c r="AH40" s="68"/>
      <c r="AI40" s="68"/>
      <c r="AJ40" s="83"/>
    </row>
    <row r="41" spans="1:36" x14ac:dyDescent="0.25">
      <c r="A41" s="94"/>
      <c r="B41" s="95"/>
      <c r="C41" s="95"/>
      <c r="D41" s="95"/>
      <c r="E41" s="95"/>
      <c r="F41" s="95"/>
      <c r="G41" s="95"/>
      <c r="H41" s="95"/>
      <c r="I41" s="95"/>
      <c r="J41" s="95"/>
      <c r="K41" s="95"/>
      <c r="L41" s="95"/>
      <c r="M41" s="95"/>
      <c r="N41" s="95"/>
      <c r="O41" s="95"/>
      <c r="P41" s="96"/>
      <c r="Q41" s="96"/>
      <c r="R41" s="97"/>
      <c r="S41" s="98" t="s">
        <v>152</v>
      </c>
      <c r="T41" s="96"/>
      <c r="U41" s="96"/>
      <c r="V41" s="96"/>
      <c r="W41" s="96"/>
      <c r="X41" s="96"/>
      <c r="Y41" s="96"/>
      <c r="Z41" s="96"/>
      <c r="AA41" s="96"/>
      <c r="AB41" s="96"/>
      <c r="AC41" s="96"/>
      <c r="AD41" s="96"/>
      <c r="AE41" s="96"/>
      <c r="AF41" s="96"/>
      <c r="AG41" s="96"/>
      <c r="AH41" s="96"/>
      <c r="AI41" s="96"/>
      <c r="AJ41" s="97"/>
    </row>
    <row r="42" spans="1:36" x14ac:dyDescent="0.25">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row>
    <row r="43" spans="1:36" x14ac:dyDescent="0.25">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row>
    <row r="44" spans="1:36" x14ac:dyDescent="0.25">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row>
    <row r="45" spans="1:36" x14ac:dyDescent="0.25">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row>
    <row r="46" spans="1:36" x14ac:dyDescent="0.25">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row>
    <row r="47" spans="1:36" x14ac:dyDescent="0.25">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row>
    <row r="48" spans="1:36" x14ac:dyDescent="0.25">
      <c r="A48" s="99"/>
      <c r="B48" s="99"/>
      <c r="C48" s="99"/>
      <c r="D48" s="99"/>
      <c r="E48" s="99"/>
      <c r="F48" s="99"/>
      <c r="G48" s="99"/>
      <c r="H48" s="99"/>
      <c r="I48" s="99"/>
      <c r="J48" s="99"/>
      <c r="K48" s="99"/>
      <c r="L48" s="99"/>
      <c r="M48" s="67"/>
      <c r="N48" s="67"/>
      <c r="O48" s="67"/>
      <c r="P48" s="67"/>
      <c r="Q48" s="67"/>
      <c r="R48" s="67"/>
      <c r="S48" s="67"/>
      <c r="T48" s="67"/>
      <c r="U48" s="67"/>
      <c r="V48" s="67"/>
      <c r="W48" s="67"/>
      <c r="X48" s="67"/>
      <c r="Y48" s="67"/>
      <c r="Z48" s="67"/>
      <c r="AA48" s="67"/>
      <c r="AB48" s="67"/>
      <c r="AC48" s="67"/>
      <c r="AD48" s="67"/>
      <c r="AE48" s="67"/>
      <c r="AF48" s="67"/>
      <c r="AG48" s="67"/>
      <c r="AH48" s="67"/>
      <c r="AI48" s="67"/>
      <c r="AJ48" s="67"/>
    </row>
    <row r="49" spans="1:36" x14ac:dyDescent="0.25">
      <c r="A49" s="70"/>
      <c r="B49" s="70"/>
      <c r="C49" s="70"/>
      <c r="D49" s="70"/>
      <c r="E49" s="70"/>
      <c r="F49" s="70"/>
      <c r="G49" s="70"/>
      <c r="H49" s="70"/>
      <c r="I49" s="70"/>
      <c r="J49" s="70"/>
      <c r="K49" s="70"/>
      <c r="L49" s="70"/>
      <c r="M49" s="67"/>
      <c r="N49" s="67"/>
      <c r="O49" s="67"/>
      <c r="P49" s="67"/>
      <c r="Q49" s="67"/>
      <c r="R49" s="67"/>
      <c r="S49" s="67"/>
      <c r="T49" s="67"/>
      <c r="U49" s="67"/>
      <c r="V49" s="67"/>
      <c r="W49" s="67"/>
      <c r="X49" s="67"/>
      <c r="Y49" s="67"/>
      <c r="Z49" s="67"/>
      <c r="AA49" s="67"/>
      <c r="AB49" s="67"/>
      <c r="AC49" s="67"/>
      <c r="AD49" s="67"/>
      <c r="AE49" s="67"/>
      <c r="AF49" s="67"/>
      <c r="AG49" s="67"/>
      <c r="AH49" s="67"/>
      <c r="AI49" s="67"/>
      <c r="AJ49" s="67"/>
    </row>
    <row r="50" spans="1:36" ht="16.5" x14ac:dyDescent="0.25">
      <c r="A50" s="100" t="s">
        <v>153</v>
      </c>
      <c r="B50" s="67"/>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row>
    <row r="51" spans="1:36" x14ac:dyDescent="0.25">
      <c r="A51" s="706" t="s">
        <v>154</v>
      </c>
      <c r="B51" s="706"/>
      <c r="C51" s="706"/>
      <c r="D51" s="706"/>
      <c r="E51" s="706"/>
      <c r="F51" s="706"/>
      <c r="G51" s="706"/>
      <c r="H51" s="706"/>
      <c r="I51" s="706"/>
      <c r="J51" s="706"/>
      <c r="K51" s="706"/>
      <c r="L51" s="706"/>
      <c r="M51" s="706"/>
      <c r="N51" s="706"/>
      <c r="O51" s="706"/>
      <c r="P51" s="706"/>
      <c r="Q51" s="706"/>
      <c r="R51" s="706"/>
      <c r="S51" s="706"/>
      <c r="T51" s="706"/>
      <c r="U51" s="706"/>
      <c r="V51" s="706"/>
      <c r="W51" s="706"/>
      <c r="X51" s="706"/>
      <c r="Y51" s="706"/>
      <c r="Z51" s="706"/>
      <c r="AA51" s="706"/>
      <c r="AB51" s="706"/>
      <c r="AC51" s="706"/>
      <c r="AD51" s="706"/>
      <c r="AE51" s="706"/>
      <c r="AF51" s="706"/>
      <c r="AG51" s="706"/>
      <c r="AH51" s="706"/>
      <c r="AI51" s="706"/>
      <c r="AJ51" s="67"/>
    </row>
    <row r="52" spans="1:36" x14ac:dyDescent="0.25">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row>
    <row r="53" spans="1:36" x14ac:dyDescent="0.25">
      <c r="A53" s="695"/>
      <c r="B53" s="695"/>
      <c r="C53" s="695"/>
      <c r="D53" s="695"/>
      <c r="E53" s="695"/>
      <c r="F53" s="695"/>
      <c r="G53" s="695"/>
      <c r="H53" s="695"/>
      <c r="I53" s="695"/>
      <c r="J53" s="695"/>
      <c r="K53" s="695"/>
      <c r="L53" s="695"/>
      <c r="M53" s="695"/>
      <c r="N53" s="695"/>
      <c r="O53" s="695"/>
      <c r="P53" s="695"/>
      <c r="Q53" s="695"/>
      <c r="R53" s="695"/>
      <c r="S53" s="695"/>
      <c r="T53" s="695"/>
      <c r="U53" s="695"/>
      <c r="V53" s="695"/>
      <c r="W53" s="695"/>
      <c r="X53" s="695"/>
      <c r="Y53" s="695"/>
      <c r="Z53" s="695"/>
      <c r="AA53" s="695"/>
      <c r="AB53" s="695"/>
      <c r="AC53" s="695"/>
      <c r="AD53" s="695"/>
      <c r="AE53" s="695"/>
      <c r="AF53" s="695"/>
      <c r="AG53" s="695"/>
      <c r="AH53" s="695"/>
      <c r="AI53" s="695"/>
      <c r="AJ53" s="695"/>
    </row>
    <row r="54" spans="1:36" ht="15.75" x14ac:dyDescent="0.25">
      <c r="A54" s="696" t="s">
        <v>155</v>
      </c>
      <c r="B54" s="696"/>
      <c r="C54" s="696"/>
      <c r="D54" s="696"/>
      <c r="E54" s="696"/>
      <c r="F54" s="696"/>
      <c r="G54" s="696"/>
      <c r="H54" s="696"/>
      <c r="I54" s="696"/>
      <c r="J54" s="696"/>
      <c r="K54" s="696"/>
      <c r="L54" s="696"/>
      <c r="M54" s="696"/>
      <c r="N54" s="696"/>
      <c r="O54" s="696"/>
      <c r="P54" s="696"/>
      <c r="Q54" s="696"/>
      <c r="R54" s="696"/>
      <c r="S54" s="696"/>
      <c r="T54" s="696"/>
      <c r="U54" s="696"/>
      <c r="V54" s="696"/>
      <c r="W54" s="696"/>
      <c r="X54" s="696"/>
      <c r="Y54" s="696"/>
      <c r="Z54" s="696"/>
      <c r="AA54" s="696"/>
      <c r="AB54" s="696"/>
      <c r="AC54" s="696"/>
      <c r="AD54" s="696"/>
      <c r="AE54" s="696"/>
      <c r="AF54" s="696"/>
      <c r="AG54" s="696"/>
      <c r="AH54" s="696"/>
      <c r="AI54" s="696"/>
      <c r="AJ54" s="696"/>
    </row>
    <row r="55" spans="1:36" x14ac:dyDescent="0.25">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c r="AA55" s="99"/>
      <c r="AB55" s="99"/>
      <c r="AC55" s="99"/>
      <c r="AD55" s="99"/>
      <c r="AE55" s="99"/>
      <c r="AF55" s="99"/>
      <c r="AG55" s="99"/>
      <c r="AH55" s="99"/>
      <c r="AI55" s="99"/>
      <c r="AJ55" s="99"/>
    </row>
    <row r="56" spans="1:36" ht="10.9" customHeight="1" x14ac:dyDescent="0.25">
      <c r="A56" s="101" t="s">
        <v>156</v>
      </c>
      <c r="B56" s="102"/>
      <c r="C56" s="102"/>
      <c r="D56" s="102"/>
      <c r="E56" s="102"/>
      <c r="F56" s="102"/>
      <c r="G56" s="102"/>
      <c r="H56" s="102"/>
      <c r="I56" s="102"/>
      <c r="J56" s="102"/>
      <c r="K56" s="102"/>
      <c r="L56" s="103"/>
      <c r="M56" s="101" t="s">
        <v>157</v>
      </c>
      <c r="N56" s="102"/>
      <c r="O56" s="102"/>
      <c r="P56" s="102"/>
      <c r="Q56" s="102"/>
      <c r="R56" s="102"/>
      <c r="S56" s="102"/>
      <c r="T56" s="102"/>
      <c r="U56" s="102"/>
      <c r="V56" s="102"/>
      <c r="W56" s="102"/>
      <c r="X56" s="103"/>
      <c r="Y56" s="102" t="s">
        <v>158</v>
      </c>
      <c r="Z56" s="102"/>
      <c r="AA56" s="102"/>
      <c r="AB56" s="102"/>
      <c r="AC56" s="102"/>
      <c r="AD56" s="102"/>
      <c r="AE56" s="102"/>
      <c r="AF56" s="102"/>
      <c r="AG56" s="102"/>
      <c r="AH56" s="102"/>
      <c r="AI56" s="102"/>
      <c r="AJ56" s="103"/>
    </row>
    <row r="57" spans="1:36" ht="10.9" customHeight="1" x14ac:dyDescent="0.25">
      <c r="A57" s="104" t="s">
        <v>159</v>
      </c>
      <c r="B57" s="102"/>
      <c r="C57" s="102"/>
      <c r="D57" s="102"/>
      <c r="E57" s="102"/>
      <c r="F57" s="102"/>
      <c r="G57" s="102"/>
      <c r="H57" s="102"/>
      <c r="I57" s="102"/>
      <c r="J57" s="102"/>
      <c r="K57" s="102"/>
      <c r="L57" s="103"/>
      <c r="M57" s="104" t="s">
        <v>160</v>
      </c>
      <c r="N57" s="102"/>
      <c r="O57" s="102"/>
      <c r="P57" s="102"/>
      <c r="Q57" s="102"/>
      <c r="R57" s="102"/>
      <c r="S57" s="102"/>
      <c r="T57" s="102"/>
      <c r="U57" s="102"/>
      <c r="V57" s="102"/>
      <c r="W57" s="102"/>
      <c r="X57" s="103"/>
      <c r="Y57" s="102" t="s">
        <v>161</v>
      </c>
      <c r="Z57" s="102"/>
      <c r="AA57" s="102"/>
      <c r="AB57" s="102"/>
      <c r="AC57" s="102"/>
      <c r="AD57" s="102"/>
      <c r="AE57" s="102"/>
      <c r="AF57" s="102"/>
      <c r="AG57" s="102"/>
      <c r="AH57" s="102"/>
      <c r="AI57" s="102"/>
      <c r="AJ57" s="103"/>
    </row>
    <row r="58" spans="1:36" ht="10.9" customHeight="1" x14ac:dyDescent="0.25">
      <c r="A58" s="104" t="s">
        <v>162</v>
      </c>
      <c r="B58" s="102"/>
      <c r="C58" s="102"/>
      <c r="D58" s="102"/>
      <c r="E58" s="102"/>
      <c r="F58" s="102"/>
      <c r="G58" s="102"/>
      <c r="H58" s="102"/>
      <c r="I58" s="102"/>
      <c r="J58" s="102"/>
      <c r="K58" s="102"/>
      <c r="L58" s="103"/>
      <c r="M58" s="101" t="s">
        <v>163</v>
      </c>
      <c r="N58" s="102"/>
      <c r="O58" s="102"/>
      <c r="P58" s="102"/>
      <c r="Q58" s="102"/>
      <c r="R58" s="102"/>
      <c r="S58" s="102"/>
      <c r="T58" s="102"/>
      <c r="U58" s="102"/>
      <c r="V58" s="102"/>
      <c r="W58" s="102"/>
      <c r="X58" s="103"/>
      <c r="Y58" s="102" t="s">
        <v>164</v>
      </c>
      <c r="Z58" s="102"/>
      <c r="AA58" s="102"/>
      <c r="AB58" s="102"/>
      <c r="AC58" s="102"/>
      <c r="AD58" s="102"/>
      <c r="AE58" s="102"/>
      <c r="AF58" s="102"/>
      <c r="AG58" s="102"/>
      <c r="AH58" s="102"/>
      <c r="AI58" s="102"/>
      <c r="AJ58" s="103"/>
    </row>
    <row r="59" spans="1:36" ht="10.9" customHeight="1" x14ac:dyDescent="0.25">
      <c r="A59" s="104" t="s">
        <v>165</v>
      </c>
      <c r="B59" s="102"/>
      <c r="C59" s="102"/>
      <c r="D59" s="102"/>
      <c r="E59" s="102"/>
      <c r="F59" s="102"/>
      <c r="G59" s="102"/>
      <c r="H59" s="102"/>
      <c r="I59" s="102"/>
      <c r="J59" s="102"/>
      <c r="K59" s="102"/>
      <c r="L59" s="103"/>
      <c r="M59" s="104" t="s">
        <v>166</v>
      </c>
      <c r="N59" s="102"/>
      <c r="O59" s="102"/>
      <c r="P59" s="102"/>
      <c r="Q59" s="102"/>
      <c r="R59" s="102"/>
      <c r="S59" s="102"/>
      <c r="T59" s="102"/>
      <c r="U59" s="102"/>
      <c r="V59" s="102"/>
      <c r="W59" s="102"/>
      <c r="X59" s="103"/>
      <c r="Y59" s="102" t="s">
        <v>167</v>
      </c>
      <c r="Z59" s="102"/>
      <c r="AA59" s="102"/>
      <c r="AB59" s="102"/>
      <c r="AC59" s="102"/>
      <c r="AD59" s="102"/>
      <c r="AE59" s="102"/>
      <c r="AF59" s="102"/>
      <c r="AG59" s="102"/>
      <c r="AH59" s="102"/>
      <c r="AI59" s="102"/>
      <c r="AJ59" s="103"/>
    </row>
    <row r="60" spans="1:36" ht="10.9" customHeight="1" x14ac:dyDescent="0.25">
      <c r="A60" s="104" t="s">
        <v>168</v>
      </c>
      <c r="B60" s="102"/>
      <c r="C60" s="102"/>
      <c r="D60" s="102"/>
      <c r="E60" s="102"/>
      <c r="F60" s="102"/>
      <c r="G60" s="102"/>
      <c r="H60" s="102"/>
      <c r="I60" s="102"/>
      <c r="J60" s="102"/>
      <c r="K60" s="102"/>
      <c r="L60" s="103"/>
      <c r="M60" s="104" t="s">
        <v>169</v>
      </c>
      <c r="N60" s="102"/>
      <c r="O60" s="102"/>
      <c r="P60" s="102"/>
      <c r="Q60" s="102"/>
      <c r="R60" s="102"/>
      <c r="S60" s="102"/>
      <c r="T60" s="102"/>
      <c r="U60" s="102"/>
      <c r="V60" s="102"/>
      <c r="W60" s="102"/>
      <c r="X60" s="103"/>
      <c r="Y60" s="105" t="s">
        <v>170</v>
      </c>
      <c r="Z60" s="102"/>
      <c r="AA60" s="102"/>
      <c r="AB60" s="102"/>
      <c r="AC60" s="102"/>
      <c r="AD60" s="102"/>
      <c r="AE60" s="102"/>
      <c r="AF60" s="102"/>
      <c r="AG60" s="102"/>
      <c r="AH60" s="102"/>
      <c r="AI60" s="102"/>
      <c r="AJ60" s="103"/>
    </row>
    <row r="61" spans="1:36" ht="10.9" customHeight="1" x14ac:dyDescent="0.25">
      <c r="A61" s="104" t="s">
        <v>171</v>
      </c>
      <c r="B61" s="102"/>
      <c r="C61" s="102"/>
      <c r="D61" s="102"/>
      <c r="E61" s="102"/>
      <c r="F61" s="102"/>
      <c r="G61" s="102"/>
      <c r="H61" s="102"/>
      <c r="I61" s="102"/>
      <c r="J61" s="102"/>
      <c r="K61" s="102"/>
      <c r="L61" s="103"/>
      <c r="M61" s="101" t="s">
        <v>172</v>
      </c>
      <c r="N61" s="102"/>
      <c r="O61" s="102"/>
      <c r="P61" s="102"/>
      <c r="Q61" s="102"/>
      <c r="R61" s="102"/>
      <c r="S61" s="102"/>
      <c r="T61" s="102"/>
      <c r="U61" s="102"/>
      <c r="V61" s="102"/>
      <c r="W61" s="102"/>
      <c r="X61" s="103"/>
      <c r="Y61" s="102" t="s">
        <v>173</v>
      </c>
      <c r="Z61" s="102"/>
      <c r="AA61" s="102"/>
      <c r="AB61" s="102"/>
      <c r="AC61" s="102"/>
      <c r="AD61" s="102"/>
      <c r="AE61" s="102"/>
      <c r="AF61" s="102"/>
      <c r="AG61" s="102"/>
      <c r="AH61" s="102"/>
      <c r="AI61" s="102"/>
      <c r="AJ61" s="103"/>
    </row>
    <row r="62" spans="1:36" ht="10.9" customHeight="1" x14ac:dyDescent="0.25">
      <c r="A62" s="104" t="s">
        <v>174</v>
      </c>
      <c r="B62" s="102"/>
      <c r="C62" s="102"/>
      <c r="D62" s="102"/>
      <c r="E62" s="102"/>
      <c r="F62" s="102"/>
      <c r="G62" s="102"/>
      <c r="H62" s="102"/>
      <c r="I62" s="102"/>
      <c r="J62" s="102"/>
      <c r="K62" s="102"/>
      <c r="L62" s="103"/>
      <c r="M62" s="104" t="s">
        <v>175</v>
      </c>
      <c r="N62" s="102"/>
      <c r="O62" s="102"/>
      <c r="P62" s="102"/>
      <c r="Q62" s="102"/>
      <c r="R62" s="102"/>
      <c r="S62" s="102"/>
      <c r="T62" s="102"/>
      <c r="U62" s="102"/>
      <c r="V62" s="102"/>
      <c r="W62" s="102"/>
      <c r="X62" s="103"/>
      <c r="Y62" s="102" t="s">
        <v>176</v>
      </c>
      <c r="Z62" s="102"/>
      <c r="AA62" s="102"/>
      <c r="AB62" s="102"/>
      <c r="AC62" s="102"/>
      <c r="AD62" s="102"/>
      <c r="AE62" s="102"/>
      <c r="AF62" s="102"/>
      <c r="AG62" s="102"/>
      <c r="AH62" s="102"/>
      <c r="AI62" s="102"/>
      <c r="AJ62" s="103"/>
    </row>
    <row r="63" spans="1:36" ht="10.9" customHeight="1" x14ac:dyDescent="0.25">
      <c r="A63" s="104" t="s">
        <v>177</v>
      </c>
      <c r="B63" s="102"/>
      <c r="C63" s="102"/>
      <c r="D63" s="102"/>
      <c r="E63" s="102"/>
      <c r="F63" s="102"/>
      <c r="G63" s="102"/>
      <c r="H63" s="102"/>
      <c r="I63" s="102"/>
      <c r="J63" s="102"/>
      <c r="K63" s="102"/>
      <c r="L63" s="103"/>
      <c r="M63" s="104" t="s">
        <v>178</v>
      </c>
      <c r="N63" s="102"/>
      <c r="O63" s="102"/>
      <c r="P63" s="102"/>
      <c r="Q63" s="102"/>
      <c r="R63" s="102"/>
      <c r="S63" s="102"/>
      <c r="T63" s="102"/>
      <c r="U63" s="102"/>
      <c r="V63" s="102"/>
      <c r="W63" s="102"/>
      <c r="X63" s="103"/>
      <c r="Y63" s="102" t="s">
        <v>179</v>
      </c>
      <c r="Z63" s="102"/>
      <c r="AA63" s="102"/>
      <c r="AB63" s="102"/>
      <c r="AC63" s="102"/>
      <c r="AD63" s="102"/>
      <c r="AE63" s="102"/>
      <c r="AF63" s="102"/>
      <c r="AG63" s="102"/>
      <c r="AH63" s="102"/>
      <c r="AI63" s="102"/>
      <c r="AJ63" s="103"/>
    </row>
    <row r="64" spans="1:36" ht="10.9" customHeight="1" x14ac:dyDescent="0.25">
      <c r="A64" s="101" t="s">
        <v>180</v>
      </c>
      <c r="B64" s="102"/>
      <c r="C64" s="102"/>
      <c r="D64" s="102"/>
      <c r="E64" s="102"/>
      <c r="F64" s="102"/>
      <c r="G64" s="102"/>
      <c r="H64" s="102"/>
      <c r="I64" s="102"/>
      <c r="J64" s="102"/>
      <c r="K64" s="102"/>
      <c r="L64" s="103"/>
      <c r="M64" s="104" t="s">
        <v>181</v>
      </c>
      <c r="N64" s="102"/>
      <c r="O64" s="102"/>
      <c r="P64" s="102"/>
      <c r="Q64" s="102"/>
      <c r="R64" s="102"/>
      <c r="S64" s="102"/>
      <c r="T64" s="102"/>
      <c r="U64" s="102"/>
      <c r="V64" s="102"/>
      <c r="W64" s="102"/>
      <c r="X64" s="103"/>
      <c r="Y64" s="102" t="s">
        <v>182</v>
      </c>
      <c r="Z64" s="102"/>
      <c r="AA64" s="102"/>
      <c r="AB64" s="102"/>
      <c r="AC64" s="102"/>
      <c r="AD64" s="102"/>
      <c r="AE64" s="102"/>
      <c r="AF64" s="102"/>
      <c r="AG64" s="102"/>
      <c r="AH64" s="102"/>
      <c r="AI64" s="102"/>
      <c r="AJ64" s="103"/>
    </row>
    <row r="65" spans="1:36" ht="10.9" customHeight="1" x14ac:dyDescent="0.25">
      <c r="A65" s="104" t="s">
        <v>183</v>
      </c>
      <c r="B65" s="102"/>
      <c r="C65" s="102"/>
      <c r="D65" s="102"/>
      <c r="E65" s="102"/>
      <c r="F65" s="102"/>
      <c r="G65" s="102"/>
      <c r="H65" s="102"/>
      <c r="I65" s="102"/>
      <c r="J65" s="102"/>
      <c r="K65" s="102"/>
      <c r="L65" s="103"/>
      <c r="M65" s="101" t="s">
        <v>184</v>
      </c>
      <c r="N65" s="102"/>
      <c r="O65" s="102"/>
      <c r="P65" s="102"/>
      <c r="Q65" s="102"/>
      <c r="R65" s="102"/>
      <c r="S65" s="102"/>
      <c r="T65" s="102"/>
      <c r="U65" s="102"/>
      <c r="V65" s="102"/>
      <c r="W65" s="102"/>
      <c r="X65" s="103"/>
      <c r="Y65" s="102" t="s">
        <v>185</v>
      </c>
      <c r="Z65" s="102"/>
      <c r="AA65" s="102"/>
      <c r="AB65" s="102"/>
      <c r="AC65" s="102"/>
      <c r="AD65" s="102"/>
      <c r="AE65" s="102"/>
      <c r="AF65" s="102"/>
      <c r="AG65" s="102"/>
      <c r="AH65" s="102"/>
      <c r="AI65" s="102"/>
      <c r="AJ65" s="103"/>
    </row>
    <row r="66" spans="1:36" ht="10.9" customHeight="1" x14ac:dyDescent="0.25">
      <c r="A66" s="104" t="s">
        <v>186</v>
      </c>
      <c r="B66" s="102"/>
      <c r="C66" s="102"/>
      <c r="D66" s="102"/>
      <c r="E66" s="102"/>
      <c r="F66" s="102"/>
      <c r="G66" s="102"/>
      <c r="H66" s="102"/>
      <c r="I66" s="102"/>
      <c r="J66" s="102"/>
      <c r="K66" s="102"/>
      <c r="L66" s="103"/>
      <c r="M66" s="104" t="s">
        <v>187</v>
      </c>
      <c r="N66" s="102"/>
      <c r="O66" s="102"/>
      <c r="P66" s="102"/>
      <c r="Q66" s="102"/>
      <c r="R66" s="102"/>
      <c r="S66" s="102"/>
      <c r="T66" s="102"/>
      <c r="U66" s="102"/>
      <c r="V66" s="102"/>
      <c r="W66" s="102"/>
      <c r="X66" s="103"/>
      <c r="Y66" s="105" t="s">
        <v>188</v>
      </c>
      <c r="Z66" s="102"/>
      <c r="AA66" s="102"/>
      <c r="AB66" s="102"/>
      <c r="AC66" s="102"/>
      <c r="AD66" s="102"/>
      <c r="AE66" s="102"/>
      <c r="AF66" s="102"/>
      <c r="AG66" s="102"/>
      <c r="AH66" s="102"/>
      <c r="AI66" s="102"/>
      <c r="AJ66" s="103"/>
    </row>
    <row r="67" spans="1:36" ht="10.9" customHeight="1" x14ac:dyDescent="0.25">
      <c r="A67" s="104" t="s">
        <v>189</v>
      </c>
      <c r="B67" s="102"/>
      <c r="C67" s="102"/>
      <c r="D67" s="102"/>
      <c r="E67" s="102"/>
      <c r="F67" s="102"/>
      <c r="G67" s="102"/>
      <c r="H67" s="102"/>
      <c r="I67" s="102"/>
      <c r="J67" s="102"/>
      <c r="K67" s="102"/>
      <c r="L67" s="103"/>
      <c r="M67" s="104" t="s">
        <v>190</v>
      </c>
      <c r="N67" s="102"/>
      <c r="O67" s="102"/>
      <c r="P67" s="102"/>
      <c r="Q67" s="102"/>
      <c r="R67" s="102"/>
      <c r="S67" s="102"/>
      <c r="T67" s="102"/>
      <c r="U67" s="102"/>
      <c r="V67" s="102"/>
      <c r="W67" s="102"/>
      <c r="X67" s="103"/>
      <c r="Y67" s="102" t="s">
        <v>191</v>
      </c>
      <c r="Z67" s="102"/>
      <c r="AA67" s="102"/>
      <c r="AB67" s="102"/>
      <c r="AC67" s="102"/>
      <c r="AD67" s="102"/>
      <c r="AE67" s="102"/>
      <c r="AF67" s="102"/>
      <c r="AG67" s="102"/>
      <c r="AH67" s="102"/>
      <c r="AI67" s="102"/>
      <c r="AJ67" s="103"/>
    </row>
    <row r="68" spans="1:36" ht="10.9" customHeight="1" x14ac:dyDescent="0.25">
      <c r="A68" s="104" t="s">
        <v>192</v>
      </c>
      <c r="B68" s="102"/>
      <c r="C68" s="102"/>
      <c r="D68" s="102"/>
      <c r="E68" s="102"/>
      <c r="F68" s="102"/>
      <c r="G68" s="102"/>
      <c r="H68" s="102"/>
      <c r="I68" s="102"/>
      <c r="J68" s="102"/>
      <c r="K68" s="102"/>
      <c r="L68" s="103"/>
      <c r="M68" s="104" t="s">
        <v>193</v>
      </c>
      <c r="N68" s="102"/>
      <c r="O68" s="102"/>
      <c r="P68" s="102"/>
      <c r="Q68" s="102"/>
      <c r="R68" s="102"/>
      <c r="S68" s="102"/>
      <c r="T68" s="102"/>
      <c r="U68" s="102"/>
      <c r="V68" s="102"/>
      <c r="W68" s="102"/>
      <c r="X68" s="103"/>
      <c r="Y68" s="104" t="s">
        <v>194</v>
      </c>
      <c r="Z68" s="102"/>
      <c r="AA68" s="102"/>
      <c r="AB68" s="102"/>
      <c r="AC68" s="102"/>
      <c r="AD68" s="102"/>
      <c r="AE68" s="102"/>
      <c r="AF68" s="102"/>
      <c r="AG68" s="102"/>
      <c r="AH68" s="102"/>
      <c r="AI68" s="102"/>
      <c r="AJ68" s="103"/>
    </row>
    <row r="69" spans="1:36" ht="10.9" customHeight="1" x14ac:dyDescent="0.25">
      <c r="A69" s="104" t="s">
        <v>195</v>
      </c>
      <c r="B69" s="102"/>
      <c r="C69" s="102"/>
      <c r="D69" s="102"/>
      <c r="E69" s="102"/>
      <c r="F69" s="102"/>
      <c r="G69" s="102"/>
      <c r="H69" s="102"/>
      <c r="I69" s="102"/>
      <c r="J69" s="102"/>
      <c r="K69" s="102"/>
      <c r="L69" s="103"/>
      <c r="M69" s="104" t="s">
        <v>196</v>
      </c>
      <c r="N69" s="102"/>
      <c r="O69" s="102"/>
      <c r="P69" s="102"/>
      <c r="Q69" s="102"/>
      <c r="R69" s="102"/>
      <c r="S69" s="102"/>
      <c r="T69" s="102"/>
      <c r="U69" s="102"/>
      <c r="V69" s="102"/>
      <c r="W69" s="102"/>
      <c r="X69" s="103"/>
      <c r="Y69" s="104" t="s">
        <v>197</v>
      </c>
      <c r="Z69" s="102"/>
      <c r="AA69" s="102"/>
      <c r="AB69" s="102"/>
      <c r="AC69" s="102"/>
      <c r="AD69" s="102"/>
      <c r="AE69" s="102"/>
      <c r="AF69" s="102"/>
      <c r="AG69" s="102"/>
      <c r="AH69" s="102"/>
      <c r="AI69" s="102"/>
      <c r="AJ69" s="103"/>
    </row>
    <row r="70" spans="1:36" ht="10.9" customHeight="1" x14ac:dyDescent="0.25">
      <c r="A70" s="104" t="s">
        <v>198</v>
      </c>
      <c r="B70" s="102"/>
      <c r="C70" s="102"/>
      <c r="D70" s="102"/>
      <c r="E70" s="102"/>
      <c r="F70" s="102"/>
      <c r="G70" s="102"/>
      <c r="H70" s="102"/>
      <c r="I70" s="102"/>
      <c r="J70" s="102"/>
      <c r="K70" s="102"/>
      <c r="L70" s="103"/>
      <c r="M70" s="104" t="s">
        <v>199</v>
      </c>
      <c r="N70" s="102"/>
      <c r="O70" s="102"/>
      <c r="P70" s="102"/>
      <c r="Q70" s="102"/>
      <c r="R70" s="102"/>
      <c r="S70" s="102"/>
      <c r="T70" s="102"/>
      <c r="U70" s="102"/>
      <c r="V70" s="102"/>
      <c r="W70" s="102"/>
      <c r="X70" s="103"/>
      <c r="Y70" s="104" t="s">
        <v>200</v>
      </c>
      <c r="Z70" s="105"/>
      <c r="AA70" s="105"/>
      <c r="AB70" s="105"/>
      <c r="AC70" s="105"/>
      <c r="AD70" s="105"/>
      <c r="AE70" s="105"/>
      <c r="AF70" s="105"/>
      <c r="AG70" s="105"/>
      <c r="AH70" s="105"/>
      <c r="AI70" s="105"/>
      <c r="AJ70" s="106"/>
    </row>
    <row r="71" spans="1:36" ht="10.9" customHeight="1" x14ac:dyDescent="0.25">
      <c r="A71" s="104" t="s">
        <v>201</v>
      </c>
      <c r="B71" s="102"/>
      <c r="C71" s="102"/>
      <c r="D71" s="102"/>
      <c r="E71" s="102"/>
      <c r="F71" s="102"/>
      <c r="G71" s="102"/>
      <c r="H71" s="102"/>
      <c r="I71" s="102"/>
      <c r="J71" s="102"/>
      <c r="K71" s="102"/>
      <c r="L71" s="103"/>
      <c r="M71" s="101" t="s">
        <v>202</v>
      </c>
      <c r="N71" s="102"/>
      <c r="O71" s="102"/>
      <c r="P71" s="102"/>
      <c r="Q71" s="102"/>
      <c r="R71" s="102"/>
      <c r="S71" s="102"/>
      <c r="T71" s="102"/>
      <c r="U71" s="102"/>
      <c r="V71" s="102"/>
      <c r="W71" s="102"/>
      <c r="X71" s="103"/>
      <c r="Y71" s="104" t="s">
        <v>203</v>
      </c>
      <c r="Z71" s="102"/>
      <c r="AA71" s="102"/>
      <c r="AB71" s="102"/>
      <c r="AC71" s="102"/>
      <c r="AD71" s="102"/>
      <c r="AE71" s="102"/>
      <c r="AF71" s="102"/>
      <c r="AG71" s="102"/>
      <c r="AH71" s="102"/>
      <c r="AI71" s="102"/>
      <c r="AJ71" s="103"/>
    </row>
    <row r="72" spans="1:36" ht="10.9" customHeight="1" x14ac:dyDescent="0.25">
      <c r="A72" s="104" t="s">
        <v>204</v>
      </c>
      <c r="B72" s="102"/>
      <c r="C72" s="102"/>
      <c r="D72" s="102"/>
      <c r="E72" s="102"/>
      <c r="F72" s="102"/>
      <c r="G72" s="102"/>
      <c r="H72" s="102"/>
      <c r="I72" s="102"/>
      <c r="J72" s="102"/>
      <c r="K72" s="102"/>
      <c r="L72" s="103"/>
      <c r="M72" s="101" t="s">
        <v>205</v>
      </c>
      <c r="N72" s="102"/>
      <c r="O72" s="102"/>
      <c r="P72" s="102"/>
      <c r="Q72" s="102"/>
      <c r="R72" s="102"/>
      <c r="S72" s="102"/>
      <c r="T72" s="102"/>
      <c r="U72" s="102"/>
      <c r="V72" s="102"/>
      <c r="W72" s="102"/>
      <c r="X72" s="103"/>
      <c r="Y72" s="104" t="s">
        <v>206</v>
      </c>
      <c r="Z72" s="102"/>
      <c r="AA72" s="102"/>
      <c r="AB72" s="102"/>
      <c r="AC72" s="102"/>
      <c r="AD72" s="102"/>
      <c r="AE72" s="102"/>
      <c r="AF72" s="102"/>
      <c r="AG72" s="102"/>
      <c r="AH72" s="102"/>
      <c r="AI72" s="102"/>
      <c r="AJ72" s="103"/>
    </row>
    <row r="73" spans="1:36" ht="10.9" customHeight="1" x14ac:dyDescent="0.25">
      <c r="A73" s="104" t="s">
        <v>207</v>
      </c>
      <c r="B73" s="102"/>
      <c r="C73" s="102"/>
      <c r="D73" s="102"/>
      <c r="E73" s="102"/>
      <c r="F73" s="102"/>
      <c r="G73" s="102"/>
      <c r="H73" s="102"/>
      <c r="I73" s="102"/>
      <c r="J73" s="102"/>
      <c r="K73" s="102"/>
      <c r="L73" s="103"/>
      <c r="M73" s="104" t="s">
        <v>208</v>
      </c>
      <c r="N73" s="102"/>
      <c r="O73" s="102"/>
      <c r="P73" s="102"/>
      <c r="Q73" s="102"/>
      <c r="R73" s="102"/>
      <c r="S73" s="102"/>
      <c r="T73" s="102"/>
      <c r="U73" s="102"/>
      <c r="V73" s="102"/>
      <c r="W73" s="102"/>
      <c r="X73" s="103"/>
      <c r="Y73" s="104" t="s">
        <v>209</v>
      </c>
      <c r="Z73" s="102"/>
      <c r="AA73" s="102"/>
      <c r="AB73" s="102"/>
      <c r="AC73" s="102"/>
      <c r="AD73" s="102"/>
      <c r="AE73" s="102"/>
      <c r="AF73" s="102"/>
      <c r="AG73" s="102"/>
      <c r="AH73" s="102"/>
      <c r="AI73" s="102"/>
      <c r="AJ73" s="103"/>
    </row>
    <row r="74" spans="1:36" ht="10.9" customHeight="1" x14ac:dyDescent="0.25">
      <c r="A74" s="104" t="s">
        <v>210</v>
      </c>
      <c r="B74" s="102"/>
      <c r="C74" s="102"/>
      <c r="D74" s="102"/>
      <c r="E74" s="102"/>
      <c r="F74" s="102"/>
      <c r="G74" s="102"/>
      <c r="H74" s="102"/>
      <c r="I74" s="102"/>
      <c r="J74" s="102"/>
      <c r="K74" s="102"/>
      <c r="L74" s="103"/>
      <c r="M74" s="104" t="s">
        <v>211</v>
      </c>
      <c r="N74" s="102"/>
      <c r="O74" s="102"/>
      <c r="P74" s="102"/>
      <c r="Q74" s="102"/>
      <c r="R74" s="102"/>
      <c r="S74" s="102"/>
      <c r="T74" s="102"/>
      <c r="U74" s="102"/>
      <c r="V74" s="102"/>
      <c r="W74" s="102"/>
      <c r="X74" s="103"/>
      <c r="Y74" s="101" t="s">
        <v>212</v>
      </c>
      <c r="Z74" s="102"/>
      <c r="AA74" s="102"/>
      <c r="AB74" s="102"/>
      <c r="AC74" s="102"/>
      <c r="AD74" s="102"/>
      <c r="AE74" s="102"/>
      <c r="AF74" s="102"/>
      <c r="AG74" s="102"/>
      <c r="AH74" s="102"/>
      <c r="AI74" s="102"/>
      <c r="AJ74" s="103"/>
    </row>
    <row r="75" spans="1:36" ht="10.9" customHeight="1" x14ac:dyDescent="0.25">
      <c r="A75" s="104" t="s">
        <v>213</v>
      </c>
      <c r="B75" s="102"/>
      <c r="C75" s="102"/>
      <c r="D75" s="102"/>
      <c r="E75" s="102"/>
      <c r="F75" s="102"/>
      <c r="G75" s="102"/>
      <c r="H75" s="102"/>
      <c r="I75" s="102"/>
      <c r="J75" s="102"/>
      <c r="K75" s="102"/>
      <c r="L75" s="103"/>
      <c r="M75" s="101" t="s">
        <v>214</v>
      </c>
      <c r="N75" s="102"/>
      <c r="O75" s="102"/>
      <c r="P75" s="102"/>
      <c r="Q75" s="102"/>
      <c r="R75" s="102"/>
      <c r="S75" s="102"/>
      <c r="T75" s="102"/>
      <c r="U75" s="102"/>
      <c r="V75" s="102"/>
      <c r="W75" s="102"/>
      <c r="X75" s="103"/>
      <c r="Y75" s="104" t="s">
        <v>215</v>
      </c>
      <c r="Z75" s="102"/>
      <c r="AA75" s="102"/>
      <c r="AB75" s="102"/>
      <c r="AC75" s="102"/>
      <c r="AD75" s="102"/>
      <c r="AE75" s="102"/>
      <c r="AF75" s="102"/>
      <c r="AG75" s="102"/>
      <c r="AH75" s="102"/>
      <c r="AI75" s="102"/>
      <c r="AJ75" s="103"/>
    </row>
    <row r="76" spans="1:36" ht="10.9" customHeight="1" x14ac:dyDescent="0.25">
      <c r="A76" s="101" t="s">
        <v>216</v>
      </c>
      <c r="B76" s="102"/>
      <c r="C76" s="102"/>
      <c r="D76" s="102"/>
      <c r="E76" s="102"/>
      <c r="F76" s="102"/>
      <c r="G76" s="102"/>
      <c r="H76" s="102"/>
      <c r="I76" s="102"/>
      <c r="J76" s="102"/>
      <c r="K76" s="102"/>
      <c r="L76" s="103"/>
      <c r="M76" s="104" t="s">
        <v>217</v>
      </c>
      <c r="N76" s="102"/>
      <c r="O76" s="102"/>
      <c r="P76" s="102"/>
      <c r="Q76" s="102"/>
      <c r="R76" s="102"/>
      <c r="S76" s="102"/>
      <c r="T76" s="102"/>
      <c r="U76" s="102"/>
      <c r="V76" s="102"/>
      <c r="W76" s="102"/>
      <c r="X76" s="103"/>
      <c r="Y76" s="104" t="s">
        <v>218</v>
      </c>
      <c r="Z76" s="102"/>
      <c r="AA76" s="102"/>
      <c r="AB76" s="102"/>
      <c r="AC76" s="102"/>
      <c r="AD76" s="102"/>
      <c r="AE76" s="102"/>
      <c r="AF76" s="102"/>
      <c r="AG76" s="102"/>
      <c r="AH76" s="102"/>
      <c r="AI76" s="102"/>
      <c r="AJ76" s="103"/>
    </row>
    <row r="77" spans="1:36" ht="10.9" customHeight="1" x14ac:dyDescent="0.25">
      <c r="A77" s="104" t="s">
        <v>219</v>
      </c>
      <c r="B77" s="102"/>
      <c r="C77" s="102"/>
      <c r="D77" s="102"/>
      <c r="E77" s="102"/>
      <c r="F77" s="102"/>
      <c r="G77" s="102"/>
      <c r="H77" s="102"/>
      <c r="I77" s="102"/>
      <c r="J77" s="102"/>
      <c r="K77" s="102"/>
      <c r="L77" s="103"/>
      <c r="M77" s="101" t="s">
        <v>220</v>
      </c>
      <c r="N77" s="102"/>
      <c r="O77" s="102"/>
      <c r="P77" s="102"/>
      <c r="Q77" s="102"/>
      <c r="R77" s="102"/>
      <c r="S77" s="102"/>
      <c r="T77" s="102"/>
      <c r="U77" s="102"/>
      <c r="V77" s="102"/>
      <c r="W77" s="102"/>
      <c r="X77" s="103"/>
      <c r="Y77" s="104" t="s">
        <v>221</v>
      </c>
      <c r="Z77" s="102"/>
      <c r="AA77" s="102"/>
      <c r="AB77" s="102"/>
      <c r="AC77" s="102"/>
      <c r="AD77" s="102"/>
      <c r="AE77" s="102"/>
      <c r="AF77" s="102"/>
      <c r="AG77" s="102"/>
      <c r="AH77" s="102"/>
      <c r="AI77" s="102"/>
      <c r="AJ77" s="103"/>
    </row>
    <row r="78" spans="1:36" ht="10.9" customHeight="1" x14ac:dyDescent="0.25">
      <c r="A78" s="104" t="s">
        <v>222</v>
      </c>
      <c r="B78" s="102"/>
      <c r="C78" s="102"/>
      <c r="D78" s="102"/>
      <c r="E78" s="102"/>
      <c r="F78" s="102"/>
      <c r="G78" s="102"/>
      <c r="H78" s="102"/>
      <c r="I78" s="102"/>
      <c r="J78" s="102"/>
      <c r="K78" s="102"/>
      <c r="L78" s="103"/>
      <c r="M78" s="104" t="s">
        <v>223</v>
      </c>
      <c r="N78" s="102"/>
      <c r="O78" s="102"/>
      <c r="P78" s="102"/>
      <c r="Q78" s="102"/>
      <c r="R78" s="102"/>
      <c r="S78" s="102"/>
      <c r="T78" s="102"/>
      <c r="U78" s="102"/>
      <c r="V78" s="102"/>
      <c r="W78" s="102"/>
      <c r="X78" s="103"/>
      <c r="Y78" s="104" t="s">
        <v>224</v>
      </c>
      <c r="Z78" s="102"/>
      <c r="AA78" s="102"/>
      <c r="AB78" s="102"/>
      <c r="AC78" s="102"/>
      <c r="AD78" s="102"/>
      <c r="AE78" s="102"/>
      <c r="AF78" s="102"/>
      <c r="AG78" s="102"/>
      <c r="AH78" s="102"/>
      <c r="AI78" s="102"/>
      <c r="AJ78" s="103"/>
    </row>
    <row r="79" spans="1:36" ht="10.9" customHeight="1" x14ac:dyDescent="0.25">
      <c r="A79" s="104" t="s">
        <v>225</v>
      </c>
      <c r="B79" s="102"/>
      <c r="C79" s="102"/>
      <c r="D79" s="102"/>
      <c r="E79" s="102"/>
      <c r="F79" s="102"/>
      <c r="G79" s="102"/>
      <c r="H79" s="102"/>
      <c r="I79" s="102"/>
      <c r="J79" s="102"/>
      <c r="K79" s="102"/>
      <c r="L79" s="103"/>
      <c r="M79" s="104" t="s">
        <v>226</v>
      </c>
      <c r="N79" s="102"/>
      <c r="O79" s="102"/>
      <c r="P79" s="102"/>
      <c r="Q79" s="102"/>
      <c r="R79" s="102"/>
      <c r="S79" s="102"/>
      <c r="T79" s="102"/>
      <c r="U79" s="102"/>
      <c r="V79" s="102"/>
      <c r="W79" s="102"/>
      <c r="X79" s="103"/>
      <c r="Y79" s="102" t="s">
        <v>227</v>
      </c>
      <c r="Z79" s="102"/>
      <c r="AA79" s="102"/>
      <c r="AB79" s="102"/>
      <c r="AC79" s="102"/>
      <c r="AD79" s="102"/>
      <c r="AE79" s="102"/>
      <c r="AF79" s="102"/>
      <c r="AG79" s="102"/>
      <c r="AH79" s="102"/>
      <c r="AI79" s="102"/>
      <c r="AJ79" s="103"/>
    </row>
    <row r="80" spans="1:36" ht="10.9" customHeight="1" x14ac:dyDescent="0.25">
      <c r="A80" s="104" t="s">
        <v>228</v>
      </c>
      <c r="B80" s="102"/>
      <c r="C80" s="102"/>
      <c r="D80" s="102"/>
      <c r="E80" s="102"/>
      <c r="F80" s="102"/>
      <c r="G80" s="102"/>
      <c r="H80" s="102"/>
      <c r="I80" s="102"/>
      <c r="J80" s="102"/>
      <c r="K80" s="102"/>
      <c r="L80" s="103"/>
      <c r="M80" s="104" t="s">
        <v>229</v>
      </c>
      <c r="N80" s="102"/>
      <c r="O80" s="102"/>
      <c r="P80" s="102"/>
      <c r="Q80" s="102"/>
      <c r="R80" s="102"/>
      <c r="S80" s="102"/>
      <c r="T80" s="102"/>
      <c r="U80" s="102"/>
      <c r="V80" s="102"/>
      <c r="W80" s="102"/>
      <c r="X80" s="103"/>
      <c r="Y80" s="102" t="s">
        <v>230</v>
      </c>
      <c r="Z80" s="102"/>
      <c r="AA80" s="102"/>
      <c r="AB80" s="102"/>
      <c r="AC80" s="102"/>
      <c r="AD80" s="102"/>
      <c r="AE80" s="102"/>
      <c r="AF80" s="102"/>
      <c r="AG80" s="102"/>
      <c r="AH80" s="102"/>
      <c r="AI80" s="102"/>
      <c r="AJ80" s="103"/>
    </row>
    <row r="81" spans="1:36" ht="10.9" customHeight="1" x14ac:dyDescent="0.25">
      <c r="A81" s="104" t="s">
        <v>231</v>
      </c>
      <c r="B81" s="102"/>
      <c r="C81" s="102"/>
      <c r="D81" s="102"/>
      <c r="E81" s="102"/>
      <c r="F81" s="102"/>
      <c r="G81" s="102"/>
      <c r="H81" s="102"/>
      <c r="I81" s="102"/>
      <c r="J81" s="102"/>
      <c r="K81" s="102"/>
      <c r="L81" s="103"/>
      <c r="M81" s="104" t="s">
        <v>232</v>
      </c>
      <c r="N81" s="102"/>
      <c r="O81" s="102"/>
      <c r="P81" s="102"/>
      <c r="Q81" s="102"/>
      <c r="R81" s="102"/>
      <c r="S81" s="102"/>
      <c r="T81" s="102"/>
      <c r="U81" s="102"/>
      <c r="V81" s="102"/>
      <c r="W81" s="102"/>
      <c r="X81" s="103"/>
      <c r="Y81" s="102" t="s">
        <v>233</v>
      </c>
      <c r="Z81" s="102"/>
      <c r="AA81" s="102"/>
      <c r="AB81" s="102"/>
      <c r="AC81" s="102"/>
      <c r="AD81" s="102"/>
      <c r="AE81" s="102"/>
      <c r="AF81" s="102"/>
      <c r="AG81" s="102"/>
      <c r="AH81" s="102"/>
      <c r="AI81" s="102"/>
      <c r="AJ81" s="103"/>
    </row>
    <row r="82" spans="1:36" ht="10.9" customHeight="1" x14ac:dyDescent="0.25">
      <c r="A82" s="101" t="s">
        <v>234</v>
      </c>
      <c r="B82" s="102"/>
      <c r="C82" s="102"/>
      <c r="D82" s="102"/>
      <c r="E82" s="102"/>
      <c r="F82" s="102"/>
      <c r="G82" s="102"/>
      <c r="H82" s="102"/>
      <c r="I82" s="102"/>
      <c r="J82" s="102"/>
      <c r="K82" s="102"/>
      <c r="L82" s="103"/>
      <c r="M82" s="104" t="s">
        <v>235</v>
      </c>
      <c r="N82" s="102"/>
      <c r="O82" s="102"/>
      <c r="P82" s="102"/>
      <c r="Q82" s="102"/>
      <c r="R82" s="102"/>
      <c r="S82" s="102"/>
      <c r="T82" s="102"/>
      <c r="U82" s="102"/>
      <c r="V82" s="102"/>
      <c r="W82" s="102"/>
      <c r="X82" s="103"/>
      <c r="Y82" s="105" t="s">
        <v>236</v>
      </c>
      <c r="Z82" s="102"/>
      <c r="AA82" s="102"/>
      <c r="AB82" s="102"/>
      <c r="AC82" s="102"/>
      <c r="AD82" s="102"/>
      <c r="AE82" s="102"/>
      <c r="AF82" s="102"/>
      <c r="AG82" s="102"/>
      <c r="AH82" s="102"/>
      <c r="AI82" s="102"/>
      <c r="AJ82" s="103"/>
    </row>
    <row r="83" spans="1:36" ht="10.9" customHeight="1" x14ac:dyDescent="0.25">
      <c r="A83" s="104" t="s">
        <v>237</v>
      </c>
      <c r="B83" s="102"/>
      <c r="C83" s="102"/>
      <c r="D83" s="102"/>
      <c r="E83" s="102"/>
      <c r="F83" s="102"/>
      <c r="G83" s="102"/>
      <c r="H83" s="102"/>
      <c r="I83" s="102"/>
      <c r="J83" s="102"/>
      <c r="K83" s="102"/>
      <c r="L83" s="103"/>
      <c r="M83" s="104" t="s">
        <v>238</v>
      </c>
      <c r="N83" s="102"/>
      <c r="O83" s="102"/>
      <c r="P83" s="102"/>
      <c r="Q83" s="102"/>
      <c r="R83" s="102"/>
      <c r="S83" s="102"/>
      <c r="T83" s="102"/>
      <c r="U83" s="102"/>
      <c r="V83" s="102"/>
      <c r="W83" s="102"/>
      <c r="X83" s="103"/>
      <c r="Y83" s="102" t="s">
        <v>239</v>
      </c>
      <c r="Z83" s="102"/>
      <c r="AA83" s="102"/>
      <c r="AB83" s="102"/>
      <c r="AC83" s="102"/>
      <c r="AD83" s="102"/>
      <c r="AE83" s="102"/>
      <c r="AF83" s="102"/>
      <c r="AG83" s="102"/>
      <c r="AH83" s="102"/>
      <c r="AI83" s="102"/>
      <c r="AJ83" s="103"/>
    </row>
    <row r="84" spans="1:36" ht="10.9" customHeight="1" x14ac:dyDescent="0.25">
      <c r="A84" s="104" t="s">
        <v>240</v>
      </c>
      <c r="B84" s="102"/>
      <c r="C84" s="102"/>
      <c r="D84" s="102"/>
      <c r="E84" s="102"/>
      <c r="F84" s="102"/>
      <c r="G84" s="102"/>
      <c r="H84" s="102"/>
      <c r="I84" s="102"/>
      <c r="J84" s="102"/>
      <c r="K84" s="102"/>
      <c r="L84" s="103"/>
      <c r="M84" s="104" t="s">
        <v>241</v>
      </c>
      <c r="N84" s="102"/>
      <c r="O84" s="102"/>
      <c r="P84" s="102"/>
      <c r="Q84" s="102"/>
      <c r="R84" s="102"/>
      <c r="S84" s="102"/>
      <c r="T84" s="102"/>
      <c r="U84" s="102"/>
      <c r="V84" s="102"/>
      <c r="W84" s="102"/>
      <c r="X84" s="103"/>
      <c r="Y84" s="102" t="s">
        <v>242</v>
      </c>
      <c r="Z84" s="102"/>
      <c r="AA84" s="102"/>
      <c r="AB84" s="102"/>
      <c r="AC84" s="102"/>
      <c r="AD84" s="102"/>
      <c r="AE84" s="102"/>
      <c r="AF84" s="102"/>
      <c r="AG84" s="102"/>
      <c r="AH84" s="102"/>
      <c r="AI84" s="102"/>
      <c r="AJ84" s="103"/>
    </row>
    <row r="85" spans="1:36" ht="10.9" customHeight="1" x14ac:dyDescent="0.25">
      <c r="A85" s="101" t="s">
        <v>243</v>
      </c>
      <c r="B85" s="102"/>
      <c r="C85" s="102"/>
      <c r="D85" s="102"/>
      <c r="E85" s="102"/>
      <c r="F85" s="102"/>
      <c r="G85" s="102"/>
      <c r="H85" s="102"/>
      <c r="I85" s="102"/>
      <c r="J85" s="102"/>
      <c r="K85" s="102"/>
      <c r="L85" s="103"/>
      <c r="M85" s="101" t="s">
        <v>244</v>
      </c>
      <c r="N85" s="102"/>
      <c r="O85" s="102"/>
      <c r="P85" s="102"/>
      <c r="Q85" s="102"/>
      <c r="R85" s="102"/>
      <c r="S85" s="102"/>
      <c r="T85" s="102"/>
      <c r="U85" s="102"/>
      <c r="V85" s="102"/>
      <c r="W85" s="102"/>
      <c r="X85" s="103"/>
      <c r="Y85" s="105" t="s">
        <v>245</v>
      </c>
      <c r="Z85" s="102"/>
      <c r="AA85" s="102"/>
      <c r="AB85" s="102"/>
      <c r="AC85" s="102"/>
      <c r="AD85" s="102"/>
      <c r="AE85" s="102"/>
      <c r="AF85" s="102"/>
      <c r="AG85" s="102"/>
      <c r="AH85" s="102"/>
      <c r="AI85" s="102"/>
      <c r="AJ85" s="103"/>
    </row>
    <row r="86" spans="1:36" ht="10.9" customHeight="1" x14ac:dyDescent="0.25">
      <c r="A86" s="104" t="s">
        <v>246</v>
      </c>
      <c r="B86" s="102"/>
      <c r="C86" s="102"/>
      <c r="D86" s="102"/>
      <c r="E86" s="102"/>
      <c r="F86" s="102"/>
      <c r="G86" s="102"/>
      <c r="H86" s="102"/>
      <c r="I86" s="102"/>
      <c r="J86" s="102"/>
      <c r="K86" s="102"/>
      <c r="L86" s="103"/>
      <c r="M86" s="104" t="s">
        <v>247</v>
      </c>
      <c r="N86" s="102"/>
      <c r="O86" s="102"/>
      <c r="P86" s="102"/>
      <c r="Q86" s="102"/>
      <c r="R86" s="102"/>
      <c r="S86" s="102"/>
      <c r="T86" s="102"/>
      <c r="U86" s="102"/>
      <c r="V86" s="102"/>
      <c r="W86" s="102"/>
      <c r="X86" s="103"/>
      <c r="Y86" s="102" t="s">
        <v>248</v>
      </c>
      <c r="Z86" s="102"/>
      <c r="AA86" s="102"/>
      <c r="AB86" s="102"/>
      <c r="AC86" s="102"/>
      <c r="AD86" s="102"/>
      <c r="AE86" s="102"/>
      <c r="AF86" s="102"/>
      <c r="AG86" s="102"/>
      <c r="AH86" s="102"/>
      <c r="AI86" s="102"/>
      <c r="AJ86" s="103"/>
    </row>
    <row r="87" spans="1:36" ht="10.9" customHeight="1" x14ac:dyDescent="0.25">
      <c r="A87" s="104" t="s">
        <v>249</v>
      </c>
      <c r="B87" s="102"/>
      <c r="C87" s="102"/>
      <c r="D87" s="102"/>
      <c r="E87" s="102"/>
      <c r="F87" s="102"/>
      <c r="G87" s="102"/>
      <c r="H87" s="102"/>
      <c r="I87" s="102"/>
      <c r="J87" s="102"/>
      <c r="K87" s="102"/>
      <c r="L87" s="103"/>
      <c r="M87" s="104" t="s">
        <v>250</v>
      </c>
      <c r="N87" s="102"/>
      <c r="O87" s="102"/>
      <c r="P87" s="102"/>
      <c r="Q87" s="102"/>
      <c r="R87" s="102"/>
      <c r="S87" s="102"/>
      <c r="T87" s="102"/>
      <c r="U87" s="102"/>
      <c r="V87" s="102"/>
      <c r="W87" s="102"/>
      <c r="X87" s="103"/>
      <c r="Y87" s="102" t="s">
        <v>251</v>
      </c>
      <c r="Z87" s="102"/>
      <c r="AA87" s="102"/>
      <c r="AB87" s="102"/>
      <c r="AC87" s="102"/>
      <c r="AD87" s="102"/>
      <c r="AE87" s="102"/>
      <c r="AF87" s="102"/>
      <c r="AG87" s="102"/>
      <c r="AH87" s="102"/>
      <c r="AI87" s="102"/>
      <c r="AJ87" s="103"/>
    </row>
    <row r="88" spans="1:36" ht="10.9" customHeight="1" x14ac:dyDescent="0.25">
      <c r="A88" s="101" t="s">
        <v>252</v>
      </c>
      <c r="B88" s="102"/>
      <c r="C88" s="102"/>
      <c r="D88" s="102"/>
      <c r="E88" s="102"/>
      <c r="F88" s="102"/>
      <c r="G88" s="102"/>
      <c r="H88" s="102"/>
      <c r="I88" s="102"/>
      <c r="J88" s="102"/>
      <c r="K88" s="102"/>
      <c r="L88" s="103"/>
      <c r="M88" s="104" t="s">
        <v>253</v>
      </c>
      <c r="N88" s="102"/>
      <c r="O88" s="102"/>
      <c r="P88" s="102"/>
      <c r="Q88" s="102"/>
      <c r="R88" s="102"/>
      <c r="S88" s="102"/>
      <c r="T88" s="102"/>
      <c r="U88" s="102"/>
      <c r="V88" s="102"/>
      <c r="W88" s="102"/>
      <c r="X88" s="103"/>
      <c r="Y88" s="102" t="s">
        <v>254</v>
      </c>
      <c r="Z88" s="102"/>
      <c r="AA88" s="102"/>
      <c r="AB88" s="102"/>
      <c r="AC88" s="102"/>
      <c r="AD88" s="102"/>
      <c r="AE88" s="102"/>
      <c r="AF88" s="102"/>
      <c r="AG88" s="102"/>
      <c r="AH88" s="102"/>
      <c r="AI88" s="102"/>
      <c r="AJ88" s="103"/>
    </row>
    <row r="89" spans="1:36" ht="10.9" customHeight="1" x14ac:dyDescent="0.25">
      <c r="A89" s="104" t="s">
        <v>255</v>
      </c>
      <c r="B89" s="102"/>
      <c r="C89" s="102"/>
      <c r="D89" s="102"/>
      <c r="E89" s="102"/>
      <c r="F89" s="102"/>
      <c r="G89" s="102"/>
      <c r="H89" s="102"/>
      <c r="I89" s="102"/>
      <c r="J89" s="102"/>
      <c r="K89" s="102"/>
      <c r="L89" s="103"/>
      <c r="M89" s="101" t="s">
        <v>256</v>
      </c>
      <c r="N89" s="102"/>
      <c r="O89" s="102"/>
      <c r="P89" s="102"/>
      <c r="Q89" s="102"/>
      <c r="R89" s="102"/>
      <c r="S89" s="102"/>
      <c r="T89" s="102"/>
      <c r="U89" s="102"/>
      <c r="V89" s="102"/>
      <c r="W89" s="102"/>
      <c r="X89" s="103"/>
      <c r="Y89" s="105" t="s">
        <v>257</v>
      </c>
      <c r="Z89" s="102"/>
      <c r="AA89" s="102"/>
      <c r="AB89" s="102"/>
      <c r="AC89" s="102"/>
      <c r="AD89" s="102"/>
      <c r="AE89" s="102"/>
      <c r="AF89" s="102"/>
      <c r="AG89" s="102"/>
      <c r="AH89" s="102"/>
      <c r="AI89" s="102"/>
      <c r="AJ89" s="103"/>
    </row>
    <row r="90" spans="1:36" ht="10.9" customHeight="1" x14ac:dyDescent="0.25">
      <c r="A90" s="104" t="s">
        <v>258</v>
      </c>
      <c r="B90" s="102"/>
      <c r="C90" s="102"/>
      <c r="D90" s="102"/>
      <c r="E90" s="102"/>
      <c r="F90" s="102"/>
      <c r="G90" s="102"/>
      <c r="H90" s="102"/>
      <c r="I90" s="102"/>
      <c r="J90" s="102"/>
      <c r="K90" s="102"/>
      <c r="L90" s="103"/>
      <c r="M90" s="101" t="s">
        <v>259</v>
      </c>
      <c r="N90" s="102"/>
      <c r="O90" s="102"/>
      <c r="P90" s="102"/>
      <c r="Q90" s="102"/>
      <c r="R90" s="102"/>
      <c r="S90" s="102"/>
      <c r="T90" s="102"/>
      <c r="U90" s="102"/>
      <c r="V90" s="102"/>
      <c r="W90" s="102"/>
      <c r="X90" s="103"/>
      <c r="Y90" s="102" t="s">
        <v>260</v>
      </c>
      <c r="Z90" s="102"/>
      <c r="AA90" s="102"/>
      <c r="AB90" s="102"/>
      <c r="AC90" s="102"/>
      <c r="AD90" s="102"/>
      <c r="AE90" s="102"/>
      <c r="AF90" s="102"/>
      <c r="AG90" s="102"/>
      <c r="AH90" s="102"/>
      <c r="AI90" s="102"/>
      <c r="AJ90" s="103"/>
    </row>
    <row r="91" spans="1:36" ht="10.9" customHeight="1" x14ac:dyDescent="0.25">
      <c r="A91" s="101" t="s">
        <v>261</v>
      </c>
      <c r="B91" s="102"/>
      <c r="C91" s="102"/>
      <c r="D91" s="102"/>
      <c r="E91" s="102"/>
      <c r="F91" s="102"/>
      <c r="G91" s="102"/>
      <c r="H91" s="102"/>
      <c r="I91" s="102"/>
      <c r="J91" s="102"/>
      <c r="K91" s="102"/>
      <c r="L91" s="103"/>
      <c r="M91" s="104" t="s">
        <v>262</v>
      </c>
      <c r="N91" s="102"/>
      <c r="O91" s="102"/>
      <c r="P91" s="102"/>
      <c r="Q91" s="102"/>
      <c r="R91" s="102"/>
      <c r="S91" s="102"/>
      <c r="T91" s="102"/>
      <c r="U91" s="102"/>
      <c r="V91" s="102"/>
      <c r="W91" s="102"/>
      <c r="X91" s="103"/>
      <c r="Y91" s="102" t="s">
        <v>263</v>
      </c>
      <c r="Z91" s="102"/>
      <c r="AA91" s="102"/>
      <c r="AB91" s="102"/>
      <c r="AC91" s="102"/>
      <c r="AD91" s="102"/>
      <c r="AE91" s="102"/>
      <c r="AF91" s="102"/>
      <c r="AG91" s="102"/>
      <c r="AH91" s="102"/>
      <c r="AI91" s="102"/>
      <c r="AJ91" s="103"/>
    </row>
    <row r="92" spans="1:36" ht="10.9" customHeight="1" x14ac:dyDescent="0.25">
      <c r="A92" s="104" t="s">
        <v>264</v>
      </c>
      <c r="B92" s="102"/>
      <c r="C92" s="102"/>
      <c r="D92" s="102"/>
      <c r="E92" s="102"/>
      <c r="F92" s="102"/>
      <c r="G92" s="102"/>
      <c r="H92" s="102"/>
      <c r="I92" s="102"/>
      <c r="J92" s="102"/>
      <c r="K92" s="102"/>
      <c r="L92" s="103"/>
      <c r="M92" s="104" t="s">
        <v>265</v>
      </c>
      <c r="N92" s="105"/>
      <c r="O92" s="105"/>
      <c r="P92" s="105"/>
      <c r="Q92" s="105"/>
      <c r="R92" s="105"/>
      <c r="S92" s="105"/>
      <c r="T92" s="105"/>
      <c r="U92" s="105"/>
      <c r="V92" s="105"/>
      <c r="W92" s="105"/>
      <c r="X92" s="106"/>
      <c r="Y92" s="105" t="s">
        <v>266</v>
      </c>
      <c r="Z92" s="102"/>
      <c r="AA92" s="102"/>
      <c r="AB92" s="102"/>
      <c r="AC92" s="102"/>
      <c r="AD92" s="102"/>
      <c r="AE92" s="102"/>
      <c r="AF92" s="102"/>
      <c r="AG92" s="102"/>
      <c r="AH92" s="102"/>
      <c r="AI92" s="102"/>
      <c r="AJ92" s="103"/>
    </row>
    <row r="93" spans="1:36" ht="10.9" customHeight="1" x14ac:dyDescent="0.25">
      <c r="A93" s="104" t="s">
        <v>267</v>
      </c>
      <c r="B93" s="102"/>
      <c r="C93" s="102"/>
      <c r="D93" s="102"/>
      <c r="E93" s="102"/>
      <c r="F93" s="102"/>
      <c r="G93" s="102"/>
      <c r="H93" s="102"/>
      <c r="I93" s="102"/>
      <c r="J93" s="102"/>
      <c r="K93" s="102"/>
      <c r="L93" s="103"/>
      <c r="M93" s="104" t="s">
        <v>268</v>
      </c>
      <c r="N93" s="102"/>
      <c r="O93" s="102"/>
      <c r="P93" s="102"/>
      <c r="Q93" s="102"/>
      <c r="R93" s="102"/>
      <c r="S93" s="102"/>
      <c r="T93" s="102"/>
      <c r="U93" s="102"/>
      <c r="V93" s="102"/>
      <c r="W93" s="102"/>
      <c r="X93" s="103"/>
      <c r="Y93" s="104" t="s">
        <v>269</v>
      </c>
      <c r="Z93" s="102"/>
      <c r="AA93" s="102"/>
      <c r="AB93" s="102"/>
      <c r="AC93" s="102"/>
      <c r="AD93" s="102"/>
      <c r="AE93" s="102"/>
      <c r="AF93" s="102"/>
      <c r="AG93" s="102"/>
      <c r="AH93" s="102"/>
      <c r="AI93" s="102"/>
      <c r="AJ93" s="103"/>
    </row>
    <row r="94" spans="1:36" ht="10.9" customHeight="1" x14ac:dyDescent="0.25">
      <c r="A94" s="104" t="s">
        <v>270</v>
      </c>
      <c r="B94" s="102"/>
      <c r="C94" s="102"/>
      <c r="D94" s="102"/>
      <c r="E94" s="102"/>
      <c r="F94" s="102"/>
      <c r="G94" s="102"/>
      <c r="H94" s="102"/>
      <c r="I94" s="102"/>
      <c r="J94" s="102"/>
      <c r="K94" s="102"/>
      <c r="L94" s="103"/>
      <c r="M94" s="104" t="s">
        <v>271</v>
      </c>
      <c r="N94" s="102"/>
      <c r="O94" s="102"/>
      <c r="P94" s="102"/>
      <c r="Q94" s="102"/>
      <c r="R94" s="102"/>
      <c r="S94" s="102"/>
      <c r="T94" s="102"/>
      <c r="U94" s="102"/>
      <c r="V94" s="102"/>
      <c r="W94" s="102"/>
      <c r="X94" s="102"/>
      <c r="Y94" s="104" t="s">
        <v>272</v>
      </c>
      <c r="Z94" s="102"/>
      <c r="AA94" s="102"/>
      <c r="AB94" s="102"/>
      <c r="AC94" s="102"/>
      <c r="AD94" s="102"/>
      <c r="AE94" s="102"/>
      <c r="AF94" s="102"/>
      <c r="AG94" s="102"/>
      <c r="AH94" s="102"/>
      <c r="AI94" s="102"/>
      <c r="AJ94" s="103"/>
    </row>
    <row r="95" spans="1:36" ht="10.9" customHeight="1" x14ac:dyDescent="0.25">
      <c r="A95" s="104" t="s">
        <v>273</v>
      </c>
      <c r="B95" s="102"/>
      <c r="C95" s="102"/>
      <c r="D95" s="102"/>
      <c r="E95" s="102"/>
      <c r="F95" s="102"/>
      <c r="G95" s="102"/>
      <c r="H95" s="102"/>
      <c r="I95" s="102"/>
      <c r="J95" s="102"/>
      <c r="K95" s="102"/>
      <c r="L95" s="103"/>
      <c r="M95" s="104" t="s">
        <v>274</v>
      </c>
      <c r="N95" s="105"/>
      <c r="O95" s="102"/>
      <c r="P95" s="102"/>
      <c r="Q95" s="102"/>
      <c r="R95" s="102"/>
      <c r="S95" s="102"/>
      <c r="T95" s="102"/>
      <c r="U95" s="102"/>
      <c r="V95" s="102"/>
      <c r="W95" s="102"/>
      <c r="X95" s="102"/>
      <c r="Y95" s="104" t="s">
        <v>275</v>
      </c>
      <c r="Z95" s="102"/>
      <c r="AA95" s="102"/>
      <c r="AB95" s="102"/>
      <c r="AC95" s="102"/>
      <c r="AD95" s="102"/>
      <c r="AE95" s="102"/>
      <c r="AF95" s="102"/>
      <c r="AG95" s="102"/>
      <c r="AH95" s="102"/>
      <c r="AI95" s="102"/>
      <c r="AJ95" s="103"/>
    </row>
    <row r="96" spans="1:36" ht="10.9" customHeight="1" x14ac:dyDescent="0.25">
      <c r="A96" s="101" t="s">
        <v>276</v>
      </c>
      <c r="B96" s="102"/>
      <c r="C96" s="102"/>
      <c r="D96" s="102"/>
      <c r="E96" s="102"/>
      <c r="F96" s="102"/>
      <c r="G96" s="102"/>
      <c r="H96" s="102"/>
      <c r="I96" s="102"/>
      <c r="J96" s="102"/>
      <c r="K96" s="102"/>
      <c r="L96" s="103"/>
      <c r="M96" s="101" t="s">
        <v>277</v>
      </c>
      <c r="N96" s="102"/>
      <c r="O96" s="102"/>
      <c r="P96" s="102"/>
      <c r="Q96" s="102"/>
      <c r="R96" s="102"/>
      <c r="S96" s="102"/>
      <c r="T96" s="102"/>
      <c r="U96" s="102"/>
      <c r="V96" s="102"/>
      <c r="W96" s="102"/>
      <c r="X96" s="102"/>
      <c r="Y96" s="104" t="s">
        <v>278</v>
      </c>
      <c r="Z96" s="102"/>
      <c r="AA96" s="102"/>
      <c r="AB96" s="102"/>
      <c r="AC96" s="102"/>
      <c r="AD96" s="102"/>
      <c r="AE96" s="102"/>
      <c r="AF96" s="102"/>
      <c r="AG96" s="102"/>
      <c r="AH96" s="102"/>
      <c r="AI96" s="102"/>
      <c r="AJ96" s="103"/>
    </row>
    <row r="97" spans="1:36" ht="10.9" customHeight="1" x14ac:dyDescent="0.25">
      <c r="A97" s="101" t="s">
        <v>279</v>
      </c>
      <c r="B97" s="102"/>
      <c r="C97" s="102"/>
      <c r="D97" s="102"/>
      <c r="E97" s="102"/>
      <c r="F97" s="102"/>
      <c r="G97" s="102"/>
      <c r="H97" s="102"/>
      <c r="I97" s="102"/>
      <c r="J97" s="102"/>
      <c r="K97" s="102"/>
      <c r="L97" s="103"/>
      <c r="M97" s="104" t="s">
        <v>280</v>
      </c>
      <c r="N97" s="102"/>
      <c r="O97" s="102"/>
      <c r="P97" s="102"/>
      <c r="Q97" s="102"/>
      <c r="R97" s="102"/>
      <c r="S97" s="102"/>
      <c r="T97" s="102"/>
      <c r="U97" s="102"/>
      <c r="V97" s="102"/>
      <c r="W97" s="102"/>
      <c r="X97" s="102"/>
      <c r="Y97" s="101" t="s">
        <v>281</v>
      </c>
      <c r="Z97" s="102"/>
      <c r="AA97" s="102"/>
      <c r="AB97" s="102"/>
      <c r="AC97" s="102"/>
      <c r="AD97" s="102"/>
      <c r="AE97" s="102"/>
      <c r="AF97" s="102"/>
      <c r="AG97" s="102"/>
      <c r="AH97" s="102"/>
      <c r="AI97" s="102"/>
      <c r="AJ97" s="103"/>
    </row>
    <row r="98" spans="1:36" ht="10.9" customHeight="1" x14ac:dyDescent="0.25">
      <c r="A98" s="104" t="s">
        <v>282</v>
      </c>
      <c r="B98" s="102"/>
      <c r="C98" s="102"/>
      <c r="D98" s="102"/>
      <c r="E98" s="102"/>
      <c r="F98" s="102"/>
      <c r="G98" s="102"/>
      <c r="H98" s="102"/>
      <c r="I98" s="102"/>
      <c r="J98" s="102"/>
      <c r="K98" s="102"/>
      <c r="L98" s="103"/>
      <c r="M98" s="104" t="s">
        <v>283</v>
      </c>
      <c r="N98" s="105"/>
      <c r="O98" s="102"/>
      <c r="P98" s="102"/>
      <c r="Q98" s="102"/>
      <c r="R98" s="102"/>
      <c r="S98" s="102"/>
      <c r="T98" s="102"/>
      <c r="U98" s="102"/>
      <c r="V98" s="102"/>
      <c r="W98" s="102"/>
      <c r="X98" s="102"/>
      <c r="Y98" s="104" t="s">
        <v>284</v>
      </c>
      <c r="Z98" s="102"/>
      <c r="AA98" s="102"/>
      <c r="AB98" s="102"/>
      <c r="AC98" s="102"/>
      <c r="AD98" s="102"/>
      <c r="AE98" s="102"/>
      <c r="AF98" s="102"/>
      <c r="AG98" s="102"/>
      <c r="AH98" s="102"/>
      <c r="AI98" s="102"/>
      <c r="AJ98" s="103"/>
    </row>
    <row r="99" spans="1:36" ht="10.9" customHeight="1" x14ac:dyDescent="0.25">
      <c r="A99" s="104" t="s">
        <v>285</v>
      </c>
      <c r="B99" s="102"/>
      <c r="C99" s="102"/>
      <c r="D99" s="102"/>
      <c r="E99" s="102"/>
      <c r="F99" s="102"/>
      <c r="G99" s="102"/>
      <c r="H99" s="102"/>
      <c r="I99" s="102"/>
      <c r="J99" s="102"/>
      <c r="K99" s="102"/>
      <c r="L99" s="103"/>
      <c r="M99" s="101" t="s">
        <v>286</v>
      </c>
      <c r="N99" s="105"/>
      <c r="O99" s="102"/>
      <c r="P99" s="102"/>
      <c r="Q99" s="102"/>
      <c r="R99" s="102"/>
      <c r="S99" s="102"/>
      <c r="T99" s="102"/>
      <c r="U99" s="102"/>
      <c r="V99" s="102"/>
      <c r="W99" s="102"/>
      <c r="X99" s="102"/>
      <c r="Y99" s="104" t="s">
        <v>287</v>
      </c>
      <c r="Z99" s="102"/>
      <c r="AA99" s="102"/>
      <c r="AB99" s="102"/>
      <c r="AC99" s="102"/>
      <c r="AD99" s="102"/>
      <c r="AE99" s="102"/>
      <c r="AF99" s="102"/>
      <c r="AG99" s="102"/>
      <c r="AH99" s="102"/>
      <c r="AI99" s="102"/>
      <c r="AJ99" s="103"/>
    </row>
    <row r="100" spans="1:36" ht="10.9" customHeight="1" x14ac:dyDescent="0.25">
      <c r="A100" s="101" t="s">
        <v>288</v>
      </c>
      <c r="B100" s="102"/>
      <c r="C100" s="102"/>
      <c r="D100" s="102"/>
      <c r="E100" s="102"/>
      <c r="F100" s="102"/>
      <c r="G100" s="102"/>
      <c r="H100" s="102"/>
      <c r="I100" s="102"/>
      <c r="J100" s="102"/>
      <c r="K100" s="102"/>
      <c r="L100" s="103"/>
      <c r="M100" s="105" t="s">
        <v>289</v>
      </c>
      <c r="N100" s="102"/>
      <c r="O100" s="102"/>
      <c r="P100" s="102"/>
      <c r="Q100" s="102"/>
      <c r="R100" s="102"/>
      <c r="S100" s="102"/>
      <c r="T100" s="102"/>
      <c r="U100" s="102"/>
      <c r="V100" s="102"/>
      <c r="W100" s="102"/>
      <c r="X100" s="102"/>
      <c r="Y100" s="104" t="s">
        <v>290</v>
      </c>
      <c r="Z100" s="102"/>
      <c r="AA100" s="102"/>
      <c r="AB100" s="102"/>
      <c r="AC100" s="102"/>
      <c r="AD100" s="102"/>
      <c r="AE100" s="102"/>
      <c r="AF100" s="102"/>
      <c r="AG100" s="102"/>
      <c r="AH100" s="102"/>
      <c r="AI100" s="102"/>
      <c r="AJ100" s="103"/>
    </row>
    <row r="101" spans="1:36" ht="10.9" customHeight="1" x14ac:dyDescent="0.25">
      <c r="A101" s="104" t="s">
        <v>291</v>
      </c>
      <c r="B101" s="102"/>
      <c r="C101" s="102"/>
      <c r="D101" s="102"/>
      <c r="E101" s="102"/>
      <c r="F101" s="102"/>
      <c r="G101" s="102"/>
      <c r="H101" s="102"/>
      <c r="I101" s="102"/>
      <c r="J101" s="102"/>
      <c r="K101" s="102"/>
      <c r="L101" s="103"/>
      <c r="M101" s="102" t="s">
        <v>292</v>
      </c>
      <c r="N101" s="102"/>
      <c r="O101" s="102"/>
      <c r="P101" s="102"/>
      <c r="Q101" s="102"/>
      <c r="R101" s="102"/>
      <c r="S101" s="102"/>
      <c r="T101" s="102"/>
      <c r="U101" s="102"/>
      <c r="V101" s="102"/>
      <c r="W101" s="102"/>
      <c r="X101" s="103"/>
      <c r="Y101" s="102" t="s">
        <v>293</v>
      </c>
      <c r="Z101" s="102"/>
      <c r="AA101" s="102"/>
      <c r="AB101" s="102"/>
      <c r="AC101" s="102"/>
      <c r="AD101" s="102"/>
      <c r="AE101" s="102"/>
      <c r="AF101" s="102"/>
      <c r="AG101" s="102"/>
      <c r="AH101" s="102"/>
      <c r="AI101" s="102"/>
      <c r="AJ101" s="103"/>
    </row>
    <row r="102" spans="1:36" ht="10.9" customHeight="1" x14ac:dyDescent="0.25">
      <c r="A102" s="104" t="s">
        <v>294</v>
      </c>
      <c r="B102" s="102"/>
      <c r="C102" s="102"/>
      <c r="D102" s="102"/>
      <c r="E102" s="102"/>
      <c r="F102" s="102"/>
      <c r="G102" s="102"/>
      <c r="H102" s="102"/>
      <c r="I102" s="102"/>
      <c r="J102" s="102"/>
      <c r="K102" s="102"/>
      <c r="L102" s="103"/>
      <c r="M102" s="102" t="s">
        <v>295</v>
      </c>
      <c r="N102" s="102"/>
      <c r="O102" s="102"/>
      <c r="P102" s="102"/>
      <c r="Q102" s="102"/>
      <c r="R102" s="102"/>
      <c r="S102" s="102"/>
      <c r="T102" s="102"/>
      <c r="U102" s="102"/>
      <c r="V102" s="102"/>
      <c r="W102" s="102"/>
      <c r="X102" s="103"/>
      <c r="Y102" s="105" t="s">
        <v>296</v>
      </c>
      <c r="Z102" s="102"/>
      <c r="AA102" s="102"/>
      <c r="AB102" s="102"/>
      <c r="AC102" s="102"/>
      <c r="AD102" s="102"/>
      <c r="AE102" s="102"/>
      <c r="AF102" s="102"/>
      <c r="AG102" s="102"/>
      <c r="AH102" s="102"/>
      <c r="AI102" s="102"/>
      <c r="AJ102" s="103"/>
    </row>
    <row r="103" spans="1:36" ht="10.9" customHeight="1" x14ac:dyDescent="0.25">
      <c r="A103" s="101" t="s">
        <v>297</v>
      </c>
      <c r="B103" s="102"/>
      <c r="C103" s="102"/>
      <c r="D103" s="102"/>
      <c r="E103" s="102"/>
      <c r="F103" s="102"/>
      <c r="G103" s="102"/>
      <c r="H103" s="102"/>
      <c r="I103" s="102"/>
      <c r="J103" s="102"/>
      <c r="K103" s="102"/>
      <c r="L103" s="103"/>
      <c r="M103" s="102" t="s">
        <v>298</v>
      </c>
      <c r="N103" s="102"/>
      <c r="O103" s="102"/>
      <c r="P103" s="102"/>
      <c r="Q103" s="102"/>
      <c r="R103" s="102"/>
      <c r="S103" s="102"/>
      <c r="T103" s="102"/>
      <c r="U103" s="102"/>
      <c r="V103" s="102"/>
      <c r="W103" s="102"/>
      <c r="X103" s="103"/>
      <c r="Y103" s="102" t="s">
        <v>299</v>
      </c>
      <c r="Z103" s="102"/>
      <c r="AA103" s="102"/>
      <c r="AB103" s="102"/>
      <c r="AC103" s="102"/>
      <c r="AD103" s="102"/>
      <c r="AE103" s="102"/>
      <c r="AF103" s="102"/>
      <c r="AG103" s="102"/>
      <c r="AH103" s="102"/>
      <c r="AI103" s="102"/>
      <c r="AJ103" s="103"/>
    </row>
    <row r="104" spans="1:36" ht="10.9" customHeight="1" x14ac:dyDescent="0.25">
      <c r="A104" s="104" t="s">
        <v>300</v>
      </c>
      <c r="B104" s="102"/>
      <c r="C104" s="102"/>
      <c r="D104" s="102"/>
      <c r="E104" s="102"/>
      <c r="F104" s="102"/>
      <c r="G104" s="102"/>
      <c r="H104" s="102"/>
      <c r="I104" s="102"/>
      <c r="J104" s="102"/>
      <c r="K104" s="102"/>
      <c r="L104" s="103"/>
      <c r="M104" s="102" t="s">
        <v>301</v>
      </c>
      <c r="N104" s="102"/>
      <c r="O104" s="102"/>
      <c r="P104" s="102"/>
      <c r="Q104" s="102"/>
      <c r="R104" s="102"/>
      <c r="S104" s="102"/>
      <c r="T104" s="102"/>
      <c r="U104" s="102"/>
      <c r="V104" s="102"/>
      <c r="W104" s="102"/>
      <c r="X104" s="103"/>
      <c r="Y104" s="105" t="s">
        <v>302</v>
      </c>
      <c r="Z104" s="102"/>
      <c r="AA104" s="102"/>
      <c r="AB104" s="102"/>
      <c r="AC104" s="102"/>
      <c r="AD104" s="102"/>
      <c r="AE104" s="102"/>
      <c r="AF104" s="102"/>
      <c r="AG104" s="102"/>
      <c r="AH104" s="102"/>
      <c r="AI104" s="102"/>
      <c r="AJ104" s="103"/>
    </row>
    <row r="105" spans="1:36" ht="10.9" customHeight="1" x14ac:dyDescent="0.25">
      <c r="A105" s="104" t="s">
        <v>303</v>
      </c>
      <c r="B105" s="102"/>
      <c r="C105" s="102"/>
      <c r="D105" s="102"/>
      <c r="E105" s="102"/>
      <c r="F105" s="102"/>
      <c r="G105" s="102"/>
      <c r="H105" s="102"/>
      <c r="I105" s="102"/>
      <c r="J105" s="102"/>
      <c r="K105" s="102"/>
      <c r="L105" s="103"/>
      <c r="M105" s="105" t="s">
        <v>304</v>
      </c>
      <c r="N105" s="102"/>
      <c r="O105" s="102"/>
      <c r="P105" s="102"/>
      <c r="Q105" s="102"/>
      <c r="R105" s="102"/>
      <c r="S105" s="102"/>
      <c r="T105" s="102"/>
      <c r="U105" s="102"/>
      <c r="V105" s="102"/>
      <c r="W105" s="102"/>
      <c r="X105" s="103"/>
      <c r="Y105" s="102" t="s">
        <v>305</v>
      </c>
      <c r="Z105" s="102"/>
      <c r="AA105" s="102"/>
      <c r="AB105" s="102"/>
      <c r="AC105" s="102"/>
      <c r="AD105" s="102"/>
      <c r="AE105" s="102"/>
      <c r="AF105" s="102"/>
      <c r="AG105" s="102"/>
      <c r="AH105" s="102"/>
      <c r="AI105" s="102"/>
      <c r="AJ105" s="103"/>
    </row>
    <row r="106" spans="1:36" ht="10.9" customHeight="1" x14ac:dyDescent="0.25">
      <c r="A106" s="101" t="s">
        <v>306</v>
      </c>
      <c r="B106" s="102"/>
      <c r="C106" s="102"/>
      <c r="D106" s="102"/>
      <c r="E106" s="102"/>
      <c r="F106" s="102"/>
      <c r="G106" s="102"/>
      <c r="H106" s="102"/>
      <c r="I106" s="102"/>
      <c r="J106" s="102"/>
      <c r="K106" s="102"/>
      <c r="L106" s="103"/>
      <c r="M106" s="105" t="s">
        <v>307</v>
      </c>
      <c r="N106" s="102"/>
      <c r="O106" s="102"/>
      <c r="P106" s="102"/>
      <c r="Q106" s="102"/>
      <c r="R106" s="102"/>
      <c r="S106" s="102"/>
      <c r="T106" s="102"/>
      <c r="U106" s="102"/>
      <c r="V106" s="102"/>
      <c r="W106" s="102"/>
      <c r="X106" s="103"/>
      <c r="Y106" s="102" t="s">
        <v>308</v>
      </c>
      <c r="Z106" s="102"/>
      <c r="AA106" s="102"/>
      <c r="AB106" s="102"/>
      <c r="AC106" s="102"/>
      <c r="AD106" s="102"/>
      <c r="AE106" s="102"/>
      <c r="AF106" s="102"/>
      <c r="AG106" s="102"/>
      <c r="AH106" s="102"/>
      <c r="AI106" s="102"/>
      <c r="AJ106" s="103"/>
    </row>
    <row r="107" spans="1:36" ht="10.9" customHeight="1" x14ac:dyDescent="0.25">
      <c r="A107" s="101" t="s">
        <v>309</v>
      </c>
      <c r="B107" s="102"/>
      <c r="C107" s="102"/>
      <c r="D107" s="102"/>
      <c r="E107" s="102"/>
      <c r="F107" s="102"/>
      <c r="G107" s="102"/>
      <c r="H107" s="102"/>
      <c r="I107" s="102"/>
      <c r="J107" s="102"/>
      <c r="K107" s="102"/>
      <c r="L107" s="103"/>
      <c r="M107" s="105" t="s">
        <v>310</v>
      </c>
      <c r="N107" s="102"/>
      <c r="O107" s="102"/>
      <c r="P107" s="102"/>
      <c r="Q107" s="102"/>
      <c r="R107" s="102"/>
      <c r="S107" s="102"/>
      <c r="T107" s="102"/>
      <c r="U107" s="102"/>
      <c r="V107" s="102"/>
      <c r="W107" s="102"/>
      <c r="X107" s="103"/>
      <c r="Y107" s="102" t="s">
        <v>311</v>
      </c>
      <c r="Z107" s="102"/>
      <c r="AA107" s="102"/>
      <c r="AB107" s="102"/>
      <c r="AC107" s="102"/>
      <c r="AD107" s="102"/>
      <c r="AE107" s="102"/>
      <c r="AF107" s="102"/>
      <c r="AG107" s="102"/>
      <c r="AH107" s="102"/>
      <c r="AI107" s="102"/>
      <c r="AJ107" s="103"/>
    </row>
    <row r="108" spans="1:36" ht="10.9" customHeight="1" x14ac:dyDescent="0.25">
      <c r="A108" s="104" t="s">
        <v>312</v>
      </c>
      <c r="B108" s="102"/>
      <c r="C108" s="102"/>
      <c r="D108" s="102"/>
      <c r="E108" s="102"/>
      <c r="F108" s="102"/>
      <c r="G108" s="102"/>
      <c r="H108" s="102"/>
      <c r="I108" s="102"/>
      <c r="J108" s="102"/>
      <c r="K108" s="102"/>
      <c r="L108" s="103"/>
      <c r="M108" s="105" t="s">
        <v>313</v>
      </c>
      <c r="N108" s="102"/>
      <c r="O108" s="102"/>
      <c r="P108" s="102"/>
      <c r="Q108" s="102"/>
      <c r="R108" s="102"/>
      <c r="S108" s="102"/>
      <c r="T108" s="102"/>
      <c r="U108" s="102"/>
      <c r="V108" s="102"/>
      <c r="W108" s="102"/>
      <c r="X108" s="103"/>
      <c r="Y108" s="105" t="s">
        <v>314</v>
      </c>
      <c r="Z108" s="102"/>
      <c r="AA108" s="102"/>
      <c r="AB108" s="102"/>
      <c r="AC108" s="102"/>
      <c r="AD108" s="102"/>
      <c r="AE108" s="102"/>
      <c r="AF108" s="102"/>
      <c r="AG108" s="102"/>
      <c r="AH108" s="102"/>
      <c r="AI108" s="102"/>
      <c r="AJ108" s="103"/>
    </row>
    <row r="109" spans="1:36" ht="10.9" customHeight="1" x14ac:dyDescent="0.25">
      <c r="A109" s="104" t="s">
        <v>315</v>
      </c>
      <c r="B109" s="102"/>
      <c r="C109" s="102"/>
      <c r="D109" s="102"/>
      <c r="E109" s="102"/>
      <c r="F109" s="102"/>
      <c r="G109" s="102"/>
      <c r="H109" s="102"/>
      <c r="I109" s="102"/>
      <c r="J109" s="102"/>
      <c r="K109" s="102"/>
      <c r="L109" s="103"/>
      <c r="M109" s="102" t="s">
        <v>316</v>
      </c>
      <c r="N109" s="102"/>
      <c r="O109" s="102"/>
      <c r="P109" s="102"/>
      <c r="Q109" s="102"/>
      <c r="R109" s="102"/>
      <c r="S109" s="102"/>
      <c r="T109" s="102"/>
      <c r="U109" s="102"/>
      <c r="V109" s="102"/>
      <c r="W109" s="102"/>
      <c r="X109" s="103"/>
      <c r="Y109" s="102" t="s">
        <v>317</v>
      </c>
      <c r="Z109" s="102"/>
      <c r="AA109" s="102"/>
      <c r="AB109" s="102"/>
      <c r="AC109" s="102"/>
      <c r="AD109" s="102"/>
      <c r="AE109" s="102"/>
      <c r="AF109" s="102"/>
      <c r="AG109" s="102"/>
      <c r="AH109" s="102"/>
      <c r="AI109" s="102"/>
      <c r="AJ109" s="103"/>
    </row>
    <row r="110" spans="1:36" ht="10.9" customHeight="1" x14ac:dyDescent="0.25">
      <c r="A110" s="104" t="s">
        <v>318</v>
      </c>
      <c r="B110" s="102"/>
      <c r="C110" s="102"/>
      <c r="D110" s="102"/>
      <c r="E110" s="102"/>
      <c r="F110" s="102"/>
      <c r="G110" s="102"/>
      <c r="H110" s="102"/>
      <c r="I110" s="102"/>
      <c r="J110" s="102"/>
      <c r="K110" s="102"/>
      <c r="L110" s="103"/>
      <c r="M110" s="102" t="s">
        <v>319</v>
      </c>
      <c r="N110" s="102"/>
      <c r="O110" s="102"/>
      <c r="P110" s="102"/>
      <c r="Q110" s="102"/>
      <c r="R110" s="102"/>
      <c r="S110" s="102"/>
      <c r="T110" s="102"/>
      <c r="U110" s="102"/>
      <c r="V110" s="102"/>
      <c r="W110" s="102"/>
      <c r="X110" s="103"/>
      <c r="Y110" s="102" t="s">
        <v>320</v>
      </c>
      <c r="Z110" s="102"/>
      <c r="AA110" s="102"/>
      <c r="AB110" s="102"/>
      <c r="AC110" s="102"/>
      <c r="AD110" s="102"/>
      <c r="AE110" s="102"/>
      <c r="AF110" s="102"/>
      <c r="AG110" s="102"/>
      <c r="AH110" s="102"/>
      <c r="AI110" s="102"/>
      <c r="AJ110" s="103"/>
    </row>
    <row r="111" spans="1:36" ht="10.9" customHeight="1" x14ac:dyDescent="0.25">
      <c r="A111" s="101" t="s">
        <v>321</v>
      </c>
      <c r="B111" s="102"/>
      <c r="C111" s="102"/>
      <c r="D111" s="102"/>
      <c r="E111" s="102"/>
      <c r="F111" s="102"/>
      <c r="G111" s="102"/>
      <c r="H111" s="102"/>
      <c r="I111" s="102"/>
      <c r="J111" s="102"/>
      <c r="K111" s="102"/>
      <c r="L111" s="103"/>
      <c r="M111" s="102" t="s">
        <v>322</v>
      </c>
      <c r="N111" s="102"/>
      <c r="O111" s="102"/>
      <c r="P111" s="102"/>
      <c r="Q111" s="102"/>
      <c r="R111" s="102"/>
      <c r="S111" s="102"/>
      <c r="T111" s="102"/>
      <c r="U111" s="102"/>
      <c r="V111" s="102"/>
      <c r="W111" s="102"/>
      <c r="X111" s="103"/>
      <c r="Y111" s="102" t="s">
        <v>323</v>
      </c>
      <c r="Z111" s="102"/>
      <c r="AA111" s="102"/>
      <c r="AB111" s="102"/>
      <c r="AC111" s="102"/>
      <c r="AD111" s="102"/>
      <c r="AE111" s="102"/>
      <c r="AF111" s="102"/>
      <c r="AG111" s="102"/>
      <c r="AH111" s="102"/>
      <c r="AI111" s="102"/>
      <c r="AJ111" s="103"/>
    </row>
    <row r="112" spans="1:36" ht="10.9" customHeight="1" x14ac:dyDescent="0.25">
      <c r="A112" s="104" t="s">
        <v>324</v>
      </c>
      <c r="B112" s="102"/>
      <c r="C112" s="102"/>
      <c r="D112" s="102"/>
      <c r="E112" s="102"/>
      <c r="F112" s="102"/>
      <c r="G112" s="102"/>
      <c r="H112" s="102"/>
      <c r="I112" s="102"/>
      <c r="J112" s="102"/>
      <c r="K112" s="102"/>
      <c r="L112" s="103"/>
      <c r="M112" s="102" t="s">
        <v>325</v>
      </c>
      <c r="N112" s="102"/>
      <c r="O112" s="102"/>
      <c r="P112" s="102"/>
      <c r="Q112" s="102"/>
      <c r="R112" s="102"/>
      <c r="S112" s="102"/>
      <c r="T112" s="102"/>
      <c r="U112" s="102"/>
      <c r="V112" s="102"/>
      <c r="W112" s="102"/>
      <c r="X112" s="103"/>
      <c r="Y112" s="102" t="s">
        <v>326</v>
      </c>
      <c r="Z112" s="102"/>
      <c r="AA112" s="102"/>
      <c r="AB112" s="102"/>
      <c r="AC112" s="102"/>
      <c r="AD112" s="102"/>
      <c r="AE112" s="102"/>
      <c r="AF112" s="102"/>
      <c r="AG112" s="102"/>
      <c r="AH112" s="102"/>
      <c r="AI112" s="102"/>
      <c r="AJ112" s="103"/>
    </row>
    <row r="113" spans="1:36" ht="10.9" customHeight="1" x14ac:dyDescent="0.25">
      <c r="A113" s="101" t="s">
        <v>327</v>
      </c>
      <c r="B113" s="102"/>
      <c r="C113" s="102"/>
      <c r="D113" s="102"/>
      <c r="E113" s="102"/>
      <c r="F113" s="102"/>
      <c r="G113" s="102"/>
      <c r="H113" s="102"/>
      <c r="I113" s="102"/>
      <c r="J113" s="102"/>
      <c r="K113" s="102"/>
      <c r="L113" s="103"/>
      <c r="M113" s="105" t="s">
        <v>328</v>
      </c>
      <c r="N113" s="102"/>
      <c r="O113" s="102"/>
      <c r="P113" s="102"/>
      <c r="Q113" s="102"/>
      <c r="R113" s="102"/>
      <c r="S113" s="102"/>
      <c r="T113" s="102"/>
      <c r="U113" s="102"/>
      <c r="V113" s="102"/>
      <c r="W113" s="102"/>
      <c r="X113" s="103"/>
      <c r="Y113" s="102" t="s">
        <v>329</v>
      </c>
      <c r="Z113" s="102"/>
      <c r="AA113" s="102"/>
      <c r="AB113" s="102"/>
      <c r="AC113" s="102"/>
      <c r="AD113" s="102"/>
      <c r="AE113" s="102"/>
      <c r="AF113" s="102"/>
      <c r="AG113" s="102"/>
      <c r="AH113" s="102"/>
      <c r="AI113" s="102"/>
      <c r="AJ113" s="103"/>
    </row>
    <row r="114" spans="1:36" ht="10.9" customHeight="1" x14ac:dyDescent="0.25">
      <c r="A114" s="101" t="s">
        <v>330</v>
      </c>
      <c r="B114" s="102"/>
      <c r="C114" s="102"/>
      <c r="D114" s="102"/>
      <c r="E114" s="102"/>
      <c r="F114" s="102"/>
      <c r="G114" s="102"/>
      <c r="H114" s="102"/>
      <c r="I114" s="102"/>
      <c r="J114" s="102"/>
      <c r="K114" s="102"/>
      <c r="L114" s="103"/>
      <c r="M114" s="102" t="s">
        <v>331</v>
      </c>
      <c r="N114" s="102"/>
      <c r="O114" s="102"/>
      <c r="P114" s="102"/>
      <c r="Q114" s="102"/>
      <c r="R114" s="102"/>
      <c r="S114" s="102"/>
      <c r="T114" s="102"/>
      <c r="U114" s="102"/>
      <c r="V114" s="102"/>
      <c r="W114" s="102"/>
      <c r="X114" s="103"/>
      <c r="Y114" s="102" t="s">
        <v>332</v>
      </c>
      <c r="Z114" s="102"/>
      <c r="AA114" s="102"/>
      <c r="AB114" s="102"/>
      <c r="AC114" s="102"/>
      <c r="AD114" s="102"/>
      <c r="AE114" s="102"/>
      <c r="AF114" s="102"/>
      <c r="AG114" s="102"/>
      <c r="AH114" s="102"/>
      <c r="AI114" s="102"/>
      <c r="AJ114" s="103"/>
    </row>
    <row r="115" spans="1:36" ht="10.9" customHeight="1" x14ac:dyDescent="0.25">
      <c r="A115" s="104" t="s">
        <v>333</v>
      </c>
      <c r="B115" s="102"/>
      <c r="C115" s="102"/>
      <c r="D115" s="102"/>
      <c r="E115" s="102"/>
      <c r="F115" s="102"/>
      <c r="G115" s="102"/>
      <c r="H115" s="102"/>
      <c r="I115" s="102"/>
      <c r="J115" s="102"/>
      <c r="K115" s="102"/>
      <c r="L115" s="103"/>
      <c r="M115" s="102" t="s">
        <v>334</v>
      </c>
      <c r="N115" s="102"/>
      <c r="O115" s="102"/>
      <c r="P115" s="102"/>
      <c r="Q115" s="102"/>
      <c r="R115" s="102"/>
      <c r="S115" s="102"/>
      <c r="T115" s="102"/>
      <c r="U115" s="102"/>
      <c r="V115" s="102"/>
      <c r="W115" s="102"/>
      <c r="X115" s="103"/>
      <c r="Y115" s="102" t="s">
        <v>335</v>
      </c>
      <c r="Z115" s="102"/>
      <c r="AA115" s="102"/>
      <c r="AB115" s="102"/>
      <c r="AC115" s="102"/>
      <c r="AD115" s="102"/>
      <c r="AE115" s="102"/>
      <c r="AF115" s="102"/>
      <c r="AG115" s="102"/>
      <c r="AH115" s="102"/>
      <c r="AI115" s="102"/>
      <c r="AJ115" s="103"/>
    </row>
    <row r="116" spans="1:36" ht="10.9" customHeight="1" x14ac:dyDescent="0.25">
      <c r="A116" s="104" t="s">
        <v>336</v>
      </c>
      <c r="B116" s="102"/>
      <c r="C116" s="102"/>
      <c r="D116" s="102"/>
      <c r="E116" s="102"/>
      <c r="F116" s="102"/>
      <c r="G116" s="102"/>
      <c r="H116" s="102"/>
      <c r="I116" s="102"/>
      <c r="J116" s="102"/>
      <c r="K116" s="102"/>
      <c r="L116" s="103"/>
      <c r="M116" s="102" t="s">
        <v>233</v>
      </c>
      <c r="N116" s="102"/>
      <c r="O116" s="102"/>
      <c r="P116" s="102"/>
      <c r="Q116" s="102"/>
      <c r="R116" s="102"/>
      <c r="S116" s="102"/>
      <c r="T116" s="102"/>
      <c r="U116" s="102"/>
      <c r="V116" s="102"/>
      <c r="W116" s="102"/>
      <c r="X116" s="103"/>
      <c r="Y116" s="101" t="s">
        <v>337</v>
      </c>
      <c r="Z116" s="102"/>
      <c r="AA116" s="102"/>
      <c r="AB116" s="102"/>
      <c r="AC116" s="102"/>
      <c r="AD116" s="102"/>
      <c r="AE116" s="102"/>
      <c r="AF116" s="102"/>
      <c r="AG116" s="102"/>
      <c r="AH116" s="102"/>
      <c r="AI116" s="102"/>
      <c r="AJ116" s="103"/>
    </row>
    <row r="117" spans="1:36" ht="10.9" customHeight="1" x14ac:dyDescent="0.25">
      <c r="A117" s="104" t="s">
        <v>338</v>
      </c>
      <c r="B117" s="102"/>
      <c r="C117" s="102"/>
      <c r="D117" s="102"/>
      <c r="E117" s="102"/>
      <c r="F117" s="102"/>
      <c r="G117" s="102"/>
      <c r="H117" s="102"/>
      <c r="I117" s="102"/>
      <c r="J117" s="102"/>
      <c r="K117" s="102"/>
      <c r="L117" s="103"/>
      <c r="M117" s="105" t="s">
        <v>339</v>
      </c>
      <c r="N117" s="102"/>
      <c r="O117" s="102"/>
      <c r="P117" s="102"/>
      <c r="Q117" s="102"/>
      <c r="R117" s="102"/>
      <c r="S117" s="102"/>
      <c r="T117" s="102"/>
      <c r="U117" s="102"/>
      <c r="V117" s="102"/>
      <c r="W117" s="102"/>
      <c r="X117" s="103"/>
      <c r="Y117" s="105" t="s">
        <v>340</v>
      </c>
      <c r="Z117" s="102"/>
      <c r="AA117" s="102"/>
      <c r="AB117" s="102"/>
      <c r="AC117" s="102"/>
      <c r="AD117" s="102"/>
      <c r="AE117" s="102"/>
      <c r="AF117" s="102"/>
      <c r="AG117" s="102"/>
      <c r="AH117" s="102"/>
      <c r="AI117" s="102"/>
      <c r="AJ117" s="103"/>
    </row>
    <row r="118" spans="1:36" ht="10.9" customHeight="1" x14ac:dyDescent="0.25">
      <c r="A118" s="104" t="s">
        <v>341</v>
      </c>
      <c r="B118" s="102"/>
      <c r="C118" s="102"/>
      <c r="D118" s="102"/>
      <c r="E118" s="102"/>
      <c r="F118" s="102"/>
      <c r="G118" s="102"/>
      <c r="H118" s="102"/>
      <c r="I118" s="102"/>
      <c r="J118" s="102"/>
      <c r="K118" s="102"/>
      <c r="L118" s="103"/>
      <c r="M118" s="102" t="s">
        <v>342</v>
      </c>
      <c r="N118" s="102"/>
      <c r="O118" s="102"/>
      <c r="P118" s="102"/>
      <c r="Q118" s="102"/>
      <c r="R118" s="102"/>
      <c r="S118" s="102"/>
      <c r="T118" s="102"/>
      <c r="U118" s="102"/>
      <c r="V118" s="102"/>
      <c r="W118" s="102"/>
      <c r="X118" s="103"/>
      <c r="Y118" s="102" t="s">
        <v>343</v>
      </c>
      <c r="Z118" s="105"/>
      <c r="AA118" s="105"/>
      <c r="AB118" s="105"/>
      <c r="AC118" s="105"/>
      <c r="AD118" s="105"/>
      <c r="AE118" s="105"/>
      <c r="AF118" s="105"/>
      <c r="AG118" s="105"/>
      <c r="AH118" s="105"/>
      <c r="AI118" s="105"/>
      <c r="AJ118" s="106"/>
    </row>
    <row r="119" spans="1:36" ht="10.9" customHeight="1" x14ac:dyDescent="0.25">
      <c r="A119" s="104" t="s">
        <v>344</v>
      </c>
      <c r="B119" s="102"/>
      <c r="C119" s="102"/>
      <c r="D119" s="102"/>
      <c r="E119" s="102"/>
      <c r="F119" s="102"/>
      <c r="G119" s="102"/>
      <c r="H119" s="102"/>
      <c r="I119" s="102"/>
      <c r="J119" s="102"/>
      <c r="K119" s="102"/>
      <c r="L119" s="103"/>
      <c r="M119" s="102" t="s">
        <v>345</v>
      </c>
      <c r="N119" s="102"/>
      <c r="O119" s="102"/>
      <c r="P119" s="102"/>
      <c r="Q119" s="102"/>
      <c r="R119" s="102"/>
      <c r="S119" s="102"/>
      <c r="T119" s="102"/>
      <c r="U119" s="102"/>
      <c r="V119" s="102"/>
      <c r="W119" s="102"/>
      <c r="X119" s="103"/>
      <c r="Y119" s="102" t="s">
        <v>346</v>
      </c>
      <c r="Z119" s="102"/>
      <c r="AA119" s="102"/>
      <c r="AB119" s="102"/>
      <c r="AC119" s="102"/>
      <c r="AD119" s="102"/>
      <c r="AE119" s="102"/>
      <c r="AF119" s="102"/>
      <c r="AG119" s="102"/>
      <c r="AH119" s="102"/>
      <c r="AI119" s="102"/>
      <c r="AJ119" s="103"/>
    </row>
    <row r="120" spans="1:36" ht="10.9" customHeight="1" x14ac:dyDescent="0.25">
      <c r="A120" s="101" t="s">
        <v>347</v>
      </c>
      <c r="B120" s="102"/>
      <c r="C120" s="102"/>
      <c r="D120" s="102"/>
      <c r="E120" s="102"/>
      <c r="F120" s="102"/>
      <c r="G120" s="102"/>
      <c r="H120" s="102"/>
      <c r="I120" s="102"/>
      <c r="J120" s="102"/>
      <c r="K120" s="102"/>
      <c r="L120" s="103"/>
      <c r="M120" s="105" t="s">
        <v>348</v>
      </c>
      <c r="N120" s="102"/>
      <c r="O120" s="102"/>
      <c r="P120" s="102"/>
      <c r="Q120" s="102"/>
      <c r="R120" s="102"/>
      <c r="S120" s="102"/>
      <c r="T120" s="102"/>
      <c r="U120" s="102"/>
      <c r="V120" s="102"/>
      <c r="W120" s="102"/>
      <c r="X120" s="103"/>
      <c r="Y120" s="105" t="s">
        <v>349</v>
      </c>
      <c r="Z120" s="102"/>
      <c r="AA120" s="102"/>
      <c r="AB120" s="102"/>
      <c r="AC120" s="102"/>
      <c r="AD120" s="102"/>
      <c r="AE120" s="102"/>
      <c r="AF120" s="102"/>
      <c r="AG120" s="102"/>
      <c r="AH120" s="102"/>
      <c r="AI120" s="102"/>
      <c r="AJ120" s="103"/>
    </row>
    <row r="121" spans="1:36" ht="10.9" customHeight="1" x14ac:dyDescent="0.25">
      <c r="A121" s="104" t="s">
        <v>350</v>
      </c>
      <c r="B121" s="102"/>
      <c r="C121" s="102"/>
      <c r="D121" s="102"/>
      <c r="E121" s="102"/>
      <c r="F121" s="102"/>
      <c r="G121" s="102"/>
      <c r="H121" s="102"/>
      <c r="I121" s="102"/>
      <c r="J121" s="102"/>
      <c r="K121" s="102"/>
      <c r="L121" s="103"/>
      <c r="M121" s="105" t="s">
        <v>351</v>
      </c>
      <c r="N121" s="102"/>
      <c r="O121" s="102"/>
      <c r="P121" s="102"/>
      <c r="Q121" s="102"/>
      <c r="R121" s="102"/>
      <c r="S121" s="102"/>
      <c r="T121" s="102"/>
      <c r="U121" s="102"/>
      <c r="V121" s="102"/>
      <c r="W121" s="102"/>
      <c r="X121" s="103"/>
      <c r="Y121" s="102" t="s">
        <v>352</v>
      </c>
      <c r="Z121" s="102"/>
      <c r="AA121" s="102"/>
      <c r="AB121" s="102"/>
      <c r="AC121" s="102"/>
      <c r="AD121" s="102"/>
      <c r="AE121" s="102"/>
      <c r="AF121" s="102"/>
      <c r="AG121" s="102"/>
      <c r="AH121" s="102"/>
      <c r="AI121" s="102"/>
      <c r="AJ121" s="103"/>
    </row>
    <row r="122" spans="1:36" ht="10.9" customHeight="1" x14ac:dyDescent="0.25">
      <c r="A122" s="104" t="s">
        <v>353</v>
      </c>
      <c r="B122" s="102"/>
      <c r="C122" s="102"/>
      <c r="D122" s="102"/>
      <c r="E122" s="102"/>
      <c r="F122" s="102"/>
      <c r="G122" s="102"/>
      <c r="H122" s="102"/>
      <c r="I122" s="102"/>
      <c r="J122" s="102"/>
      <c r="K122" s="102"/>
      <c r="L122" s="103"/>
      <c r="M122" s="102" t="s">
        <v>354</v>
      </c>
      <c r="N122" s="102"/>
      <c r="O122" s="102"/>
      <c r="P122" s="102"/>
      <c r="Q122" s="102"/>
      <c r="R122" s="102"/>
      <c r="S122" s="102"/>
      <c r="T122" s="102"/>
      <c r="U122" s="102"/>
      <c r="V122" s="102"/>
      <c r="W122" s="102"/>
      <c r="X122" s="103"/>
      <c r="Y122" s="102"/>
      <c r="Z122" s="102"/>
      <c r="AA122" s="102"/>
      <c r="AB122" s="102"/>
      <c r="AC122" s="102"/>
      <c r="AD122" s="102"/>
      <c r="AE122" s="102"/>
      <c r="AF122" s="102"/>
      <c r="AG122" s="102"/>
      <c r="AH122" s="102"/>
      <c r="AI122" s="102"/>
      <c r="AJ122" s="103"/>
    </row>
    <row r="123" spans="1:36" ht="10.9" customHeight="1" x14ac:dyDescent="0.25">
      <c r="A123" s="104" t="s">
        <v>355</v>
      </c>
      <c r="B123" s="102"/>
      <c r="C123" s="102"/>
      <c r="D123" s="102"/>
      <c r="E123" s="102"/>
      <c r="F123" s="102"/>
      <c r="G123" s="102"/>
      <c r="H123" s="102"/>
      <c r="I123" s="102"/>
      <c r="J123" s="102"/>
      <c r="K123" s="102"/>
      <c r="L123" s="103"/>
      <c r="M123" s="102" t="s">
        <v>356</v>
      </c>
      <c r="N123" s="102"/>
      <c r="O123" s="102"/>
      <c r="P123" s="102"/>
      <c r="Q123" s="102"/>
      <c r="R123" s="102"/>
      <c r="S123" s="102"/>
      <c r="T123" s="102"/>
      <c r="U123" s="102"/>
      <c r="V123" s="102"/>
      <c r="W123" s="102"/>
      <c r="X123" s="103"/>
      <c r="Y123" s="102"/>
      <c r="Z123" s="102"/>
      <c r="AA123" s="102"/>
      <c r="AB123" s="102"/>
      <c r="AC123" s="102"/>
      <c r="AD123" s="102"/>
      <c r="AE123" s="102"/>
      <c r="AF123" s="102"/>
      <c r="AG123" s="102"/>
      <c r="AH123" s="102"/>
      <c r="AI123" s="102"/>
      <c r="AJ123" s="103"/>
    </row>
    <row r="124" spans="1:36" ht="10.9" customHeight="1" x14ac:dyDescent="0.25">
      <c r="A124" s="104" t="s">
        <v>357</v>
      </c>
      <c r="B124" s="102"/>
      <c r="C124" s="102"/>
      <c r="D124" s="102"/>
      <c r="E124" s="102"/>
      <c r="F124" s="102"/>
      <c r="G124" s="102"/>
      <c r="H124" s="102"/>
      <c r="I124" s="102"/>
      <c r="J124" s="102"/>
      <c r="K124" s="102"/>
      <c r="L124" s="103"/>
      <c r="M124" s="102" t="s">
        <v>358</v>
      </c>
      <c r="N124" s="102"/>
      <c r="O124" s="102"/>
      <c r="P124" s="102"/>
      <c r="Q124" s="102"/>
      <c r="R124" s="102"/>
      <c r="S124" s="102"/>
      <c r="T124" s="102"/>
      <c r="U124" s="102"/>
      <c r="V124" s="102"/>
      <c r="W124" s="102"/>
      <c r="X124" s="103"/>
      <c r="Y124" s="102"/>
      <c r="Z124" s="102"/>
      <c r="AA124" s="102"/>
      <c r="AB124" s="102"/>
      <c r="AC124" s="102"/>
      <c r="AD124" s="102"/>
      <c r="AE124" s="102"/>
      <c r="AF124" s="102"/>
      <c r="AG124" s="102"/>
      <c r="AH124" s="102"/>
      <c r="AI124" s="102"/>
      <c r="AJ124" s="103"/>
    </row>
    <row r="125" spans="1:36" ht="10.9" customHeight="1" x14ac:dyDescent="0.25">
      <c r="A125" s="107" t="s">
        <v>359</v>
      </c>
      <c r="B125" s="108"/>
      <c r="C125" s="108"/>
      <c r="D125" s="108"/>
      <c r="E125" s="108"/>
      <c r="F125" s="108"/>
      <c r="G125" s="108"/>
      <c r="H125" s="108"/>
      <c r="I125" s="108"/>
      <c r="J125" s="108"/>
      <c r="K125" s="108"/>
      <c r="L125" s="109"/>
      <c r="M125" s="108" t="s">
        <v>360</v>
      </c>
      <c r="N125" s="108"/>
      <c r="O125" s="108"/>
      <c r="P125" s="108"/>
      <c r="Q125" s="108"/>
      <c r="R125" s="108"/>
      <c r="S125" s="108"/>
      <c r="T125" s="108"/>
      <c r="U125" s="108"/>
      <c r="V125" s="108"/>
      <c r="W125" s="108"/>
      <c r="X125" s="109"/>
      <c r="Y125" s="108"/>
      <c r="Z125" s="108"/>
      <c r="AA125" s="108"/>
      <c r="AB125" s="108"/>
      <c r="AC125" s="108"/>
      <c r="AD125" s="108"/>
      <c r="AE125" s="108"/>
      <c r="AF125" s="108"/>
      <c r="AG125" s="108"/>
      <c r="AH125" s="108"/>
      <c r="AI125" s="108"/>
      <c r="AJ125" s="109"/>
    </row>
    <row r="126" spans="1:36" ht="7.9" customHeight="1" x14ac:dyDescent="0.25">
      <c r="A126" s="110"/>
      <c r="B126" s="111"/>
      <c r="C126" s="111"/>
      <c r="D126" s="111"/>
      <c r="E126" s="111"/>
      <c r="F126" s="111"/>
      <c r="G126" s="111"/>
      <c r="H126" s="111"/>
      <c r="I126" s="111"/>
      <c r="J126" s="111"/>
      <c r="K126" s="111"/>
      <c r="L126" s="111"/>
      <c r="M126" s="110"/>
      <c r="N126" s="111"/>
      <c r="O126" s="111"/>
      <c r="P126" s="111"/>
      <c r="Q126" s="111"/>
      <c r="R126" s="111"/>
      <c r="S126" s="111"/>
      <c r="T126" s="111"/>
      <c r="U126" s="111"/>
      <c r="V126" s="111"/>
      <c r="W126" s="111"/>
      <c r="X126" s="111"/>
      <c r="Y126" s="110"/>
      <c r="Z126" s="111"/>
      <c r="AA126" s="111"/>
      <c r="AB126" s="111"/>
      <c r="AC126" s="111"/>
      <c r="AD126" s="111"/>
      <c r="AE126" s="111"/>
      <c r="AF126" s="111"/>
      <c r="AG126" s="111"/>
      <c r="AH126" s="111"/>
      <c r="AI126" s="111"/>
      <c r="AJ126" s="110"/>
    </row>
  </sheetData>
  <mergeCells count="8">
    <mergeCell ref="A53:AJ53"/>
    <mergeCell ref="A54:AJ54"/>
    <mergeCell ref="A3:AJ3"/>
    <mergeCell ref="S5:AH5"/>
    <mergeCell ref="A6:R6"/>
    <mergeCell ref="S6:AJ6"/>
    <mergeCell ref="A30:R30"/>
    <mergeCell ref="A51:AI5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6317-9708-402C-953D-008E48345B6E}">
  <dimension ref="A1:S61"/>
  <sheetViews>
    <sheetView workbookViewId="0">
      <selection activeCell="G15" sqref="A1:XFD1048576"/>
    </sheetView>
  </sheetViews>
  <sheetFormatPr baseColWidth="10" defaultRowHeight="15" x14ac:dyDescent="0.25"/>
  <cols>
    <col min="1" max="1" width="3.28515625" customWidth="1"/>
    <col min="2" max="2" width="4.28515625" customWidth="1"/>
    <col min="3" max="3" width="6.7109375" customWidth="1"/>
    <col min="4" max="7" width="5.7109375" customWidth="1"/>
    <col min="8" max="8" width="3.7109375" customWidth="1"/>
    <col min="9" max="9" width="5.7109375" customWidth="1"/>
    <col min="10" max="11" width="6.7109375" customWidth="1"/>
    <col min="12" max="13" width="6" customWidth="1"/>
    <col min="14" max="17" width="5.7109375" customWidth="1"/>
    <col min="18" max="18" width="6.7109375" customWidth="1"/>
    <col min="19" max="19" width="1.7109375" customWidth="1"/>
  </cols>
  <sheetData>
    <row r="1" spans="1:19" x14ac:dyDescent="0.25">
      <c r="A1" s="695" t="s">
        <v>361</v>
      </c>
      <c r="B1" s="695"/>
      <c r="C1" s="695"/>
      <c r="D1" s="695"/>
      <c r="E1" s="695"/>
      <c r="F1" s="695"/>
      <c r="G1" s="695"/>
      <c r="H1" s="695"/>
      <c r="I1" s="695"/>
      <c r="J1" s="695"/>
      <c r="K1" s="695"/>
      <c r="L1" s="695"/>
      <c r="M1" s="695"/>
      <c r="N1" s="695"/>
      <c r="O1" s="695"/>
      <c r="P1" s="695"/>
      <c r="Q1" s="695"/>
      <c r="R1" s="695"/>
      <c r="S1" s="695"/>
    </row>
    <row r="2" spans="1:19" ht="3.6" customHeight="1" x14ac:dyDescent="0.25">
      <c r="A2" s="84"/>
      <c r="B2" s="84"/>
      <c r="C2" s="84"/>
      <c r="D2" s="84"/>
      <c r="E2" s="84"/>
      <c r="F2" s="84"/>
      <c r="G2" s="84"/>
      <c r="H2" s="84"/>
      <c r="I2" s="84"/>
      <c r="J2" s="84"/>
      <c r="K2" s="84"/>
      <c r="L2" s="84"/>
      <c r="M2" s="84"/>
      <c r="N2" s="84"/>
      <c r="O2" s="84"/>
      <c r="P2" s="807"/>
      <c r="Q2" s="807"/>
      <c r="R2" s="807"/>
      <c r="S2" s="84"/>
    </row>
    <row r="3" spans="1:19" x14ac:dyDescent="0.25">
      <c r="A3" s="808" t="s">
        <v>362</v>
      </c>
      <c r="B3" s="808"/>
      <c r="C3" s="808"/>
      <c r="D3" s="808"/>
      <c r="E3" s="808"/>
      <c r="F3" s="808"/>
      <c r="G3" s="808"/>
      <c r="H3" s="808"/>
      <c r="I3" s="808"/>
      <c r="J3" s="808"/>
      <c r="K3" s="808"/>
      <c r="L3" s="808"/>
      <c r="M3" s="808"/>
      <c r="N3" s="808"/>
      <c r="O3" s="808"/>
      <c r="P3" s="808"/>
      <c r="Q3" s="808"/>
      <c r="R3" s="808"/>
      <c r="S3" s="808"/>
    </row>
    <row r="4" spans="1:19" ht="6" customHeight="1" x14ac:dyDescent="0.25">
      <c r="A4" s="66"/>
      <c r="B4" s="66"/>
      <c r="C4" s="66"/>
      <c r="D4" s="66"/>
      <c r="E4" s="66"/>
      <c r="F4" s="66"/>
      <c r="G4" s="66"/>
      <c r="H4" s="66"/>
      <c r="I4" s="66"/>
      <c r="J4" s="84"/>
      <c r="K4" s="84"/>
      <c r="L4" s="84"/>
      <c r="M4" s="84"/>
      <c r="N4" s="84"/>
      <c r="O4" s="84"/>
      <c r="P4" s="84"/>
      <c r="Q4" s="84"/>
      <c r="R4" s="84"/>
      <c r="S4" s="84"/>
    </row>
    <row r="5" spans="1:19" x14ac:dyDescent="0.25">
      <c r="A5" s="801" t="s">
        <v>363</v>
      </c>
      <c r="B5" s="801"/>
      <c r="C5" s="801"/>
      <c r="D5" s="801"/>
      <c r="E5" s="801"/>
      <c r="F5" s="800" t="s">
        <v>2</v>
      </c>
      <c r="G5" s="800"/>
      <c r="H5" s="800"/>
      <c r="I5" s="800"/>
      <c r="J5" s="800"/>
      <c r="K5" s="800"/>
      <c r="L5" s="800"/>
      <c r="M5" s="800"/>
      <c r="N5" s="800"/>
      <c r="O5" s="800"/>
      <c r="P5" s="800"/>
      <c r="Q5" s="800"/>
      <c r="R5" s="800"/>
      <c r="S5" s="66"/>
    </row>
    <row r="6" spans="1:19" x14ac:dyDescent="0.25">
      <c r="A6" s="800" t="s">
        <v>4</v>
      </c>
      <c r="B6" s="800"/>
      <c r="C6" s="800"/>
      <c r="D6" s="800"/>
      <c r="E6" s="800"/>
      <c r="F6" s="800"/>
      <c r="G6" s="800"/>
      <c r="H6" s="800"/>
      <c r="I6" s="800"/>
      <c r="J6" s="800"/>
      <c r="K6" s="800"/>
      <c r="L6" s="800"/>
      <c r="M6" s="809" t="s">
        <v>364</v>
      </c>
      <c r="N6" s="809"/>
      <c r="O6" s="800" t="s">
        <v>6</v>
      </c>
      <c r="P6" s="800"/>
      <c r="Q6" s="800"/>
      <c r="R6" s="800"/>
      <c r="S6" s="66"/>
    </row>
    <row r="7" spans="1:19" x14ac:dyDescent="0.25">
      <c r="A7" s="799" t="s">
        <v>365</v>
      </c>
      <c r="B7" s="799"/>
      <c r="C7" s="800" t="s">
        <v>10</v>
      </c>
      <c r="D7" s="800"/>
      <c r="E7" s="800"/>
      <c r="F7" s="800"/>
      <c r="G7" s="800"/>
      <c r="H7" s="800"/>
      <c r="I7" s="800"/>
      <c r="J7" s="800"/>
      <c r="K7" s="800"/>
      <c r="L7" s="800"/>
      <c r="M7" s="800"/>
      <c r="N7" s="800"/>
      <c r="O7" s="800"/>
      <c r="P7" s="800"/>
      <c r="Q7" s="800"/>
      <c r="R7" s="800"/>
      <c r="S7" s="66"/>
    </row>
    <row r="8" spans="1:19" x14ac:dyDescent="0.25">
      <c r="A8" s="801" t="s">
        <v>366</v>
      </c>
      <c r="B8" s="801"/>
      <c r="C8" s="801"/>
      <c r="D8" s="801"/>
      <c r="E8" s="802" t="s">
        <v>13</v>
      </c>
      <c r="F8" s="802"/>
      <c r="G8" s="802"/>
      <c r="H8" s="803" t="s">
        <v>367</v>
      </c>
      <c r="I8" s="803"/>
      <c r="J8" s="803"/>
      <c r="K8" s="803"/>
      <c r="L8" s="804">
        <v>45291</v>
      </c>
      <c r="M8" s="805"/>
      <c r="N8" s="803" t="s">
        <v>368</v>
      </c>
      <c r="O8" s="803"/>
      <c r="P8" s="803"/>
      <c r="Q8" s="806">
        <v>12</v>
      </c>
      <c r="R8" s="806"/>
      <c r="S8" s="66"/>
    </row>
    <row r="9" spans="1:19" x14ac:dyDescent="0.25">
      <c r="A9" s="789" t="s">
        <v>369</v>
      </c>
      <c r="B9" s="789"/>
      <c r="C9" s="789"/>
      <c r="D9" s="789"/>
      <c r="E9" s="789"/>
      <c r="F9" s="790" t="s">
        <v>8</v>
      </c>
      <c r="G9" s="790"/>
      <c r="H9" s="790"/>
      <c r="I9" s="790"/>
      <c r="J9" s="790"/>
      <c r="K9" s="790"/>
      <c r="L9" s="790"/>
      <c r="M9" s="790"/>
      <c r="N9" s="790"/>
      <c r="O9" s="790"/>
      <c r="P9" s="790"/>
      <c r="Q9" s="790"/>
      <c r="R9" s="790"/>
      <c r="S9" s="66"/>
    </row>
    <row r="10" spans="1:19" x14ac:dyDescent="0.25">
      <c r="A10" s="117" t="s">
        <v>370</v>
      </c>
      <c r="B10" s="118" t="s">
        <v>371</v>
      </c>
      <c r="C10" s="66"/>
      <c r="D10" s="66"/>
      <c r="E10" s="66"/>
      <c r="F10" s="66"/>
      <c r="G10" s="66"/>
      <c r="H10" s="66"/>
      <c r="I10" s="119" t="s">
        <v>372</v>
      </c>
      <c r="J10" s="791" t="s">
        <v>21</v>
      </c>
      <c r="K10" s="791"/>
      <c r="L10" s="791"/>
      <c r="M10" s="791"/>
      <c r="N10" s="791"/>
      <c r="O10" s="120" t="s">
        <v>373</v>
      </c>
      <c r="P10" s="791">
        <v>45291</v>
      </c>
      <c r="Q10" s="791"/>
      <c r="R10" s="791"/>
      <c r="S10" s="90"/>
    </row>
    <row r="11" spans="1:19" ht="7.9" customHeight="1" x14ac:dyDescent="0.25">
      <c r="A11" s="121"/>
      <c r="B11" s="66"/>
      <c r="C11" s="66"/>
      <c r="D11" s="66"/>
      <c r="E11" s="66"/>
      <c r="F11" s="66"/>
      <c r="G11" s="66"/>
      <c r="H11" s="66"/>
      <c r="I11" s="66"/>
      <c r="J11" s="66"/>
      <c r="K11" s="66"/>
      <c r="L11" s="66"/>
      <c r="M11" s="66"/>
      <c r="N11" s="66"/>
      <c r="O11" s="66"/>
      <c r="P11" s="66"/>
      <c r="Q11" s="66"/>
      <c r="R11" s="66"/>
      <c r="S11" s="66"/>
    </row>
    <row r="12" spans="1:19" x14ac:dyDescent="0.25">
      <c r="A12" s="117" t="s">
        <v>374</v>
      </c>
      <c r="B12" s="118" t="s">
        <v>375</v>
      </c>
      <c r="C12" s="66"/>
      <c r="D12" s="66"/>
      <c r="E12" s="66"/>
      <c r="F12" s="66"/>
      <c r="G12" s="66"/>
      <c r="H12" s="66"/>
      <c r="I12" s="66"/>
      <c r="J12" s="792"/>
      <c r="K12" s="793"/>
      <c r="L12" s="66"/>
      <c r="M12" s="66"/>
      <c r="N12" s="66"/>
      <c r="O12" s="66"/>
      <c r="P12" s="66"/>
      <c r="Q12" s="66"/>
      <c r="R12" s="66"/>
      <c r="S12" s="66"/>
    </row>
    <row r="13" spans="1:19" x14ac:dyDescent="0.25">
      <c r="A13" s="121"/>
      <c r="B13" s="66"/>
      <c r="C13" s="66"/>
      <c r="D13" s="66"/>
      <c r="E13" s="66"/>
      <c r="F13" s="66"/>
      <c r="G13" s="66"/>
      <c r="H13" s="66"/>
      <c r="I13" s="66"/>
      <c r="J13" s="66"/>
      <c r="K13" s="66"/>
      <c r="L13" s="66"/>
      <c r="M13" s="66"/>
      <c r="N13" s="66"/>
      <c r="O13" s="66"/>
      <c r="P13" s="66"/>
      <c r="Q13" s="117" t="s">
        <v>376</v>
      </c>
      <c r="R13" s="66"/>
      <c r="S13" s="66"/>
    </row>
    <row r="14" spans="1:19" x14ac:dyDescent="0.25">
      <c r="A14" s="117" t="s">
        <v>377</v>
      </c>
      <c r="B14" s="118" t="s">
        <v>378</v>
      </c>
      <c r="C14" s="66"/>
      <c r="D14" s="66"/>
      <c r="E14" s="66"/>
      <c r="F14" s="66"/>
      <c r="G14" s="66"/>
      <c r="H14" s="66"/>
      <c r="I14" s="66"/>
      <c r="J14" s="794">
        <v>44926</v>
      </c>
      <c r="K14" s="795"/>
      <c r="L14" s="796" t="s">
        <v>379</v>
      </c>
      <c r="M14" s="797"/>
      <c r="N14" s="797"/>
      <c r="O14" s="797"/>
      <c r="P14" s="797"/>
      <c r="Q14" s="798"/>
      <c r="R14" s="122">
        <v>12</v>
      </c>
      <c r="S14" s="66"/>
    </row>
    <row r="15" spans="1:19" ht="7.9" customHeight="1" x14ac:dyDescent="0.25">
      <c r="A15" s="121"/>
      <c r="B15" s="66"/>
      <c r="C15" s="66"/>
      <c r="D15" s="66"/>
      <c r="E15" s="66"/>
      <c r="F15" s="66"/>
      <c r="G15" s="66"/>
      <c r="H15" s="66"/>
      <c r="I15" s="66"/>
      <c r="J15" s="66"/>
      <c r="K15" s="66"/>
      <c r="L15" s="66"/>
      <c r="M15" s="66"/>
      <c r="N15" s="66"/>
      <c r="O15" s="66"/>
      <c r="P15" s="66"/>
      <c r="Q15" s="66"/>
      <c r="R15" s="66"/>
      <c r="S15" s="66"/>
    </row>
    <row r="16" spans="1:19" x14ac:dyDescent="0.25">
      <c r="A16" s="117" t="s">
        <v>380</v>
      </c>
      <c r="B16" s="778"/>
      <c r="C16" s="780"/>
      <c r="D16" s="783" t="s">
        <v>29</v>
      </c>
      <c r="E16" s="784"/>
      <c r="F16" s="784"/>
      <c r="G16" s="785"/>
      <c r="H16" s="66"/>
      <c r="I16" s="66"/>
      <c r="J16" s="66"/>
      <c r="K16" s="66"/>
      <c r="L16" s="117" t="s">
        <v>381</v>
      </c>
      <c r="M16" s="786"/>
      <c r="N16" s="787"/>
      <c r="O16" s="787"/>
      <c r="P16" s="787"/>
      <c r="Q16" s="788"/>
      <c r="R16" s="66"/>
      <c r="S16" s="66"/>
    </row>
    <row r="17" spans="1:19" x14ac:dyDescent="0.25">
      <c r="A17" s="121"/>
      <c r="B17" s="757" t="s">
        <v>382</v>
      </c>
      <c r="C17" s="757"/>
      <c r="D17" s="757" t="s">
        <v>383</v>
      </c>
      <c r="E17" s="757"/>
      <c r="F17" s="757"/>
      <c r="G17" s="757"/>
      <c r="H17" s="123"/>
      <c r="I17" s="66"/>
      <c r="J17" s="66"/>
      <c r="K17" s="66"/>
      <c r="L17" s="713" t="s">
        <v>384</v>
      </c>
      <c r="M17" s="713"/>
      <c r="N17" s="713"/>
      <c r="O17" s="713"/>
      <c r="P17" s="713"/>
      <c r="Q17" s="713"/>
      <c r="R17" s="66"/>
      <c r="S17" s="125"/>
    </row>
    <row r="18" spans="1:19" x14ac:dyDescent="0.25">
      <c r="A18" s="117" t="s">
        <v>385</v>
      </c>
      <c r="B18" s="66"/>
      <c r="C18" s="769" t="s">
        <v>31</v>
      </c>
      <c r="D18" s="770"/>
      <c r="E18" s="771"/>
      <c r="F18" s="66"/>
      <c r="G18" s="117" t="s">
        <v>386</v>
      </c>
      <c r="H18" s="778"/>
      <c r="I18" s="779"/>
      <c r="J18" s="779"/>
      <c r="K18" s="780"/>
      <c r="L18" s="66"/>
      <c r="M18" s="66"/>
      <c r="N18" s="117" t="s">
        <v>387</v>
      </c>
      <c r="O18" s="781"/>
      <c r="P18" s="779"/>
      <c r="Q18" s="779"/>
      <c r="R18" s="780"/>
      <c r="S18" s="66"/>
    </row>
    <row r="19" spans="1:19" x14ac:dyDescent="0.25">
      <c r="A19" s="126"/>
      <c r="B19" s="66"/>
      <c r="C19" s="713" t="s">
        <v>388</v>
      </c>
      <c r="D19" s="713"/>
      <c r="E19" s="713"/>
      <c r="F19" s="125"/>
      <c r="G19" s="66"/>
      <c r="H19" s="713" t="s">
        <v>389</v>
      </c>
      <c r="I19" s="713"/>
      <c r="J19" s="713"/>
      <c r="K19" s="713"/>
      <c r="L19" s="125"/>
      <c r="M19" s="66"/>
      <c r="N19" s="66"/>
      <c r="O19" s="782" t="s">
        <v>390</v>
      </c>
      <c r="P19" s="782"/>
      <c r="Q19" s="782"/>
      <c r="R19" s="782"/>
      <c r="S19" s="127"/>
    </row>
    <row r="20" spans="1:19" x14ac:dyDescent="0.25">
      <c r="A20" s="117" t="s">
        <v>391</v>
      </c>
      <c r="B20" s="763" t="s">
        <v>2</v>
      </c>
      <c r="C20" s="764"/>
      <c r="D20" s="764"/>
      <c r="E20" s="764"/>
      <c r="F20" s="764"/>
      <c r="G20" s="764"/>
      <c r="H20" s="764"/>
      <c r="I20" s="764"/>
      <c r="J20" s="764"/>
      <c r="K20" s="764"/>
      <c r="L20" s="764"/>
      <c r="M20" s="764"/>
      <c r="N20" s="765"/>
      <c r="O20" s="766" t="s">
        <v>6</v>
      </c>
      <c r="P20" s="767"/>
      <c r="Q20" s="767"/>
      <c r="R20" s="768"/>
      <c r="S20" s="128"/>
    </row>
    <row r="21" spans="1:19" x14ac:dyDescent="0.25">
      <c r="A21" s="734" t="s">
        <v>392</v>
      </c>
      <c r="B21" s="734"/>
      <c r="C21" s="734"/>
      <c r="D21" s="734"/>
      <c r="E21" s="734"/>
      <c r="F21" s="734"/>
      <c r="G21" s="734"/>
      <c r="H21" s="734"/>
      <c r="I21" s="734"/>
      <c r="J21" s="734"/>
      <c r="K21" s="734"/>
      <c r="L21" s="734"/>
      <c r="M21" s="734"/>
      <c r="N21" s="734"/>
      <c r="O21" s="734"/>
      <c r="P21" s="713" t="s">
        <v>393</v>
      </c>
      <c r="Q21" s="713"/>
      <c r="R21" s="713"/>
      <c r="S21" s="128"/>
    </row>
    <row r="22" spans="1:19" ht="6.6" customHeight="1" x14ac:dyDescent="0.25">
      <c r="A22" s="90"/>
      <c r="B22" s="66"/>
      <c r="C22" s="66"/>
      <c r="D22" s="66"/>
      <c r="E22" s="66"/>
      <c r="F22" s="66"/>
      <c r="G22" s="66"/>
      <c r="H22" s="66"/>
      <c r="I22" s="66"/>
      <c r="J22" s="66"/>
      <c r="K22" s="66"/>
      <c r="L22" s="66"/>
      <c r="M22" s="66"/>
      <c r="N22" s="66"/>
      <c r="O22" s="66"/>
      <c r="P22" s="66"/>
      <c r="Q22" s="66"/>
      <c r="R22" s="66"/>
      <c r="S22" s="66"/>
    </row>
    <row r="23" spans="1:19" x14ac:dyDescent="0.25">
      <c r="A23" s="117" t="s">
        <v>394</v>
      </c>
      <c r="B23" s="66"/>
      <c r="C23" s="769">
        <v>25242546</v>
      </c>
      <c r="D23" s="770"/>
      <c r="E23" s="771"/>
      <c r="F23" s="66"/>
      <c r="G23" s="772"/>
      <c r="H23" s="773"/>
      <c r="I23" s="773"/>
      <c r="J23" s="773"/>
      <c r="K23" s="774"/>
      <c r="L23" s="66"/>
      <c r="M23" s="131"/>
      <c r="N23" s="775"/>
      <c r="O23" s="776"/>
      <c r="P23" s="775"/>
      <c r="Q23" s="777"/>
      <c r="R23" s="776"/>
      <c r="S23" s="132"/>
    </row>
    <row r="24" spans="1:19" x14ac:dyDescent="0.25">
      <c r="A24" s="121"/>
      <c r="B24" s="66"/>
      <c r="C24" s="713" t="s">
        <v>395</v>
      </c>
      <c r="D24" s="713"/>
      <c r="E24" s="713"/>
      <c r="F24" s="125"/>
      <c r="G24" s="713" t="s">
        <v>396</v>
      </c>
      <c r="H24" s="713"/>
      <c r="I24" s="713"/>
      <c r="J24" s="713"/>
      <c r="K24" s="713"/>
      <c r="L24" s="66"/>
      <c r="M24" s="124" t="s">
        <v>397</v>
      </c>
      <c r="N24" s="713" t="s">
        <v>398</v>
      </c>
      <c r="O24" s="713"/>
      <c r="P24" s="713" t="s">
        <v>399</v>
      </c>
      <c r="Q24" s="713"/>
      <c r="R24" s="713"/>
      <c r="S24" s="125"/>
    </row>
    <row r="25" spans="1:19" ht="3.6" customHeight="1" x14ac:dyDescent="0.25">
      <c r="A25" s="90"/>
      <c r="B25" s="66"/>
      <c r="C25" s="125"/>
      <c r="D25" s="125"/>
      <c r="E25" s="125"/>
      <c r="F25" s="125"/>
      <c r="G25" s="66"/>
      <c r="H25" s="66"/>
      <c r="I25" s="66"/>
      <c r="J25" s="125"/>
      <c r="K25" s="125"/>
      <c r="L25" s="66"/>
      <c r="M25" s="125"/>
      <c r="N25" s="125"/>
      <c r="O25" s="125"/>
      <c r="P25" s="125"/>
      <c r="Q25" s="125"/>
      <c r="R25" s="125"/>
      <c r="S25" s="125"/>
    </row>
    <row r="26" spans="1:19" x14ac:dyDescent="0.25">
      <c r="A26" s="117" t="s">
        <v>400</v>
      </c>
      <c r="B26" s="759" t="s">
        <v>16</v>
      </c>
      <c r="C26" s="760"/>
      <c r="D26" s="760"/>
      <c r="E26" s="760"/>
      <c r="F26" s="760"/>
      <c r="G26" s="760"/>
      <c r="H26" s="760"/>
      <c r="I26" s="760"/>
      <c r="J26" s="760"/>
      <c r="K26" s="760"/>
      <c r="L26" s="760"/>
      <c r="M26" s="760"/>
      <c r="N26" s="761"/>
      <c r="O26" s="762"/>
      <c r="P26" s="760"/>
      <c r="Q26" s="760"/>
      <c r="R26" s="761"/>
      <c r="S26" s="133"/>
    </row>
    <row r="27" spans="1:19" x14ac:dyDescent="0.25">
      <c r="A27" s="124"/>
      <c r="B27" s="713" t="s">
        <v>401</v>
      </c>
      <c r="C27" s="713"/>
      <c r="D27" s="713"/>
      <c r="E27" s="713"/>
      <c r="F27" s="713"/>
      <c r="G27" s="713"/>
      <c r="H27" s="713"/>
      <c r="I27" s="713"/>
      <c r="J27" s="713"/>
      <c r="K27" s="713"/>
      <c r="L27" s="713"/>
      <c r="M27" s="713"/>
      <c r="N27" s="713"/>
      <c r="O27" s="713"/>
      <c r="P27" s="713"/>
      <c r="Q27" s="713"/>
      <c r="R27" s="713"/>
      <c r="S27" s="125"/>
    </row>
    <row r="28" spans="1:19" x14ac:dyDescent="0.25">
      <c r="A28" s="90"/>
      <c r="B28" s="66"/>
      <c r="C28" s="66"/>
      <c r="D28" s="66"/>
      <c r="E28" s="66"/>
      <c r="F28" s="66"/>
      <c r="G28" s="66"/>
      <c r="H28" s="66"/>
      <c r="I28" s="66"/>
      <c r="J28" s="66"/>
      <c r="K28" s="66"/>
      <c r="L28" s="66"/>
      <c r="M28" s="66"/>
      <c r="N28" s="66"/>
      <c r="O28" s="117" t="s">
        <v>402</v>
      </c>
      <c r="P28" s="66"/>
      <c r="Q28" s="66"/>
      <c r="R28" s="66"/>
      <c r="S28" s="66"/>
    </row>
    <row r="29" spans="1:19" x14ac:dyDescent="0.25">
      <c r="A29" s="117" t="s">
        <v>403</v>
      </c>
      <c r="B29" s="730"/>
      <c r="C29" s="731"/>
      <c r="D29" s="731"/>
      <c r="E29" s="731"/>
      <c r="F29" s="731"/>
      <c r="G29" s="731"/>
      <c r="H29" s="731"/>
      <c r="I29" s="731"/>
      <c r="J29" s="731"/>
      <c r="K29" s="731"/>
      <c r="L29" s="731"/>
      <c r="M29" s="731"/>
      <c r="N29" s="732"/>
      <c r="O29" s="754"/>
      <c r="P29" s="755"/>
      <c r="Q29" s="755"/>
      <c r="R29" s="756"/>
      <c r="S29" s="134"/>
    </row>
    <row r="30" spans="1:19" x14ac:dyDescent="0.25">
      <c r="A30" s="124"/>
      <c r="B30" s="757" t="s">
        <v>404</v>
      </c>
      <c r="C30" s="757"/>
      <c r="D30" s="757"/>
      <c r="E30" s="757"/>
      <c r="F30" s="757"/>
      <c r="G30" s="757"/>
      <c r="H30" s="757"/>
      <c r="I30" s="757"/>
      <c r="J30" s="757"/>
      <c r="K30" s="757"/>
      <c r="L30" s="757"/>
      <c r="M30" s="757"/>
      <c r="N30" s="757"/>
      <c r="O30" s="757" t="s">
        <v>405</v>
      </c>
      <c r="P30" s="757"/>
      <c r="Q30" s="757"/>
      <c r="R30" s="757"/>
      <c r="S30" s="128"/>
    </row>
    <row r="31" spans="1:19" x14ac:dyDescent="0.25">
      <c r="A31" s="90"/>
      <c r="B31" s="758" t="s">
        <v>406</v>
      </c>
      <c r="C31" s="758"/>
      <c r="D31" s="758"/>
      <c r="E31" s="758"/>
      <c r="F31" s="758"/>
      <c r="G31" s="758"/>
      <c r="H31" s="758"/>
      <c r="I31" s="758"/>
      <c r="J31" s="758"/>
      <c r="K31" s="758"/>
      <c r="L31" s="758"/>
      <c r="M31" s="758"/>
      <c r="N31" s="758"/>
      <c r="O31" s="758"/>
      <c r="P31" s="758"/>
      <c r="Q31" s="758"/>
      <c r="R31" s="758"/>
      <c r="S31" s="66"/>
    </row>
    <row r="32" spans="1:19" x14ac:dyDescent="0.25">
      <c r="A32" s="117" t="s">
        <v>407</v>
      </c>
      <c r="B32" s="730"/>
      <c r="C32" s="731"/>
      <c r="D32" s="731"/>
      <c r="E32" s="731"/>
      <c r="F32" s="732"/>
      <c r="G32" s="730"/>
      <c r="H32" s="731"/>
      <c r="I32" s="731"/>
      <c r="J32" s="732"/>
      <c r="K32" s="730"/>
      <c r="L32" s="732"/>
      <c r="M32" s="753"/>
      <c r="N32" s="731"/>
      <c r="O32" s="731"/>
      <c r="P32" s="732"/>
      <c r="Q32" s="730"/>
      <c r="R32" s="732"/>
      <c r="S32" s="133"/>
    </row>
    <row r="33" spans="1:19" x14ac:dyDescent="0.25">
      <c r="A33" s="125"/>
      <c r="B33" s="713" t="s">
        <v>408</v>
      </c>
      <c r="C33" s="713"/>
      <c r="D33" s="713"/>
      <c r="E33" s="713"/>
      <c r="F33" s="713"/>
      <c r="G33" s="713" t="s">
        <v>409</v>
      </c>
      <c r="H33" s="713"/>
      <c r="I33" s="713"/>
      <c r="J33" s="713"/>
      <c r="K33" s="713" t="s">
        <v>410</v>
      </c>
      <c r="L33" s="713"/>
      <c r="M33" s="713" t="s">
        <v>411</v>
      </c>
      <c r="N33" s="713"/>
      <c r="O33" s="713"/>
      <c r="P33" s="713"/>
      <c r="Q33" s="713" t="s">
        <v>412</v>
      </c>
      <c r="R33" s="713"/>
      <c r="S33" s="125"/>
    </row>
    <row r="34" spans="1:19" ht="28.15" customHeight="1" x14ac:dyDescent="0.25">
      <c r="A34" s="90"/>
      <c r="B34" s="752" t="s">
        <v>413</v>
      </c>
      <c r="C34" s="750"/>
      <c r="D34" s="750"/>
      <c r="E34" s="750"/>
      <c r="F34" s="750"/>
      <c r="G34" s="750"/>
      <c r="H34" s="750"/>
      <c r="I34" s="750"/>
      <c r="J34" s="750"/>
      <c r="K34" s="750"/>
      <c r="L34" s="750"/>
      <c r="M34" s="750"/>
      <c r="N34" s="750"/>
      <c r="O34" s="750"/>
      <c r="P34" s="750"/>
      <c r="Q34" s="750"/>
      <c r="R34" s="750"/>
      <c r="S34" s="66"/>
    </row>
    <row r="35" spans="1:19" x14ac:dyDescent="0.25">
      <c r="A35" s="117" t="s">
        <v>414</v>
      </c>
      <c r="B35" s="730"/>
      <c r="C35" s="731"/>
      <c r="D35" s="731"/>
      <c r="E35" s="731"/>
      <c r="F35" s="732"/>
      <c r="G35" s="730"/>
      <c r="H35" s="731"/>
      <c r="I35" s="731"/>
      <c r="J35" s="731"/>
      <c r="K35" s="732"/>
      <c r="L35" s="730"/>
      <c r="M35" s="731"/>
      <c r="N35" s="732"/>
      <c r="O35" s="753"/>
      <c r="P35" s="731"/>
      <c r="Q35" s="731"/>
      <c r="R35" s="732"/>
      <c r="S35" s="133"/>
    </row>
    <row r="36" spans="1:19" x14ac:dyDescent="0.25">
      <c r="A36" s="125"/>
      <c r="B36" s="713" t="s">
        <v>408</v>
      </c>
      <c r="C36" s="713"/>
      <c r="D36" s="713"/>
      <c r="E36" s="713"/>
      <c r="F36" s="713"/>
      <c r="G36" s="713" t="s">
        <v>409</v>
      </c>
      <c r="H36" s="713"/>
      <c r="I36" s="713"/>
      <c r="J36" s="713"/>
      <c r="K36" s="713"/>
      <c r="L36" s="713" t="s">
        <v>410</v>
      </c>
      <c r="M36" s="713"/>
      <c r="N36" s="713"/>
      <c r="O36" s="713" t="s">
        <v>411</v>
      </c>
      <c r="P36" s="713"/>
      <c r="Q36" s="713"/>
      <c r="R36" s="713"/>
      <c r="S36" s="125"/>
    </row>
    <row r="37" spans="1:19" ht="6.6" customHeight="1" x14ac:dyDescent="0.25">
      <c r="A37" s="136"/>
      <c r="B37" s="742"/>
      <c r="C37" s="734"/>
      <c r="D37" s="734"/>
      <c r="E37" s="734"/>
      <c r="F37" s="734"/>
      <c r="G37" s="734"/>
      <c r="H37" s="734"/>
      <c r="I37" s="734"/>
      <c r="J37" s="734"/>
      <c r="K37" s="734"/>
      <c r="L37" s="734"/>
      <c r="M37" s="734"/>
      <c r="N37" s="734"/>
      <c r="O37" s="734"/>
      <c r="P37" s="734"/>
      <c r="Q37" s="734"/>
      <c r="R37" s="734"/>
      <c r="S37" s="125"/>
    </row>
    <row r="38" spans="1:19" x14ac:dyDescent="0.25">
      <c r="A38" s="117" t="s">
        <v>415</v>
      </c>
      <c r="B38" s="730"/>
      <c r="C38" s="731"/>
      <c r="D38" s="731"/>
      <c r="E38" s="731"/>
      <c r="F38" s="731"/>
      <c r="G38" s="731"/>
      <c r="H38" s="731"/>
      <c r="I38" s="731"/>
      <c r="J38" s="731"/>
      <c r="K38" s="731"/>
      <c r="L38" s="731"/>
      <c r="M38" s="731"/>
      <c r="N38" s="731"/>
      <c r="O38" s="731"/>
      <c r="P38" s="731"/>
      <c r="Q38" s="731"/>
      <c r="R38" s="732"/>
      <c r="S38" s="133"/>
    </row>
    <row r="39" spans="1:19" ht="8.4499999999999993" customHeight="1" x14ac:dyDescent="0.25">
      <c r="A39" s="132"/>
      <c r="B39" s="137"/>
      <c r="C39" s="137"/>
      <c r="D39" s="137"/>
      <c r="E39" s="137"/>
      <c r="F39" s="137"/>
      <c r="G39" s="137"/>
      <c r="H39" s="137"/>
      <c r="I39" s="137"/>
      <c r="J39" s="137"/>
      <c r="K39" s="137"/>
      <c r="L39" s="137"/>
      <c r="M39" s="137"/>
      <c r="N39" s="137"/>
      <c r="O39" s="137"/>
      <c r="P39" s="137"/>
      <c r="Q39" s="137"/>
      <c r="R39" s="137"/>
      <c r="S39" s="137"/>
    </row>
    <row r="40" spans="1:19" x14ac:dyDescent="0.25">
      <c r="A40" s="117" t="s">
        <v>416</v>
      </c>
      <c r="B40" s="730"/>
      <c r="C40" s="731"/>
      <c r="D40" s="731"/>
      <c r="E40" s="731"/>
      <c r="F40" s="731"/>
      <c r="G40" s="731"/>
      <c r="H40" s="731"/>
      <c r="I40" s="731"/>
      <c r="J40" s="731"/>
      <c r="K40" s="731"/>
      <c r="L40" s="731"/>
      <c r="M40" s="731"/>
      <c r="N40" s="731"/>
      <c r="O40" s="731"/>
      <c r="P40" s="731"/>
      <c r="Q40" s="731"/>
      <c r="R40" s="732"/>
      <c r="S40" s="133"/>
    </row>
    <row r="41" spans="1:19" ht="24.6" customHeight="1" x14ac:dyDescent="0.25">
      <c r="A41" s="138"/>
      <c r="B41" s="743" t="s">
        <v>417</v>
      </c>
      <c r="C41" s="744"/>
      <c r="D41" s="744"/>
      <c r="E41" s="744"/>
      <c r="F41" s="744"/>
      <c r="G41" s="744"/>
      <c r="H41" s="744"/>
      <c r="I41" s="744"/>
      <c r="J41" s="744"/>
      <c r="K41" s="744"/>
      <c r="L41" s="744"/>
      <c r="M41" s="744"/>
      <c r="N41" s="744"/>
      <c r="O41" s="744"/>
      <c r="P41" s="744"/>
      <c r="Q41" s="744"/>
      <c r="R41" s="745"/>
      <c r="S41" s="137"/>
    </row>
    <row r="42" spans="1:19" x14ac:dyDescent="0.25">
      <c r="A42" s="117" t="s">
        <v>418</v>
      </c>
      <c r="B42" s="746" t="s">
        <v>419</v>
      </c>
      <c r="C42" s="747"/>
      <c r="D42" s="747"/>
      <c r="E42" s="747"/>
      <c r="F42" s="747"/>
      <c r="G42" s="747"/>
      <c r="H42" s="747"/>
      <c r="I42" s="747"/>
      <c r="J42" s="747"/>
      <c r="K42" s="748"/>
      <c r="L42" s="139"/>
      <c r="M42" s="140"/>
      <c r="N42" s="140"/>
      <c r="O42" s="140"/>
      <c r="P42" s="140"/>
      <c r="Q42" s="140"/>
      <c r="R42" s="141"/>
      <c r="S42" s="125"/>
    </row>
    <row r="43" spans="1:19" x14ac:dyDescent="0.25">
      <c r="A43" s="125"/>
      <c r="B43" s="142"/>
      <c r="C43" s="143"/>
      <c r="D43" s="143"/>
      <c r="E43" s="143"/>
      <c r="F43" s="143"/>
      <c r="G43" s="143"/>
      <c r="H43" s="143"/>
      <c r="I43" s="143"/>
      <c r="J43" s="143"/>
      <c r="K43" s="144"/>
      <c r="L43" s="749" t="s">
        <v>420</v>
      </c>
      <c r="M43" s="750"/>
      <c r="N43" s="750"/>
      <c r="O43" s="750"/>
      <c r="P43" s="750"/>
      <c r="Q43" s="750"/>
      <c r="R43" s="751"/>
      <c r="S43" s="125"/>
    </row>
    <row r="44" spans="1:19" x14ac:dyDescent="0.25">
      <c r="A44" s="90"/>
      <c r="B44" s="142"/>
      <c r="C44" s="143"/>
      <c r="D44" s="143"/>
      <c r="E44" s="143"/>
      <c r="F44" s="143"/>
      <c r="G44" s="143"/>
      <c r="H44" s="143"/>
      <c r="I44" s="143"/>
      <c r="J44" s="143"/>
      <c r="K44" s="144"/>
      <c r="L44" s="145"/>
      <c r="M44" s="146"/>
      <c r="N44" s="146"/>
      <c r="O44" s="147" t="s">
        <v>421</v>
      </c>
      <c r="P44" s="146"/>
      <c r="Q44" s="135"/>
      <c r="R44" s="148"/>
      <c r="S44" s="66"/>
    </row>
    <row r="45" spans="1:19" ht="6.6" customHeight="1" x14ac:dyDescent="0.25">
      <c r="A45" s="90"/>
      <c r="B45" s="149"/>
      <c r="C45" s="150"/>
      <c r="D45" s="150"/>
      <c r="E45" s="150"/>
      <c r="F45" s="150"/>
      <c r="G45" s="150"/>
      <c r="H45" s="150"/>
      <c r="I45" s="150"/>
      <c r="J45" s="150"/>
      <c r="K45" s="151"/>
      <c r="L45" s="152"/>
      <c r="M45" s="153"/>
      <c r="N45" s="153"/>
      <c r="O45" s="154"/>
      <c r="P45" s="153"/>
      <c r="Q45" s="154"/>
      <c r="R45" s="155"/>
      <c r="S45" s="66"/>
    </row>
    <row r="46" spans="1:19" ht="7.9" customHeight="1" x14ac:dyDescent="0.25">
      <c r="A46" s="132"/>
      <c r="B46" s="734"/>
      <c r="C46" s="734"/>
      <c r="D46" s="734"/>
      <c r="E46" s="734"/>
      <c r="F46" s="734"/>
      <c r="G46" s="734"/>
      <c r="H46" s="734"/>
      <c r="I46" s="734"/>
      <c r="J46" s="734"/>
      <c r="K46" s="66"/>
      <c r="L46" s="735"/>
      <c r="M46" s="735"/>
      <c r="N46" s="735"/>
      <c r="O46" s="735"/>
      <c r="P46" s="735"/>
      <c r="Q46" s="735"/>
      <c r="R46" s="735"/>
      <c r="S46" s="137"/>
    </row>
    <row r="47" spans="1:19" x14ac:dyDescent="0.25">
      <c r="A47" s="125"/>
      <c r="B47" s="66"/>
      <c r="C47" s="66"/>
      <c r="D47" s="66"/>
      <c r="E47" s="66"/>
      <c r="F47" s="66"/>
      <c r="G47" s="66"/>
      <c r="H47" s="66"/>
      <c r="I47" s="66"/>
      <c r="J47" s="66"/>
      <c r="K47" s="156" t="s">
        <v>422</v>
      </c>
      <c r="L47" s="734"/>
      <c r="M47" s="734"/>
      <c r="N47" s="734"/>
      <c r="O47" s="734"/>
      <c r="P47" s="734"/>
      <c r="Q47" s="734"/>
      <c r="R47" s="734"/>
      <c r="S47" s="125"/>
    </row>
    <row r="48" spans="1:19" x14ac:dyDescent="0.25">
      <c r="A48" s="117" t="s">
        <v>423</v>
      </c>
      <c r="B48" s="730"/>
      <c r="C48" s="731"/>
      <c r="D48" s="731"/>
      <c r="E48" s="731"/>
      <c r="F48" s="731"/>
      <c r="G48" s="731"/>
      <c r="H48" s="731"/>
      <c r="I48" s="732"/>
      <c r="J48" s="66"/>
      <c r="K48" s="736" t="s">
        <v>424</v>
      </c>
      <c r="L48" s="737"/>
      <c r="M48" s="737"/>
      <c r="N48" s="737"/>
      <c r="O48" s="737"/>
      <c r="P48" s="737"/>
      <c r="Q48" s="737"/>
      <c r="R48" s="738"/>
      <c r="S48" s="66"/>
    </row>
    <row r="49" spans="1:19" x14ac:dyDescent="0.25">
      <c r="A49" s="125"/>
      <c r="B49" s="734" t="s">
        <v>425</v>
      </c>
      <c r="C49" s="734"/>
      <c r="D49" s="734"/>
      <c r="E49" s="734"/>
      <c r="F49" s="734"/>
      <c r="G49" s="734"/>
      <c r="H49" s="734"/>
      <c r="I49" s="734"/>
      <c r="J49" s="125"/>
      <c r="K49" s="739" t="s">
        <v>426</v>
      </c>
      <c r="L49" s="740"/>
      <c r="M49" s="740"/>
      <c r="N49" s="740"/>
      <c r="O49" s="739" t="s">
        <v>427</v>
      </c>
      <c r="P49" s="740"/>
      <c r="Q49" s="740"/>
      <c r="R49" s="741"/>
      <c r="S49" s="66"/>
    </row>
    <row r="50" spans="1:19" x14ac:dyDescent="0.25">
      <c r="A50" s="90"/>
      <c r="B50" s="66"/>
      <c r="C50" s="66"/>
      <c r="D50" s="66"/>
      <c r="E50" s="66"/>
      <c r="F50" s="66"/>
      <c r="G50" s="66"/>
      <c r="H50" s="66"/>
      <c r="I50" s="66"/>
      <c r="J50" s="66"/>
      <c r="K50" s="724"/>
      <c r="L50" s="725"/>
      <c r="M50" s="725"/>
      <c r="N50" s="726"/>
      <c r="O50" s="727"/>
      <c r="P50" s="728"/>
      <c r="Q50" s="728"/>
      <c r="R50" s="729"/>
      <c r="S50" s="66"/>
    </row>
    <row r="51" spans="1:19" x14ac:dyDescent="0.25">
      <c r="A51" s="117" t="s">
        <v>428</v>
      </c>
      <c r="B51" s="730"/>
      <c r="C51" s="731"/>
      <c r="D51" s="731"/>
      <c r="E51" s="731"/>
      <c r="F51" s="731"/>
      <c r="G51" s="731"/>
      <c r="H51" s="731"/>
      <c r="I51" s="732"/>
      <c r="J51" s="66"/>
      <c r="K51" s="714"/>
      <c r="L51" s="715"/>
      <c r="M51" s="715"/>
      <c r="N51" s="716"/>
      <c r="O51" s="733"/>
      <c r="P51" s="718"/>
      <c r="Q51" s="718"/>
      <c r="R51" s="719"/>
      <c r="S51" s="66"/>
    </row>
    <row r="52" spans="1:19" x14ac:dyDescent="0.25">
      <c r="A52" s="125"/>
      <c r="B52" s="734" t="s">
        <v>429</v>
      </c>
      <c r="C52" s="734"/>
      <c r="D52" s="734"/>
      <c r="E52" s="734"/>
      <c r="F52" s="734"/>
      <c r="G52" s="734"/>
      <c r="H52" s="734"/>
      <c r="I52" s="734"/>
      <c r="J52" s="66"/>
      <c r="K52" s="714"/>
      <c r="L52" s="715"/>
      <c r="M52" s="715"/>
      <c r="N52" s="716"/>
      <c r="O52" s="717"/>
      <c r="P52" s="718"/>
      <c r="Q52" s="718"/>
      <c r="R52" s="719"/>
      <c r="S52" s="66"/>
    </row>
    <row r="53" spans="1:19" x14ac:dyDescent="0.25">
      <c r="A53" s="90"/>
      <c r="B53" s="66"/>
      <c r="C53" s="66"/>
      <c r="D53" s="66"/>
      <c r="E53" s="66"/>
      <c r="F53" s="66"/>
      <c r="G53" s="66"/>
      <c r="H53" s="66"/>
      <c r="I53" s="66"/>
      <c r="J53" s="66"/>
      <c r="K53" s="714"/>
      <c r="L53" s="715"/>
      <c r="M53" s="715"/>
      <c r="N53" s="716"/>
      <c r="O53" s="717"/>
      <c r="P53" s="718"/>
      <c r="Q53" s="718"/>
      <c r="R53" s="719"/>
      <c r="S53" s="66"/>
    </row>
    <row r="54" spans="1:19" x14ac:dyDescent="0.25">
      <c r="A54" s="117" t="s">
        <v>430</v>
      </c>
      <c r="B54" s="720"/>
      <c r="C54" s="721"/>
      <c r="D54" s="721"/>
      <c r="E54" s="721"/>
      <c r="F54" s="721"/>
      <c r="G54" s="721"/>
      <c r="H54" s="721"/>
      <c r="I54" s="722"/>
      <c r="J54" s="66"/>
      <c r="K54" s="714"/>
      <c r="L54" s="715"/>
      <c r="M54" s="715"/>
      <c r="N54" s="716"/>
      <c r="O54" s="717"/>
      <c r="P54" s="718"/>
      <c r="Q54" s="718"/>
      <c r="R54" s="719"/>
      <c r="S54" s="66"/>
    </row>
    <row r="55" spans="1:19" x14ac:dyDescent="0.25">
      <c r="A55" s="125"/>
      <c r="B55" s="723" t="s">
        <v>431</v>
      </c>
      <c r="C55" s="723"/>
      <c r="D55" s="723"/>
      <c r="E55" s="723"/>
      <c r="F55" s="723"/>
      <c r="G55" s="723"/>
      <c r="H55" s="723"/>
      <c r="I55" s="723"/>
      <c r="J55" s="66"/>
      <c r="K55" s="714"/>
      <c r="L55" s="715"/>
      <c r="M55" s="715"/>
      <c r="N55" s="716"/>
      <c r="O55" s="717"/>
      <c r="P55" s="718"/>
      <c r="Q55" s="718"/>
      <c r="R55" s="719"/>
      <c r="S55" s="66"/>
    </row>
    <row r="56" spans="1:19" x14ac:dyDescent="0.25">
      <c r="A56" s="90"/>
      <c r="B56" s="157"/>
      <c r="C56" s="158"/>
      <c r="D56" s="158"/>
      <c r="E56" s="158"/>
      <c r="F56" s="158"/>
      <c r="G56" s="158"/>
      <c r="H56" s="158"/>
      <c r="I56" s="159"/>
      <c r="J56" s="66"/>
      <c r="K56" s="714"/>
      <c r="L56" s="715"/>
      <c r="M56" s="715"/>
      <c r="N56" s="716"/>
      <c r="O56" s="717"/>
      <c r="P56" s="718"/>
      <c r="Q56" s="718"/>
      <c r="R56" s="719"/>
      <c r="S56" s="66"/>
    </row>
    <row r="57" spans="1:19" x14ac:dyDescent="0.25">
      <c r="A57" s="90"/>
      <c r="B57" s="160"/>
      <c r="C57" s="161"/>
      <c r="D57" s="161"/>
      <c r="E57" s="161"/>
      <c r="F57" s="161"/>
      <c r="G57" s="161"/>
      <c r="H57" s="161"/>
      <c r="I57" s="162"/>
      <c r="J57" s="66"/>
      <c r="K57" s="714"/>
      <c r="L57" s="715"/>
      <c r="M57" s="715"/>
      <c r="N57" s="716"/>
      <c r="O57" s="717"/>
      <c r="P57" s="718"/>
      <c r="Q57" s="718"/>
      <c r="R57" s="719"/>
      <c r="S57" s="66"/>
    </row>
    <row r="58" spans="1:19" x14ac:dyDescent="0.25">
      <c r="A58" s="90"/>
      <c r="B58" s="160"/>
      <c r="C58" s="161"/>
      <c r="D58" s="161"/>
      <c r="E58" s="161"/>
      <c r="F58" s="161"/>
      <c r="G58" s="161"/>
      <c r="H58" s="161"/>
      <c r="I58" s="162"/>
      <c r="J58" s="66"/>
      <c r="K58" s="714"/>
      <c r="L58" s="715"/>
      <c r="M58" s="715"/>
      <c r="N58" s="716"/>
      <c r="O58" s="717"/>
      <c r="P58" s="718"/>
      <c r="Q58" s="718"/>
      <c r="R58" s="719"/>
      <c r="S58" s="66"/>
    </row>
    <row r="59" spans="1:19" x14ac:dyDescent="0.25">
      <c r="A59" s="125"/>
      <c r="B59" s="163"/>
      <c r="C59" s="129"/>
      <c r="D59" s="129"/>
      <c r="E59" s="129"/>
      <c r="F59" s="129"/>
      <c r="G59" s="129"/>
      <c r="H59" s="129"/>
      <c r="I59" s="130"/>
      <c r="J59" s="66"/>
      <c r="K59" s="707"/>
      <c r="L59" s="708"/>
      <c r="M59" s="708"/>
      <c r="N59" s="709"/>
      <c r="O59" s="710"/>
      <c r="P59" s="711"/>
      <c r="Q59" s="711"/>
      <c r="R59" s="712"/>
      <c r="S59" s="66"/>
    </row>
    <row r="60" spans="1:19" x14ac:dyDescent="0.25">
      <c r="A60" s="125"/>
      <c r="B60" s="713" t="s">
        <v>432</v>
      </c>
      <c r="C60" s="713"/>
      <c r="D60" s="713"/>
      <c r="E60" s="713"/>
      <c r="F60" s="713"/>
      <c r="G60" s="713"/>
      <c r="H60" s="713"/>
      <c r="I60" s="713"/>
      <c r="J60" s="66"/>
      <c r="K60" s="164"/>
      <c r="L60" s="164"/>
      <c r="M60" s="164"/>
      <c r="N60" s="164"/>
      <c r="O60" s="164"/>
      <c r="P60" s="164"/>
      <c r="Q60" s="164"/>
      <c r="R60" s="126"/>
      <c r="S60" s="66"/>
    </row>
    <row r="61" spans="1:19" x14ac:dyDescent="0.25">
      <c r="A61" s="165"/>
      <c r="B61" s="165"/>
      <c r="C61" s="165"/>
      <c r="D61" s="165"/>
      <c r="E61" s="165"/>
      <c r="F61" s="165"/>
      <c r="G61" s="165"/>
      <c r="H61" s="165"/>
      <c r="I61" s="165"/>
      <c r="J61" s="165"/>
      <c r="K61" s="165"/>
      <c r="L61" s="165"/>
      <c r="M61" s="165"/>
      <c r="N61" s="165"/>
      <c r="O61" s="165"/>
      <c r="P61" s="165"/>
      <c r="Q61" s="165"/>
      <c r="R61" s="165"/>
      <c r="S61" s="165"/>
    </row>
  </sheetData>
  <mergeCells count="113">
    <mergeCell ref="A7:B7"/>
    <mergeCell ref="C7:R7"/>
    <mergeCell ref="A8:D8"/>
    <mergeCell ref="E8:G8"/>
    <mergeCell ref="H8:K8"/>
    <mergeCell ref="L8:M8"/>
    <mergeCell ref="N8:P8"/>
    <mergeCell ref="Q8:R8"/>
    <mergeCell ref="A1:S1"/>
    <mergeCell ref="P2:R2"/>
    <mergeCell ref="A3:S3"/>
    <mergeCell ref="A5:E5"/>
    <mergeCell ref="F5:R5"/>
    <mergeCell ref="A6:L6"/>
    <mergeCell ref="M6:N6"/>
    <mergeCell ref="O6:R6"/>
    <mergeCell ref="B16:C16"/>
    <mergeCell ref="D16:G16"/>
    <mergeCell ref="M16:Q16"/>
    <mergeCell ref="B17:C17"/>
    <mergeCell ref="D17:G17"/>
    <mergeCell ref="L17:Q17"/>
    <mergeCell ref="A9:E9"/>
    <mergeCell ref="F9:R9"/>
    <mergeCell ref="J10:N10"/>
    <mergeCell ref="P10:R10"/>
    <mergeCell ref="J12:K12"/>
    <mergeCell ref="J14:K14"/>
    <mergeCell ref="L14:Q14"/>
    <mergeCell ref="B20:N20"/>
    <mergeCell ref="O20:R20"/>
    <mergeCell ref="A21:O21"/>
    <mergeCell ref="P21:R21"/>
    <mergeCell ref="C23:E23"/>
    <mergeCell ref="G23:K23"/>
    <mergeCell ref="N23:O23"/>
    <mergeCell ref="P23:R23"/>
    <mergeCell ref="C18:E18"/>
    <mergeCell ref="H18:K18"/>
    <mergeCell ref="O18:R18"/>
    <mergeCell ref="C19:E19"/>
    <mergeCell ref="H19:K19"/>
    <mergeCell ref="O19:R19"/>
    <mergeCell ref="B27:R27"/>
    <mergeCell ref="B29:N29"/>
    <mergeCell ref="O29:R29"/>
    <mergeCell ref="B30:N30"/>
    <mergeCell ref="O30:R30"/>
    <mergeCell ref="B31:R31"/>
    <mergeCell ref="C24:E24"/>
    <mergeCell ref="G24:K24"/>
    <mergeCell ref="N24:O24"/>
    <mergeCell ref="P24:R24"/>
    <mergeCell ref="B26:N26"/>
    <mergeCell ref="O26:R26"/>
    <mergeCell ref="B32:F32"/>
    <mergeCell ref="G32:J32"/>
    <mergeCell ref="K32:L32"/>
    <mergeCell ref="M32:P32"/>
    <mergeCell ref="Q32:R32"/>
    <mergeCell ref="B33:F33"/>
    <mergeCell ref="G33:J33"/>
    <mergeCell ref="K33:L33"/>
    <mergeCell ref="M33:P33"/>
    <mergeCell ref="Q33:R33"/>
    <mergeCell ref="B34:R34"/>
    <mergeCell ref="B35:F35"/>
    <mergeCell ref="G35:K35"/>
    <mergeCell ref="L35:N35"/>
    <mergeCell ref="O35:R35"/>
    <mergeCell ref="B36:F36"/>
    <mergeCell ref="G36:K36"/>
    <mergeCell ref="L36:N36"/>
    <mergeCell ref="O36:R36"/>
    <mergeCell ref="B46:J46"/>
    <mergeCell ref="L46:R46"/>
    <mergeCell ref="L47:R47"/>
    <mergeCell ref="B48:I48"/>
    <mergeCell ref="K48:R48"/>
    <mergeCell ref="B49:I49"/>
    <mergeCell ref="K49:N49"/>
    <mergeCell ref="O49:R49"/>
    <mergeCell ref="B37:R37"/>
    <mergeCell ref="B38:R38"/>
    <mergeCell ref="B40:R40"/>
    <mergeCell ref="B41:R41"/>
    <mergeCell ref="B42:K42"/>
    <mergeCell ref="L43:R43"/>
    <mergeCell ref="K53:N53"/>
    <mergeCell ref="O53:R53"/>
    <mergeCell ref="B54:I54"/>
    <mergeCell ref="K54:N54"/>
    <mergeCell ref="O54:R54"/>
    <mergeCell ref="B55:I55"/>
    <mergeCell ref="K55:N55"/>
    <mergeCell ref="O55:R55"/>
    <mergeCell ref="K50:N50"/>
    <mergeCell ref="O50:R50"/>
    <mergeCell ref="B51:I51"/>
    <mergeCell ref="K51:N51"/>
    <mergeCell ref="O51:R51"/>
    <mergeCell ref="B52:I52"/>
    <mergeCell ref="K52:N52"/>
    <mergeCell ref="O52:R52"/>
    <mergeCell ref="K59:N59"/>
    <mergeCell ref="O59:R59"/>
    <mergeCell ref="B60:I60"/>
    <mergeCell ref="K56:N56"/>
    <mergeCell ref="O56:R56"/>
    <mergeCell ref="K57:N57"/>
    <mergeCell ref="O57:R57"/>
    <mergeCell ref="K58:N58"/>
    <mergeCell ref="O58:R58"/>
  </mergeCells>
  <dataValidations count="2">
    <dataValidation type="list" allowBlank="1" showInputMessage="1" showErrorMessage="1" sqref="O18:R18" xr:uid="{64C6F669-1271-45A4-86EF-5ABA1EFA2104}">
      <formula1>CodeNomenclature</formula1>
    </dataValidation>
    <dataValidation type="list" allowBlank="1" showInputMessage="1" showErrorMessage="1" sqref="O44" xr:uid="{69E67736-7DF8-4510-8D0B-9FD963142C64}">
      <formula1>"OUI,NON"</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29A8E-9170-475A-899C-B862E2244BF3}">
  <dimension ref="A1:AJ28"/>
  <sheetViews>
    <sheetView workbookViewId="0">
      <selection activeCell="E18" sqref="A1:XFD1048576"/>
    </sheetView>
  </sheetViews>
  <sheetFormatPr baseColWidth="10" defaultRowHeight="15" x14ac:dyDescent="0.25"/>
  <cols>
    <col min="1" max="1" width="3.7109375" customWidth="1"/>
    <col min="2" max="2" width="2.5703125" customWidth="1"/>
    <col min="3" max="15" width="2.7109375" customWidth="1"/>
    <col min="16" max="16" width="3.7109375" customWidth="1"/>
    <col min="17" max="20" width="2.7109375" customWidth="1"/>
    <col min="21" max="21" width="2.28515625" customWidth="1"/>
    <col min="22" max="22" width="3.5703125" customWidth="1"/>
    <col min="23" max="23" width="3.7109375" customWidth="1"/>
    <col min="24" max="33" width="2.7109375" customWidth="1"/>
    <col min="34" max="35" width="3.28515625" customWidth="1"/>
    <col min="36" max="36" width="2.7109375" customWidth="1"/>
  </cols>
  <sheetData>
    <row r="1" spans="1:36" x14ac:dyDescent="0.25">
      <c r="A1" s="695" t="s">
        <v>433</v>
      </c>
      <c r="B1" s="695"/>
      <c r="C1" s="695"/>
      <c r="D1" s="695"/>
      <c r="E1" s="695"/>
      <c r="F1" s="695"/>
      <c r="G1" s="695"/>
      <c r="H1" s="695"/>
      <c r="I1" s="695"/>
      <c r="J1" s="695"/>
      <c r="K1" s="695"/>
      <c r="L1" s="695"/>
      <c r="M1" s="695"/>
      <c r="N1" s="695"/>
      <c r="O1" s="695"/>
      <c r="P1" s="695"/>
      <c r="Q1" s="695"/>
      <c r="R1" s="695"/>
      <c r="S1" s="695"/>
      <c r="T1" s="695"/>
      <c r="U1" s="695"/>
      <c r="V1" s="695"/>
      <c r="W1" s="695"/>
      <c r="X1" s="695"/>
      <c r="Y1" s="695"/>
      <c r="Z1" s="695"/>
      <c r="AA1" s="695"/>
      <c r="AB1" s="695"/>
      <c r="AC1" s="695"/>
      <c r="AD1" s="695"/>
      <c r="AE1" s="695"/>
      <c r="AF1" s="695"/>
      <c r="AG1" s="695"/>
      <c r="AH1" s="695"/>
      <c r="AI1" s="695"/>
      <c r="AJ1" s="695"/>
    </row>
    <row r="2" spans="1:36" x14ac:dyDescent="0.25">
      <c r="A2" s="84"/>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row>
    <row r="3" spans="1:36" x14ac:dyDescent="0.25">
      <c r="A3" s="84"/>
      <c r="B3" s="84"/>
      <c r="C3" s="84"/>
      <c r="D3" s="84"/>
      <c r="E3" s="84"/>
      <c r="F3" s="84"/>
      <c r="G3" s="84"/>
      <c r="H3" s="84"/>
      <c r="I3" s="84"/>
      <c r="J3" s="84"/>
      <c r="K3" s="84"/>
      <c r="L3" s="84"/>
      <c r="M3" s="84"/>
      <c r="N3" s="84"/>
      <c r="O3" s="84"/>
      <c r="P3" s="84"/>
      <c r="Q3" s="84"/>
      <c r="R3" s="84"/>
      <c r="S3" s="84"/>
      <c r="T3" s="84"/>
      <c r="U3" s="84"/>
      <c r="V3" s="84"/>
      <c r="W3" s="84"/>
      <c r="X3" s="84"/>
      <c r="Y3" s="84"/>
      <c r="Z3" s="84"/>
      <c r="AA3" s="84"/>
      <c r="AB3" s="112"/>
      <c r="AC3" s="112"/>
      <c r="AD3" s="807"/>
      <c r="AE3" s="807"/>
      <c r="AF3" s="807"/>
      <c r="AG3" s="807"/>
      <c r="AH3" s="807"/>
      <c r="AI3" s="807"/>
      <c r="AJ3" s="807"/>
    </row>
    <row r="4" spans="1:36" ht="15.75" x14ac:dyDescent="0.25">
      <c r="A4" s="824" t="s">
        <v>434</v>
      </c>
      <c r="B4" s="824"/>
      <c r="C4" s="824"/>
      <c r="D4" s="824"/>
      <c r="E4" s="824"/>
      <c r="F4" s="824"/>
      <c r="G4" s="824"/>
      <c r="H4" s="824"/>
      <c r="I4" s="824"/>
      <c r="J4" s="824"/>
      <c r="K4" s="824"/>
      <c r="L4" s="824"/>
      <c r="M4" s="824"/>
      <c r="N4" s="824"/>
      <c r="O4" s="824"/>
      <c r="P4" s="824"/>
      <c r="Q4" s="824"/>
      <c r="R4" s="824"/>
      <c r="S4" s="824"/>
      <c r="T4" s="824"/>
      <c r="U4" s="824"/>
      <c r="V4" s="824"/>
      <c r="W4" s="824"/>
      <c r="X4" s="824"/>
      <c r="Y4" s="824"/>
      <c r="Z4" s="824"/>
      <c r="AA4" s="824"/>
      <c r="AB4" s="824"/>
      <c r="AC4" s="824"/>
      <c r="AD4" s="824"/>
      <c r="AE4" s="824"/>
      <c r="AF4" s="824"/>
      <c r="AG4" s="824"/>
      <c r="AH4" s="824"/>
      <c r="AI4" s="824"/>
      <c r="AJ4" s="824"/>
    </row>
    <row r="5" spans="1:36" x14ac:dyDescent="0.25">
      <c r="A5" s="66"/>
      <c r="B5" s="66"/>
      <c r="C5" s="66"/>
      <c r="D5" s="66"/>
      <c r="E5" s="66"/>
      <c r="F5" s="66"/>
      <c r="G5" s="66"/>
      <c r="H5" s="66"/>
      <c r="I5" s="66"/>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row>
    <row r="6" spans="1:36" x14ac:dyDescent="0.25">
      <c r="A6" s="801" t="s">
        <v>363</v>
      </c>
      <c r="B6" s="801"/>
      <c r="C6" s="801"/>
      <c r="D6" s="801"/>
      <c r="E6" s="801"/>
      <c r="F6" s="801"/>
      <c r="G6" s="801"/>
      <c r="H6" s="801"/>
      <c r="I6" s="801"/>
      <c r="J6" s="800" t="s">
        <v>2</v>
      </c>
      <c r="K6" s="800"/>
      <c r="L6" s="800"/>
      <c r="M6" s="800"/>
      <c r="N6" s="800"/>
      <c r="O6" s="800"/>
      <c r="P6" s="800"/>
      <c r="Q6" s="800"/>
      <c r="R6" s="800"/>
      <c r="S6" s="800"/>
      <c r="T6" s="800"/>
      <c r="U6" s="800"/>
      <c r="V6" s="800"/>
      <c r="W6" s="800"/>
      <c r="X6" s="800"/>
      <c r="Y6" s="800"/>
      <c r="Z6" s="800"/>
      <c r="AA6" s="800"/>
      <c r="AB6" s="800"/>
      <c r="AC6" s="800"/>
      <c r="AD6" s="800"/>
      <c r="AE6" s="800"/>
      <c r="AF6" s="800"/>
      <c r="AG6" s="800"/>
      <c r="AH6" s="800"/>
      <c r="AI6" s="800"/>
      <c r="AJ6" s="800"/>
    </row>
    <row r="7" spans="1:36" x14ac:dyDescent="0.25">
      <c r="A7" s="825" t="s">
        <v>4</v>
      </c>
      <c r="B7" s="800"/>
      <c r="C7" s="800"/>
      <c r="D7" s="800"/>
      <c r="E7" s="800"/>
      <c r="F7" s="800"/>
      <c r="G7" s="800"/>
      <c r="H7" s="800"/>
      <c r="I7" s="800"/>
      <c r="J7" s="800"/>
      <c r="K7" s="800"/>
      <c r="L7" s="800"/>
      <c r="M7" s="800"/>
      <c r="N7" s="800"/>
      <c r="O7" s="800"/>
      <c r="P7" s="800"/>
      <c r="Q7" s="800"/>
      <c r="R7" s="800"/>
      <c r="S7" s="800"/>
      <c r="T7" s="800"/>
      <c r="U7" s="800"/>
      <c r="V7" s="800"/>
      <c r="W7" s="809" t="s">
        <v>364</v>
      </c>
      <c r="X7" s="809"/>
      <c r="Y7" s="809"/>
      <c r="Z7" s="809"/>
      <c r="AA7" s="809"/>
      <c r="AB7" s="800" t="s">
        <v>6</v>
      </c>
      <c r="AC7" s="800"/>
      <c r="AD7" s="800"/>
      <c r="AE7" s="800"/>
      <c r="AF7" s="800"/>
      <c r="AG7" s="800"/>
      <c r="AH7" s="800"/>
      <c r="AI7" s="800"/>
      <c r="AJ7" s="800"/>
    </row>
    <row r="8" spans="1:36" x14ac:dyDescent="0.25">
      <c r="A8" s="799" t="s">
        <v>365</v>
      </c>
      <c r="B8" s="799"/>
      <c r="C8" s="799"/>
      <c r="D8" s="822" t="s">
        <v>10</v>
      </c>
      <c r="E8" s="822"/>
      <c r="F8" s="822"/>
      <c r="G8" s="822"/>
      <c r="H8" s="822"/>
      <c r="I8" s="822"/>
      <c r="J8" s="822"/>
      <c r="K8" s="822"/>
      <c r="L8" s="822"/>
      <c r="M8" s="822"/>
      <c r="N8" s="822"/>
      <c r="O8" s="822"/>
      <c r="P8" s="822"/>
      <c r="Q8" s="822"/>
      <c r="R8" s="822"/>
      <c r="S8" s="822"/>
      <c r="T8" s="822"/>
      <c r="U8" s="822"/>
      <c r="V8" s="822"/>
      <c r="W8" s="822"/>
      <c r="X8" s="822"/>
      <c r="Y8" s="822"/>
      <c r="Z8" s="822"/>
      <c r="AA8" s="822"/>
      <c r="AB8" s="822"/>
      <c r="AC8" s="822"/>
      <c r="AD8" s="822"/>
      <c r="AE8" s="822"/>
      <c r="AF8" s="822"/>
      <c r="AG8" s="822"/>
      <c r="AH8" s="822"/>
      <c r="AI8" s="822"/>
      <c r="AJ8" s="822"/>
    </row>
    <row r="9" spans="1:36" x14ac:dyDescent="0.25">
      <c r="A9" s="166" t="s">
        <v>366</v>
      </c>
      <c r="B9" s="166"/>
      <c r="C9" s="84"/>
      <c r="D9" s="84"/>
      <c r="E9" s="84"/>
      <c r="F9" s="84"/>
      <c r="G9" s="84"/>
      <c r="H9" s="167"/>
      <c r="I9" s="802" t="s">
        <v>13</v>
      </c>
      <c r="J9" s="802"/>
      <c r="K9" s="802"/>
      <c r="L9" s="802"/>
      <c r="M9" s="802"/>
      <c r="N9" s="802"/>
      <c r="O9" s="802"/>
      <c r="P9" s="802"/>
      <c r="Q9" s="823" t="s">
        <v>367</v>
      </c>
      <c r="R9" s="823"/>
      <c r="S9" s="823"/>
      <c r="T9" s="823"/>
      <c r="U9" s="823"/>
      <c r="V9" s="823"/>
      <c r="W9" s="804">
        <v>45291</v>
      </c>
      <c r="X9" s="805"/>
      <c r="Y9" s="805"/>
      <c r="Z9" s="805"/>
      <c r="AA9" s="805"/>
      <c r="AB9" s="823" t="s">
        <v>368</v>
      </c>
      <c r="AC9" s="823"/>
      <c r="AD9" s="823"/>
      <c r="AE9" s="823"/>
      <c r="AF9" s="823"/>
      <c r="AG9" s="823"/>
      <c r="AH9" s="805">
        <v>12</v>
      </c>
      <c r="AI9" s="805"/>
      <c r="AJ9" s="805"/>
    </row>
    <row r="10" spans="1:36" x14ac:dyDescent="0.25">
      <c r="A10" s="801" t="s">
        <v>369</v>
      </c>
      <c r="B10" s="801"/>
      <c r="C10" s="801"/>
      <c r="D10" s="801"/>
      <c r="E10" s="801"/>
      <c r="F10" s="801"/>
      <c r="G10" s="801"/>
      <c r="H10" s="801"/>
      <c r="I10" s="815" t="s">
        <v>8</v>
      </c>
      <c r="J10" s="815"/>
      <c r="K10" s="815"/>
      <c r="L10" s="815"/>
      <c r="M10" s="815"/>
      <c r="N10" s="815"/>
      <c r="O10" s="815"/>
      <c r="P10" s="815"/>
      <c r="Q10" s="815"/>
      <c r="R10" s="815"/>
      <c r="S10" s="815"/>
      <c r="T10" s="815"/>
      <c r="U10" s="815"/>
      <c r="V10" s="815"/>
      <c r="W10" s="815"/>
      <c r="X10" s="815"/>
      <c r="Y10" s="815"/>
      <c r="Z10" s="815"/>
      <c r="AA10" s="815"/>
      <c r="AB10" s="815"/>
      <c r="AC10" s="815"/>
      <c r="AD10" s="815"/>
      <c r="AE10" s="815"/>
      <c r="AF10" s="815"/>
      <c r="AG10" s="815"/>
      <c r="AH10" s="815"/>
      <c r="AI10" s="815"/>
      <c r="AJ10" s="815"/>
    </row>
    <row r="11" spans="1:36" x14ac:dyDescent="0.25">
      <c r="A11" s="166"/>
      <c r="B11" s="166"/>
      <c r="C11" s="84"/>
      <c r="D11" s="84"/>
      <c r="E11" s="84"/>
      <c r="F11" s="84"/>
      <c r="G11" s="84"/>
      <c r="H11" s="167"/>
      <c r="I11" s="123"/>
      <c r="J11" s="123"/>
      <c r="K11" s="123"/>
      <c r="L11" s="123"/>
      <c r="M11" s="123"/>
      <c r="N11" s="123"/>
      <c r="O11" s="123"/>
      <c r="P11" s="123"/>
      <c r="Q11" s="113"/>
      <c r="R11" s="113"/>
      <c r="S11" s="113"/>
      <c r="T11" s="113"/>
      <c r="U11" s="113"/>
      <c r="V11" s="113"/>
      <c r="W11" s="169"/>
      <c r="X11" s="169"/>
      <c r="Y11" s="169"/>
      <c r="Z11" s="169"/>
      <c r="AA11" s="169"/>
      <c r="AB11" s="113"/>
      <c r="AC11" s="113"/>
      <c r="AD11" s="113"/>
      <c r="AE11" s="113"/>
      <c r="AF11" s="113"/>
      <c r="AG11" s="113"/>
      <c r="AH11" s="132"/>
      <c r="AI11" s="132"/>
      <c r="AJ11" s="132"/>
    </row>
    <row r="12" spans="1:36" x14ac:dyDescent="0.25">
      <c r="A12" s="170"/>
      <c r="B12" s="171"/>
      <c r="C12" s="171"/>
      <c r="D12" s="171"/>
      <c r="E12" s="171"/>
      <c r="F12" s="171"/>
      <c r="G12" s="171"/>
      <c r="H12" s="171"/>
      <c r="I12" s="171"/>
      <c r="J12" s="171"/>
      <c r="K12" s="171"/>
      <c r="L12" s="171"/>
      <c r="M12" s="171"/>
      <c r="N12" s="171"/>
      <c r="O12" s="171"/>
      <c r="P12" s="171"/>
      <c r="Q12" s="171"/>
      <c r="R12" s="171"/>
      <c r="S12" s="172"/>
      <c r="T12" s="126"/>
      <c r="U12" s="173"/>
      <c r="V12" s="816" t="s">
        <v>435</v>
      </c>
      <c r="W12" s="817"/>
      <c r="X12" s="817"/>
      <c r="Y12" s="817"/>
      <c r="Z12" s="817"/>
      <c r="AA12" s="817"/>
      <c r="AB12" s="817"/>
      <c r="AC12" s="817"/>
      <c r="AD12" s="817"/>
      <c r="AE12" s="817"/>
      <c r="AF12" s="817"/>
      <c r="AG12" s="817"/>
      <c r="AH12" s="817"/>
      <c r="AI12" s="817"/>
      <c r="AJ12" s="818"/>
    </row>
    <row r="13" spans="1:36" ht="17.25" x14ac:dyDescent="0.25">
      <c r="A13" s="117" t="s">
        <v>436</v>
      </c>
      <c r="B13" s="67"/>
      <c r="C13" s="174" t="s">
        <v>437</v>
      </c>
      <c r="D13" s="67"/>
      <c r="E13" s="67"/>
      <c r="F13" s="67"/>
      <c r="G13" s="67"/>
      <c r="H13" s="67"/>
      <c r="I13" s="67"/>
      <c r="J13" s="67"/>
      <c r="K13" s="67"/>
      <c r="L13" s="67"/>
      <c r="M13" s="67"/>
      <c r="N13" s="66"/>
      <c r="O13" s="66"/>
      <c r="P13" s="66"/>
      <c r="Q13" s="810"/>
      <c r="R13" s="811"/>
      <c r="S13" s="118"/>
      <c r="T13" s="66"/>
      <c r="U13" s="66"/>
      <c r="V13" s="175"/>
      <c r="W13" s="176"/>
      <c r="X13" s="66"/>
      <c r="Y13" s="66"/>
      <c r="Z13" s="66"/>
      <c r="AA13" s="66"/>
      <c r="AB13" s="66"/>
      <c r="AC13" s="66"/>
      <c r="AD13" s="66"/>
      <c r="AE13" s="66"/>
      <c r="AF13" s="66"/>
      <c r="AG13" s="66"/>
      <c r="AH13" s="126"/>
      <c r="AI13" s="177"/>
      <c r="AJ13" s="178"/>
    </row>
    <row r="14" spans="1:36" x14ac:dyDescent="0.25">
      <c r="A14" s="179"/>
      <c r="B14" s="67"/>
      <c r="C14" s="67"/>
      <c r="D14" s="67"/>
      <c r="E14" s="67"/>
      <c r="F14" s="67"/>
      <c r="G14" s="67"/>
      <c r="H14" s="67"/>
      <c r="I14" s="67"/>
      <c r="J14" s="67"/>
      <c r="K14" s="67"/>
      <c r="L14" s="67"/>
      <c r="M14" s="67"/>
      <c r="N14" s="66"/>
      <c r="O14" s="66"/>
      <c r="P14" s="66"/>
      <c r="Q14" s="67"/>
      <c r="R14" s="67"/>
      <c r="S14" s="118"/>
      <c r="T14" s="66"/>
      <c r="U14" s="66"/>
      <c r="V14" s="180"/>
      <c r="W14" s="66"/>
      <c r="X14" s="66"/>
      <c r="Y14" s="66"/>
      <c r="Z14" s="66"/>
      <c r="AA14" s="66"/>
      <c r="AB14" s="66"/>
      <c r="AC14" s="66"/>
      <c r="AD14" s="66"/>
      <c r="AE14" s="66"/>
      <c r="AF14" s="66"/>
      <c r="AG14" s="66"/>
      <c r="AH14" s="66"/>
      <c r="AI14" s="66"/>
      <c r="AJ14" s="178"/>
    </row>
    <row r="15" spans="1:36" ht="17.25" x14ac:dyDescent="0.25">
      <c r="A15" s="117" t="s">
        <v>438</v>
      </c>
      <c r="B15" s="67"/>
      <c r="C15" s="174" t="s">
        <v>439</v>
      </c>
      <c r="D15" s="67"/>
      <c r="E15" s="67"/>
      <c r="F15" s="67"/>
      <c r="G15" s="67"/>
      <c r="H15" s="67"/>
      <c r="I15" s="67"/>
      <c r="J15" s="67"/>
      <c r="K15" s="67"/>
      <c r="L15" s="67"/>
      <c r="M15" s="67"/>
      <c r="N15" s="66"/>
      <c r="O15" s="66"/>
      <c r="P15" s="66"/>
      <c r="Q15" s="181"/>
      <c r="R15" s="182"/>
      <c r="S15" s="118"/>
      <c r="T15" s="66"/>
      <c r="U15" s="66"/>
      <c r="V15" s="183"/>
      <c r="W15" s="819" t="s">
        <v>440</v>
      </c>
      <c r="X15" s="820"/>
      <c r="Y15" s="820"/>
      <c r="Z15" s="820"/>
      <c r="AA15" s="820"/>
      <c r="AB15" s="820"/>
      <c r="AC15" s="820"/>
      <c r="AD15" s="820"/>
      <c r="AE15" s="820"/>
      <c r="AF15" s="820"/>
      <c r="AG15" s="820"/>
      <c r="AH15" s="820"/>
      <c r="AI15" s="821"/>
      <c r="AJ15" s="178"/>
    </row>
    <row r="16" spans="1:36" x14ac:dyDescent="0.25">
      <c r="A16" s="179"/>
      <c r="B16" s="67"/>
      <c r="C16" s="67"/>
      <c r="D16" s="67"/>
      <c r="E16" s="67"/>
      <c r="F16" s="67"/>
      <c r="G16" s="67"/>
      <c r="H16" s="67"/>
      <c r="I16" s="67"/>
      <c r="J16" s="67"/>
      <c r="K16" s="67"/>
      <c r="L16" s="67"/>
      <c r="M16" s="67"/>
      <c r="N16" s="66"/>
      <c r="O16" s="66"/>
      <c r="P16" s="66"/>
      <c r="Q16" s="67"/>
      <c r="R16" s="67"/>
      <c r="S16" s="118"/>
      <c r="T16" s="66"/>
      <c r="U16" s="66"/>
      <c r="V16" s="180"/>
      <c r="W16" s="66"/>
      <c r="X16" s="66"/>
      <c r="Y16" s="66"/>
      <c r="Z16" s="66"/>
      <c r="AA16" s="66"/>
      <c r="AB16" s="66"/>
      <c r="AC16" s="66"/>
      <c r="AD16" s="66"/>
      <c r="AE16" s="66"/>
      <c r="AF16" s="66"/>
      <c r="AG16" s="66"/>
      <c r="AH16" s="66"/>
      <c r="AI16" s="66"/>
      <c r="AJ16" s="178"/>
    </row>
    <row r="17" spans="1:36" ht="17.25" x14ac:dyDescent="0.25">
      <c r="A17" s="117" t="s">
        <v>441</v>
      </c>
      <c r="B17" s="67"/>
      <c r="C17" s="174" t="s">
        <v>442</v>
      </c>
      <c r="D17" s="67"/>
      <c r="E17" s="67"/>
      <c r="F17" s="67"/>
      <c r="G17" s="67"/>
      <c r="H17" s="67"/>
      <c r="I17" s="67"/>
      <c r="J17" s="67"/>
      <c r="K17" s="67"/>
      <c r="L17" s="67"/>
      <c r="M17" s="67"/>
      <c r="N17" s="66"/>
      <c r="O17" s="66"/>
      <c r="P17" s="66"/>
      <c r="Q17" s="810"/>
      <c r="R17" s="811"/>
      <c r="S17" s="118"/>
      <c r="T17" s="66"/>
      <c r="U17" s="66"/>
      <c r="V17" s="183"/>
      <c r="W17" s="176"/>
      <c r="X17" s="66"/>
      <c r="Y17" s="66"/>
      <c r="Z17" s="66"/>
      <c r="AA17" s="66"/>
      <c r="AB17" s="66"/>
      <c r="AC17" s="66"/>
      <c r="AD17" s="66"/>
      <c r="AE17" s="66"/>
      <c r="AF17" s="66"/>
      <c r="AG17" s="66"/>
      <c r="AH17" s="66"/>
      <c r="AI17" s="184"/>
      <c r="AJ17" s="178"/>
    </row>
    <row r="18" spans="1:36" x14ac:dyDescent="0.25">
      <c r="A18" s="179"/>
      <c r="B18" s="67"/>
      <c r="C18" s="67"/>
      <c r="D18" s="67"/>
      <c r="E18" s="67"/>
      <c r="F18" s="67"/>
      <c r="G18" s="67"/>
      <c r="H18" s="67"/>
      <c r="I18" s="67"/>
      <c r="J18" s="67"/>
      <c r="K18" s="67"/>
      <c r="L18" s="67"/>
      <c r="M18" s="67"/>
      <c r="N18" s="66"/>
      <c r="O18" s="66"/>
      <c r="P18" s="66"/>
      <c r="Q18" s="67"/>
      <c r="R18" s="67"/>
      <c r="S18" s="118"/>
      <c r="T18" s="66"/>
      <c r="U18" s="66"/>
      <c r="V18" s="180"/>
      <c r="W18" s="66"/>
      <c r="X18" s="66"/>
      <c r="Y18" s="66"/>
      <c r="Z18" s="66"/>
      <c r="AA18" s="66"/>
      <c r="AB18" s="66"/>
      <c r="AC18" s="66"/>
      <c r="AD18" s="66"/>
      <c r="AE18" s="66"/>
      <c r="AF18" s="66"/>
      <c r="AG18" s="66"/>
      <c r="AH18" s="66"/>
      <c r="AI18" s="66"/>
      <c r="AJ18" s="178"/>
    </row>
    <row r="19" spans="1:36" x14ac:dyDescent="0.25">
      <c r="A19" s="117" t="s">
        <v>443</v>
      </c>
      <c r="B19" s="84"/>
      <c r="C19" s="185" t="s">
        <v>444</v>
      </c>
      <c r="D19" s="67"/>
      <c r="E19" s="67"/>
      <c r="F19" s="67"/>
      <c r="G19" s="67"/>
      <c r="H19" s="67"/>
      <c r="I19" s="67"/>
      <c r="J19" s="67"/>
      <c r="K19" s="67"/>
      <c r="L19" s="67"/>
      <c r="M19" s="67"/>
      <c r="N19" s="66"/>
      <c r="O19" s="66"/>
      <c r="P19" s="66"/>
      <c r="Q19" s="810"/>
      <c r="R19" s="811"/>
      <c r="S19" s="118"/>
      <c r="T19" s="66"/>
      <c r="U19" s="66"/>
      <c r="V19" s="180"/>
      <c r="W19" s="66"/>
      <c r="X19" s="66"/>
      <c r="Y19" s="66"/>
      <c r="Z19" s="66"/>
      <c r="AA19" s="66"/>
      <c r="AB19" s="66"/>
      <c r="AC19" s="66"/>
      <c r="AD19" s="66"/>
      <c r="AE19" s="66"/>
      <c r="AF19" s="66"/>
      <c r="AG19" s="66"/>
      <c r="AH19" s="66"/>
      <c r="AI19" s="66"/>
      <c r="AJ19" s="178"/>
    </row>
    <row r="20" spans="1:36" x14ac:dyDescent="0.25">
      <c r="A20" s="179"/>
      <c r="B20" s="67"/>
      <c r="C20" s="67"/>
      <c r="D20" s="67"/>
      <c r="E20" s="67"/>
      <c r="F20" s="67"/>
      <c r="G20" s="67"/>
      <c r="H20" s="67"/>
      <c r="I20" s="67"/>
      <c r="J20" s="67"/>
      <c r="K20" s="67"/>
      <c r="L20" s="67"/>
      <c r="M20" s="67"/>
      <c r="N20" s="66"/>
      <c r="O20" s="66"/>
      <c r="P20" s="66"/>
      <c r="Q20" s="67"/>
      <c r="R20" s="67"/>
      <c r="S20" s="118"/>
      <c r="T20" s="66"/>
      <c r="U20" s="66"/>
      <c r="V20" s="180"/>
      <c r="W20" s="66"/>
      <c r="X20" s="66"/>
      <c r="Y20" s="66"/>
      <c r="Z20" s="66"/>
      <c r="AA20" s="66"/>
      <c r="AB20" s="66"/>
      <c r="AC20" s="66"/>
      <c r="AD20" s="66"/>
      <c r="AE20" s="66"/>
      <c r="AF20" s="66"/>
      <c r="AG20" s="66"/>
      <c r="AH20" s="66"/>
      <c r="AI20" s="66"/>
      <c r="AJ20" s="178"/>
    </row>
    <row r="21" spans="1:36" x14ac:dyDescent="0.25">
      <c r="A21" s="117" t="s">
        <v>445</v>
      </c>
      <c r="B21" s="67"/>
      <c r="C21" s="174" t="s">
        <v>446</v>
      </c>
      <c r="D21" s="67"/>
      <c r="E21" s="67"/>
      <c r="F21" s="67"/>
      <c r="G21" s="67"/>
      <c r="H21" s="67"/>
      <c r="I21" s="67"/>
      <c r="J21" s="67"/>
      <c r="K21" s="67"/>
      <c r="L21" s="67"/>
      <c r="M21" s="67"/>
      <c r="N21" s="66"/>
      <c r="O21" s="66"/>
      <c r="P21" s="66"/>
      <c r="Q21" s="810"/>
      <c r="R21" s="811"/>
      <c r="S21" s="118"/>
      <c r="T21" s="66"/>
      <c r="U21" s="66"/>
      <c r="V21" s="180"/>
      <c r="W21" s="66"/>
      <c r="X21" s="66"/>
      <c r="Y21" s="66"/>
      <c r="Z21" s="66"/>
      <c r="AA21" s="66"/>
      <c r="AB21" s="66"/>
      <c r="AC21" s="66"/>
      <c r="AD21" s="66"/>
      <c r="AE21" s="66"/>
      <c r="AF21" s="66"/>
      <c r="AG21" s="66"/>
      <c r="AH21" s="66"/>
      <c r="AI21" s="66"/>
      <c r="AJ21" s="178"/>
    </row>
    <row r="22" spans="1:36" x14ac:dyDescent="0.25">
      <c r="A22" s="180"/>
      <c r="B22" s="67"/>
      <c r="C22" s="174" t="s">
        <v>447</v>
      </c>
      <c r="D22" s="67"/>
      <c r="E22" s="67"/>
      <c r="F22" s="67"/>
      <c r="G22" s="67"/>
      <c r="H22" s="67"/>
      <c r="I22" s="67"/>
      <c r="J22" s="67"/>
      <c r="K22" s="67"/>
      <c r="L22" s="67"/>
      <c r="M22" s="67"/>
      <c r="N22" s="66"/>
      <c r="O22" s="66"/>
      <c r="P22" s="66"/>
      <c r="Q22" s="67"/>
      <c r="R22" s="67"/>
      <c r="S22" s="118"/>
      <c r="T22" s="66"/>
      <c r="U22" s="66"/>
      <c r="V22" s="180"/>
      <c r="W22" s="66"/>
      <c r="X22" s="66"/>
      <c r="Y22" s="66"/>
      <c r="Z22" s="66"/>
      <c r="AA22" s="66"/>
      <c r="AB22" s="66"/>
      <c r="AC22" s="66"/>
      <c r="AD22" s="66"/>
      <c r="AE22" s="66"/>
      <c r="AF22" s="66"/>
      <c r="AG22" s="66"/>
      <c r="AH22" s="66"/>
      <c r="AI22" s="66"/>
      <c r="AJ22" s="178"/>
    </row>
    <row r="23" spans="1:36" x14ac:dyDescent="0.25">
      <c r="A23" s="179"/>
      <c r="B23" s="67"/>
      <c r="C23" s="67"/>
      <c r="D23" s="67"/>
      <c r="E23" s="67"/>
      <c r="F23" s="67"/>
      <c r="G23" s="67"/>
      <c r="H23" s="67"/>
      <c r="I23" s="67"/>
      <c r="J23" s="67"/>
      <c r="K23" s="67"/>
      <c r="L23" s="67"/>
      <c r="M23" s="67"/>
      <c r="N23" s="66"/>
      <c r="O23" s="66"/>
      <c r="P23" s="66"/>
      <c r="Q23" s="67"/>
      <c r="R23" s="67"/>
      <c r="S23" s="118"/>
      <c r="T23" s="66"/>
      <c r="U23" s="66"/>
      <c r="V23" s="180"/>
      <c r="W23" s="66"/>
      <c r="X23" s="66"/>
      <c r="Y23" s="66"/>
      <c r="Z23" s="66"/>
      <c r="AA23" s="66"/>
      <c r="AB23" s="66"/>
      <c r="AC23" s="66"/>
      <c r="AD23" s="66"/>
      <c r="AE23" s="66"/>
      <c r="AF23" s="66"/>
      <c r="AG23" s="66"/>
      <c r="AH23" s="66"/>
      <c r="AI23" s="66"/>
      <c r="AJ23" s="178"/>
    </row>
    <row r="24" spans="1:36" x14ac:dyDescent="0.25">
      <c r="A24" s="117" t="s">
        <v>448</v>
      </c>
      <c r="B24" s="67"/>
      <c r="C24" s="174" t="s">
        <v>449</v>
      </c>
      <c r="D24" s="67"/>
      <c r="E24" s="67"/>
      <c r="F24" s="67"/>
      <c r="G24" s="67"/>
      <c r="H24" s="67"/>
      <c r="I24" s="67"/>
      <c r="J24" s="67"/>
      <c r="K24" s="67"/>
      <c r="L24" s="67"/>
      <c r="M24" s="67"/>
      <c r="N24" s="66"/>
      <c r="O24" s="66"/>
      <c r="P24" s="66"/>
      <c r="Q24" s="812"/>
      <c r="R24" s="813"/>
      <c r="S24" s="813"/>
      <c r="T24" s="814"/>
      <c r="U24" s="66"/>
      <c r="V24" s="180"/>
      <c r="W24" s="66"/>
      <c r="X24" s="66"/>
      <c r="Y24" s="66"/>
      <c r="Z24" s="66"/>
      <c r="AA24" s="66"/>
      <c r="AB24" s="66"/>
      <c r="AC24" s="66"/>
      <c r="AD24" s="66"/>
      <c r="AE24" s="66"/>
      <c r="AF24" s="66"/>
      <c r="AG24" s="66"/>
      <c r="AH24" s="66"/>
      <c r="AI24" s="66"/>
      <c r="AJ24" s="178"/>
    </row>
    <row r="25" spans="1:36" x14ac:dyDescent="0.25">
      <c r="A25" s="186"/>
      <c r="B25" s="99"/>
      <c r="C25" s="99"/>
      <c r="D25" s="99"/>
      <c r="E25" s="99"/>
      <c r="F25" s="99"/>
      <c r="G25" s="99"/>
      <c r="H25" s="99"/>
      <c r="I25" s="99"/>
      <c r="J25" s="99"/>
      <c r="K25" s="99"/>
      <c r="L25" s="99"/>
      <c r="M25" s="99"/>
      <c r="N25" s="187"/>
      <c r="O25" s="187"/>
      <c r="P25" s="187"/>
      <c r="Q25" s="187"/>
      <c r="R25" s="187"/>
      <c r="S25" s="187"/>
      <c r="T25" s="187"/>
      <c r="U25" s="188"/>
      <c r="V25" s="186"/>
      <c r="W25" s="187"/>
      <c r="X25" s="187"/>
      <c r="Y25" s="187"/>
      <c r="Z25" s="187"/>
      <c r="AA25" s="187"/>
      <c r="AB25" s="187"/>
      <c r="AC25" s="187"/>
      <c r="AD25" s="187"/>
      <c r="AE25" s="187"/>
      <c r="AF25" s="187"/>
      <c r="AG25" s="187"/>
      <c r="AH25" s="187"/>
      <c r="AI25" s="187"/>
      <c r="AJ25" s="188"/>
    </row>
    <row r="26" spans="1:36"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row>
    <row r="27" spans="1:36" ht="15.75" x14ac:dyDescent="0.25">
      <c r="A27" s="189" t="s">
        <v>450</v>
      </c>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190"/>
    </row>
    <row r="28" spans="1:36" x14ac:dyDescent="0.25">
      <c r="A28" s="60"/>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191"/>
    </row>
  </sheetData>
  <mergeCells count="24">
    <mergeCell ref="A7:V7"/>
    <mergeCell ref="W7:AA7"/>
    <mergeCell ref="AB7:AJ7"/>
    <mergeCell ref="A1:AJ1"/>
    <mergeCell ref="AD3:AJ3"/>
    <mergeCell ref="A4:AJ4"/>
    <mergeCell ref="A6:I6"/>
    <mergeCell ref="J6:AJ6"/>
    <mergeCell ref="A8:C8"/>
    <mergeCell ref="D8:AJ8"/>
    <mergeCell ref="I9:P9"/>
    <mergeCell ref="Q9:V9"/>
    <mergeCell ref="W9:AA9"/>
    <mergeCell ref="AB9:AG9"/>
    <mergeCell ref="AH9:AJ9"/>
    <mergeCell ref="Q19:R19"/>
    <mergeCell ref="Q21:R21"/>
    <mergeCell ref="Q24:T24"/>
    <mergeCell ref="A10:H10"/>
    <mergeCell ref="I10:AJ10"/>
    <mergeCell ref="V12:AJ12"/>
    <mergeCell ref="Q13:R13"/>
    <mergeCell ref="W15:AI15"/>
    <mergeCell ref="Q17:R17"/>
  </mergeCells>
  <dataValidations count="4">
    <dataValidation type="list" showInputMessage="1" showErrorMessage="1" sqref="Q13:R13" xr:uid="{00116652-CBD3-4891-8B51-8BFCE248A9E8}">
      <formula1>FormesJuridiques</formula1>
    </dataValidation>
    <dataValidation type="list" showInputMessage="1" showErrorMessage="1" sqref="Q15" xr:uid="{91089631-645F-4065-AC0B-FDA003671877}">
      <formula1>RegimeFiscal</formula1>
    </dataValidation>
    <dataValidation type="list" showInputMessage="1" showErrorMessage="1" sqref="Q17:R17" xr:uid="{A8811143-891B-4E84-B08A-689BD3DA9860}">
      <formula1>CodePaysSiege</formula1>
    </dataValidation>
    <dataValidation type="list" showInputMessage="1" showErrorMessage="1" sqref="W15:AI15" xr:uid="{E50AD342-6664-4521-9FE8-90AD5A8E9889}">
      <formula1>ControleEntite</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07654-6D0A-45DB-91D4-35A18776023D}">
  <dimension ref="A2:I55"/>
  <sheetViews>
    <sheetView workbookViewId="0">
      <selection activeCell="F12" sqref="A1:XFD1048576"/>
    </sheetView>
  </sheetViews>
  <sheetFormatPr baseColWidth="10" defaultRowHeight="15" x14ac:dyDescent="0.25"/>
  <cols>
    <col min="1" max="1" width="12.85546875" customWidth="1"/>
    <col min="2" max="2" width="10.42578125" customWidth="1"/>
    <col min="3" max="3" width="12.85546875" customWidth="1"/>
    <col min="4" max="4" width="15" customWidth="1"/>
    <col min="5" max="5" width="7.28515625" customWidth="1"/>
    <col min="6" max="6" width="9.42578125" customWidth="1"/>
    <col min="7" max="8" width="15.7109375" customWidth="1"/>
    <col min="9" max="9" width="8.7109375" customWidth="1"/>
  </cols>
  <sheetData>
    <row r="2" spans="1:9" x14ac:dyDescent="0.25">
      <c r="A2" s="853" t="s">
        <v>451</v>
      </c>
      <c r="B2" s="853"/>
      <c r="C2" s="853"/>
      <c r="D2" s="853"/>
      <c r="E2" s="853"/>
      <c r="F2" s="853"/>
      <c r="G2" s="853"/>
      <c r="H2" s="853"/>
      <c r="I2" s="853"/>
    </row>
    <row r="3" spans="1:9" ht="15.75" x14ac:dyDescent="0.25">
      <c r="A3" s="693" t="s">
        <v>452</v>
      </c>
      <c r="B3" s="693"/>
      <c r="C3" s="693"/>
      <c r="D3" s="693"/>
      <c r="E3" s="693"/>
      <c r="F3" s="693"/>
      <c r="G3" s="693"/>
      <c r="H3" s="693"/>
      <c r="I3" s="693"/>
    </row>
    <row r="4" spans="1:9" x14ac:dyDescent="0.25">
      <c r="A4" s="192"/>
      <c r="B4" s="192"/>
      <c r="C4" s="192"/>
      <c r="D4" s="192"/>
      <c r="E4" s="192"/>
      <c r="F4" s="192"/>
      <c r="G4" s="192"/>
      <c r="H4" s="192"/>
      <c r="I4" s="192"/>
    </row>
    <row r="5" spans="1:9" x14ac:dyDescent="0.25">
      <c r="A5" s="854" t="s">
        <v>363</v>
      </c>
      <c r="B5" s="854"/>
      <c r="C5" s="800" t="s">
        <v>2</v>
      </c>
      <c r="D5" s="800"/>
      <c r="E5" s="800"/>
      <c r="F5" s="800"/>
      <c r="G5" s="800"/>
      <c r="H5" s="800"/>
      <c r="I5" s="800"/>
    </row>
    <row r="6" spans="1:9" x14ac:dyDescent="0.25">
      <c r="A6" s="825" t="s">
        <v>4</v>
      </c>
      <c r="B6" s="825"/>
      <c r="C6" s="825"/>
      <c r="D6" s="825"/>
      <c r="E6" s="825"/>
      <c r="F6" s="825"/>
      <c r="G6" s="168" t="s">
        <v>364</v>
      </c>
      <c r="H6" s="800" t="s">
        <v>6</v>
      </c>
      <c r="I6" s="800"/>
    </row>
    <row r="7" spans="1:9" x14ac:dyDescent="0.25">
      <c r="A7" s="114" t="s">
        <v>365</v>
      </c>
      <c r="B7" s="822" t="s">
        <v>10</v>
      </c>
      <c r="C7" s="822"/>
      <c r="D7" s="822"/>
      <c r="E7" s="822"/>
      <c r="F7" s="822"/>
      <c r="G7" s="822"/>
      <c r="H7" s="822"/>
      <c r="I7" s="822"/>
    </row>
    <row r="8" spans="1:9" x14ac:dyDescent="0.25">
      <c r="A8" s="166" t="s">
        <v>366</v>
      </c>
      <c r="B8" s="166"/>
      <c r="C8" s="193" t="s">
        <v>13</v>
      </c>
      <c r="D8" s="823" t="s">
        <v>453</v>
      </c>
      <c r="E8" s="823"/>
      <c r="F8" s="823"/>
      <c r="G8" s="115">
        <v>45291</v>
      </c>
      <c r="H8" s="168" t="s">
        <v>368</v>
      </c>
      <c r="I8" s="116">
        <v>12</v>
      </c>
    </row>
    <row r="9" spans="1:9" x14ac:dyDescent="0.25">
      <c r="A9" s="842" t="s">
        <v>369</v>
      </c>
      <c r="B9" s="842"/>
      <c r="C9" s="843" t="s">
        <v>8</v>
      </c>
      <c r="D9" s="843"/>
      <c r="E9" s="843"/>
      <c r="F9" s="843"/>
      <c r="G9" s="843"/>
      <c r="H9" s="843"/>
      <c r="I9" s="843"/>
    </row>
    <row r="10" spans="1:9" ht="17.25" x14ac:dyDescent="0.25">
      <c r="A10" s="833" t="s">
        <v>454</v>
      </c>
      <c r="B10" s="833"/>
      <c r="C10" s="833"/>
      <c r="D10" s="833"/>
      <c r="E10" s="833"/>
      <c r="F10" s="833"/>
      <c r="G10" s="833"/>
      <c r="H10" s="833"/>
      <c r="I10" s="833"/>
    </row>
    <row r="11" spans="1:9" ht="9.6" customHeight="1" x14ac:dyDescent="0.25">
      <c r="A11" s="192"/>
      <c r="B11" s="192"/>
      <c r="C11" s="192"/>
      <c r="D11" s="192"/>
      <c r="E11" s="192"/>
      <c r="F11" s="192"/>
      <c r="G11" s="192"/>
      <c r="H11" s="192"/>
      <c r="I11" s="192"/>
    </row>
    <row r="12" spans="1:9" x14ac:dyDescent="0.25">
      <c r="A12" s="844" t="s">
        <v>455</v>
      </c>
      <c r="B12" s="845"/>
      <c r="C12" s="848" t="s">
        <v>456</v>
      </c>
      <c r="D12" s="839" t="s">
        <v>457</v>
      </c>
      <c r="E12" s="844" t="s">
        <v>412</v>
      </c>
      <c r="F12" s="849"/>
      <c r="G12" s="851" t="s">
        <v>458</v>
      </c>
      <c r="H12" s="838" t="s">
        <v>459</v>
      </c>
      <c r="I12" s="839"/>
    </row>
    <row r="13" spans="1:9" ht="19.149999999999999" customHeight="1" x14ac:dyDescent="0.25">
      <c r="A13" s="846"/>
      <c r="B13" s="847"/>
      <c r="C13" s="848"/>
      <c r="D13" s="847"/>
      <c r="E13" s="846"/>
      <c r="F13" s="850"/>
      <c r="G13" s="852"/>
      <c r="H13" s="840"/>
      <c r="I13" s="841"/>
    </row>
    <row r="14" spans="1:9" x14ac:dyDescent="0.25">
      <c r="A14" s="832"/>
      <c r="B14" s="832"/>
      <c r="C14" s="194"/>
      <c r="D14" s="194"/>
      <c r="E14" s="832"/>
      <c r="F14" s="832"/>
      <c r="G14" s="195"/>
      <c r="H14" s="832"/>
      <c r="I14" s="832"/>
    </row>
    <row r="15" spans="1:9" x14ac:dyDescent="0.25">
      <c r="A15" s="832"/>
      <c r="B15" s="832"/>
      <c r="C15" s="194"/>
      <c r="D15" s="194"/>
      <c r="E15" s="832"/>
      <c r="F15" s="832"/>
      <c r="G15" s="195"/>
      <c r="H15" s="832"/>
      <c r="I15" s="832"/>
    </row>
    <row r="16" spans="1:9" x14ac:dyDescent="0.25">
      <c r="A16" s="832"/>
      <c r="B16" s="832"/>
      <c r="C16" s="194"/>
      <c r="D16" s="194"/>
      <c r="E16" s="832"/>
      <c r="F16" s="832"/>
      <c r="G16" s="195"/>
      <c r="H16" s="832"/>
      <c r="I16" s="832"/>
    </row>
    <row r="17" spans="1:9" x14ac:dyDescent="0.25">
      <c r="A17" s="832"/>
      <c r="B17" s="832"/>
      <c r="C17" s="194"/>
      <c r="D17" s="194"/>
      <c r="E17" s="832"/>
      <c r="F17" s="832"/>
      <c r="G17" s="195"/>
      <c r="H17" s="832"/>
      <c r="I17" s="832"/>
    </row>
    <row r="18" spans="1:9" x14ac:dyDescent="0.25">
      <c r="A18" s="832"/>
      <c r="B18" s="832"/>
      <c r="C18" s="194"/>
      <c r="D18" s="194"/>
      <c r="E18" s="832"/>
      <c r="F18" s="832"/>
      <c r="G18" s="195"/>
      <c r="H18" s="832"/>
      <c r="I18" s="832"/>
    </row>
    <row r="19" spans="1:9" x14ac:dyDescent="0.25">
      <c r="A19" s="832"/>
      <c r="B19" s="832"/>
      <c r="C19" s="194"/>
      <c r="D19" s="194"/>
      <c r="E19" s="832"/>
      <c r="F19" s="832"/>
      <c r="G19" s="195"/>
      <c r="H19" s="832"/>
      <c r="I19" s="832"/>
    </row>
    <row r="20" spans="1:9" x14ac:dyDescent="0.25">
      <c r="A20" s="832"/>
      <c r="B20" s="832"/>
      <c r="C20" s="194"/>
      <c r="D20" s="194"/>
      <c r="E20" s="832"/>
      <c r="F20" s="832"/>
      <c r="G20" s="195"/>
      <c r="H20" s="832"/>
      <c r="I20" s="832"/>
    </row>
    <row r="21" spans="1:9" x14ac:dyDescent="0.25">
      <c r="A21" s="832"/>
      <c r="B21" s="832"/>
      <c r="C21" s="194"/>
      <c r="D21" s="194"/>
      <c r="E21" s="832"/>
      <c r="F21" s="832"/>
      <c r="G21" s="195"/>
      <c r="H21" s="832"/>
      <c r="I21" s="832"/>
    </row>
    <row r="22" spans="1:9" x14ac:dyDescent="0.25">
      <c r="A22" s="832"/>
      <c r="B22" s="832"/>
      <c r="C22" s="194"/>
      <c r="D22" s="194"/>
      <c r="E22" s="832"/>
      <c r="F22" s="832"/>
      <c r="G22" s="195"/>
      <c r="H22" s="832"/>
      <c r="I22" s="832"/>
    </row>
    <row r="23" spans="1:9" x14ac:dyDescent="0.25">
      <c r="A23" s="832"/>
      <c r="B23" s="832"/>
      <c r="C23" s="194"/>
      <c r="D23" s="194"/>
      <c r="E23" s="832"/>
      <c r="F23" s="832"/>
      <c r="G23" s="195"/>
      <c r="H23" s="832"/>
      <c r="I23" s="832"/>
    </row>
    <row r="24" spans="1:9" x14ac:dyDescent="0.25">
      <c r="A24" s="832"/>
      <c r="B24" s="832"/>
      <c r="C24" s="194"/>
      <c r="D24" s="194"/>
      <c r="E24" s="832"/>
      <c r="F24" s="832"/>
      <c r="G24" s="195"/>
      <c r="H24" s="832"/>
      <c r="I24" s="832"/>
    </row>
    <row r="25" spans="1:9" ht="9" customHeight="1" x14ac:dyDescent="0.25">
      <c r="A25" s="192"/>
      <c r="B25" s="192"/>
      <c r="C25" s="192"/>
      <c r="D25" s="192"/>
      <c r="E25" s="192"/>
      <c r="F25" s="192"/>
      <c r="G25" s="192"/>
      <c r="H25" s="192"/>
      <c r="I25" s="192"/>
    </row>
    <row r="26" spans="1:9" x14ac:dyDescent="0.25">
      <c r="A26" s="196" t="s">
        <v>460</v>
      </c>
      <c r="B26" s="196"/>
      <c r="C26" s="196"/>
      <c r="D26" s="196"/>
      <c r="E26" s="196"/>
      <c r="F26" s="196"/>
      <c r="G26" s="196"/>
      <c r="H26" s="196"/>
      <c r="I26" s="192"/>
    </row>
    <row r="27" spans="1:9" x14ac:dyDescent="0.25">
      <c r="A27" s="831" t="s">
        <v>461</v>
      </c>
      <c r="B27" s="831"/>
      <c r="C27" s="831"/>
      <c r="D27" s="831"/>
      <c r="E27" s="831"/>
      <c r="F27" s="831"/>
      <c r="G27" s="831"/>
      <c r="H27" s="831"/>
      <c r="I27" s="192"/>
    </row>
    <row r="28" spans="1:9" ht="8.4499999999999993" customHeight="1" x14ac:dyDescent="0.25">
      <c r="A28" s="192"/>
      <c r="B28" s="192"/>
      <c r="C28" s="192"/>
      <c r="D28" s="192"/>
      <c r="E28" s="192"/>
      <c r="F28" s="192"/>
      <c r="G28" s="192"/>
      <c r="H28" s="192"/>
      <c r="I28" s="192"/>
    </row>
    <row r="29" spans="1:9" ht="17.25" x14ac:dyDescent="0.25">
      <c r="A29" s="833" t="s">
        <v>462</v>
      </c>
      <c r="B29" s="833"/>
      <c r="C29" s="833"/>
      <c r="D29" s="833"/>
      <c r="E29" s="833"/>
      <c r="F29" s="833"/>
      <c r="G29" s="833"/>
      <c r="H29" s="833"/>
      <c r="I29" s="833"/>
    </row>
    <row r="30" spans="1:9" ht="9" customHeight="1" x14ac:dyDescent="0.25">
      <c r="A30" s="192"/>
      <c r="B30" s="192"/>
      <c r="C30" s="192"/>
      <c r="D30" s="192"/>
      <c r="E30" s="192"/>
      <c r="F30" s="192"/>
      <c r="G30" s="192"/>
      <c r="H30" s="192"/>
      <c r="I30" s="192"/>
    </row>
    <row r="31" spans="1:9" x14ac:dyDescent="0.25">
      <c r="A31" s="834" t="s">
        <v>455</v>
      </c>
      <c r="B31" s="835"/>
      <c r="C31" s="834" t="s">
        <v>463</v>
      </c>
      <c r="D31" s="835"/>
      <c r="E31" s="834" t="s">
        <v>412</v>
      </c>
      <c r="F31" s="835"/>
      <c r="G31" s="836" t="s">
        <v>459</v>
      </c>
      <c r="H31" s="836"/>
      <c r="I31" s="837"/>
    </row>
    <row r="32" spans="1:9" x14ac:dyDescent="0.25">
      <c r="A32" s="826"/>
      <c r="B32" s="827"/>
      <c r="C32" s="826"/>
      <c r="D32" s="827"/>
      <c r="E32" s="828"/>
      <c r="F32" s="829"/>
      <c r="G32" s="828"/>
      <c r="H32" s="829"/>
      <c r="I32" s="830"/>
    </row>
    <row r="33" spans="1:9" x14ac:dyDescent="0.25">
      <c r="A33" s="826"/>
      <c r="B33" s="827"/>
      <c r="C33" s="826"/>
      <c r="D33" s="827"/>
      <c r="E33" s="828"/>
      <c r="F33" s="829"/>
      <c r="G33" s="828"/>
      <c r="H33" s="829"/>
      <c r="I33" s="830"/>
    </row>
    <row r="34" spans="1:9" x14ac:dyDescent="0.25">
      <c r="A34" s="826"/>
      <c r="B34" s="827"/>
      <c r="C34" s="826"/>
      <c r="D34" s="827"/>
      <c r="E34" s="828"/>
      <c r="F34" s="829"/>
      <c r="G34" s="828"/>
      <c r="H34" s="829"/>
      <c r="I34" s="830"/>
    </row>
    <row r="35" spans="1:9" x14ac:dyDescent="0.25">
      <c r="A35" s="826"/>
      <c r="B35" s="827"/>
      <c r="C35" s="826"/>
      <c r="D35" s="827"/>
      <c r="E35" s="828"/>
      <c r="F35" s="829"/>
      <c r="G35" s="828"/>
      <c r="H35" s="829"/>
      <c r="I35" s="830"/>
    </row>
    <row r="36" spans="1:9" x14ac:dyDescent="0.25">
      <c r="A36" s="826"/>
      <c r="B36" s="827"/>
      <c r="C36" s="826"/>
      <c r="D36" s="827"/>
      <c r="E36" s="828"/>
      <c r="F36" s="829"/>
      <c r="G36" s="828"/>
      <c r="H36" s="829"/>
      <c r="I36" s="830"/>
    </row>
    <row r="37" spans="1:9" x14ac:dyDescent="0.25">
      <c r="A37" s="826"/>
      <c r="B37" s="827"/>
      <c r="C37" s="826"/>
      <c r="D37" s="827"/>
      <c r="E37" s="828"/>
      <c r="F37" s="829"/>
      <c r="G37" s="828"/>
      <c r="H37" s="829"/>
      <c r="I37" s="830"/>
    </row>
    <row r="38" spans="1:9" x14ac:dyDescent="0.25">
      <c r="A38" s="826"/>
      <c r="B38" s="827"/>
      <c r="C38" s="826"/>
      <c r="D38" s="827"/>
      <c r="E38" s="828"/>
      <c r="F38" s="829"/>
      <c r="G38" s="828"/>
      <c r="H38" s="829"/>
      <c r="I38" s="830"/>
    </row>
    <row r="39" spans="1:9" x14ac:dyDescent="0.25">
      <c r="A39" s="826"/>
      <c r="B39" s="827"/>
      <c r="C39" s="826"/>
      <c r="D39" s="827"/>
      <c r="E39" s="828"/>
      <c r="F39" s="829"/>
      <c r="G39" s="828"/>
      <c r="H39" s="829"/>
      <c r="I39" s="830"/>
    </row>
    <row r="40" spans="1:9" x14ac:dyDescent="0.25">
      <c r="A40" s="826"/>
      <c r="B40" s="827"/>
      <c r="C40" s="826"/>
      <c r="D40" s="827"/>
      <c r="E40" s="828"/>
      <c r="F40" s="829"/>
      <c r="G40" s="828"/>
      <c r="H40" s="829"/>
      <c r="I40" s="830"/>
    </row>
    <row r="41" spans="1:9" x14ac:dyDescent="0.25">
      <c r="A41" s="826"/>
      <c r="B41" s="827"/>
      <c r="C41" s="826"/>
      <c r="D41" s="827"/>
      <c r="E41" s="828"/>
      <c r="F41" s="829"/>
      <c r="G41" s="828"/>
      <c r="H41" s="829"/>
      <c r="I41" s="830"/>
    </row>
    <row r="42" spans="1:9" x14ac:dyDescent="0.25">
      <c r="A42" s="826"/>
      <c r="B42" s="827"/>
      <c r="C42" s="826"/>
      <c r="D42" s="827"/>
      <c r="E42" s="828"/>
      <c r="F42" s="829"/>
      <c r="G42" s="828"/>
      <c r="H42" s="829"/>
      <c r="I42" s="830"/>
    </row>
    <row r="43" spans="1:9" x14ac:dyDescent="0.25">
      <c r="A43" s="826"/>
      <c r="B43" s="827"/>
      <c r="C43" s="826"/>
      <c r="D43" s="827"/>
      <c r="E43" s="828"/>
      <c r="F43" s="829"/>
      <c r="G43" s="828"/>
      <c r="H43" s="829"/>
      <c r="I43" s="830"/>
    </row>
    <row r="44" spans="1:9" x14ac:dyDescent="0.25">
      <c r="A44" s="826"/>
      <c r="B44" s="827"/>
      <c r="C44" s="826"/>
      <c r="D44" s="827"/>
      <c r="E44" s="828"/>
      <c r="F44" s="829"/>
      <c r="G44" s="828"/>
      <c r="H44" s="829"/>
      <c r="I44" s="830"/>
    </row>
    <row r="45" spans="1:9" x14ac:dyDescent="0.25">
      <c r="A45" s="826"/>
      <c r="B45" s="827"/>
      <c r="C45" s="826"/>
      <c r="D45" s="827"/>
      <c r="E45" s="828"/>
      <c r="F45" s="829"/>
      <c r="G45" s="828"/>
      <c r="H45" s="829"/>
      <c r="I45" s="830"/>
    </row>
    <row r="46" spans="1:9" x14ac:dyDescent="0.25">
      <c r="A46" s="826"/>
      <c r="B46" s="827"/>
      <c r="C46" s="826"/>
      <c r="D46" s="827"/>
      <c r="E46" s="828"/>
      <c r="F46" s="829"/>
      <c r="G46" s="828"/>
      <c r="H46" s="829"/>
      <c r="I46" s="830"/>
    </row>
    <row r="47" spans="1:9" x14ac:dyDescent="0.25">
      <c r="A47" s="826"/>
      <c r="B47" s="827"/>
      <c r="C47" s="826"/>
      <c r="D47" s="827"/>
      <c r="E47" s="828"/>
      <c r="F47" s="829"/>
      <c r="G47" s="828"/>
      <c r="H47" s="829"/>
      <c r="I47" s="830"/>
    </row>
    <row r="48" spans="1:9" x14ac:dyDescent="0.25">
      <c r="A48" s="826"/>
      <c r="B48" s="827"/>
      <c r="C48" s="826"/>
      <c r="D48" s="827"/>
      <c r="E48" s="828"/>
      <c r="F48" s="829"/>
      <c r="G48" s="828"/>
      <c r="H48" s="829"/>
      <c r="I48" s="830"/>
    </row>
    <row r="49" spans="1:9" x14ac:dyDescent="0.25">
      <c r="A49" s="826"/>
      <c r="B49" s="827"/>
      <c r="C49" s="826"/>
      <c r="D49" s="827"/>
      <c r="E49" s="828"/>
      <c r="F49" s="829"/>
      <c r="G49" s="828"/>
      <c r="H49" s="829"/>
      <c r="I49" s="830"/>
    </row>
    <row r="50" spans="1:9" x14ac:dyDescent="0.25">
      <c r="A50" s="826"/>
      <c r="B50" s="827"/>
      <c r="C50" s="826"/>
      <c r="D50" s="827"/>
      <c r="E50" s="828"/>
      <c r="F50" s="829"/>
      <c r="G50" s="828"/>
      <c r="H50" s="829"/>
      <c r="I50" s="830"/>
    </row>
    <row r="51" spans="1:9" x14ac:dyDescent="0.25">
      <c r="A51" s="826"/>
      <c r="B51" s="827"/>
      <c r="C51" s="826"/>
      <c r="D51" s="827"/>
      <c r="E51" s="828"/>
      <c r="F51" s="829"/>
      <c r="G51" s="828"/>
      <c r="H51" s="829"/>
      <c r="I51" s="830"/>
    </row>
    <row r="52" spans="1:9" x14ac:dyDescent="0.25">
      <c r="A52" s="826"/>
      <c r="B52" s="827"/>
      <c r="C52" s="826"/>
      <c r="D52" s="827"/>
      <c r="E52" s="828"/>
      <c r="F52" s="829"/>
      <c r="G52" s="828"/>
      <c r="H52" s="829"/>
      <c r="I52" s="830"/>
    </row>
    <row r="53" spans="1:9" ht="10.9" customHeight="1" x14ac:dyDescent="0.25">
      <c r="A53" s="197"/>
      <c r="B53" s="197"/>
      <c r="C53" s="197"/>
      <c r="D53" s="197"/>
      <c r="E53" s="197"/>
      <c r="F53" s="197"/>
      <c r="G53" s="197"/>
      <c r="H53" s="197"/>
      <c r="I53" s="197"/>
    </row>
    <row r="54" spans="1:9" ht="10.9" customHeight="1" x14ac:dyDescent="0.25">
      <c r="A54" s="197"/>
      <c r="B54" s="197"/>
      <c r="C54" s="197"/>
      <c r="D54" s="197"/>
      <c r="E54" s="197"/>
      <c r="F54" s="197"/>
      <c r="G54" s="197"/>
      <c r="H54" s="197"/>
      <c r="I54" s="197"/>
    </row>
    <row r="55" spans="1:9" x14ac:dyDescent="0.25">
      <c r="A55" s="831" t="s">
        <v>464</v>
      </c>
      <c r="B55" s="831"/>
      <c r="C55" s="831"/>
      <c r="D55" s="831"/>
      <c r="E55" s="831"/>
      <c r="F55" s="831"/>
      <c r="G55" s="831"/>
      <c r="H55" s="831"/>
      <c r="I55" s="197"/>
    </row>
  </sheetData>
  <mergeCells count="141">
    <mergeCell ref="A2:I2"/>
    <mergeCell ref="A3:I3"/>
    <mergeCell ref="A5:B5"/>
    <mergeCell ref="C5:I5"/>
    <mergeCell ref="A6:F6"/>
    <mergeCell ref="H6:I6"/>
    <mergeCell ref="H12:I13"/>
    <mergeCell ref="A14:B14"/>
    <mergeCell ref="E14:F14"/>
    <mergeCell ref="H14:I14"/>
    <mergeCell ref="A15:B15"/>
    <mergeCell ref="E15:F15"/>
    <mergeCell ref="H15:I15"/>
    <mergeCell ref="B7:I7"/>
    <mergeCell ref="D8:F8"/>
    <mergeCell ref="A9:B9"/>
    <mergeCell ref="C9:I9"/>
    <mergeCell ref="A10:I10"/>
    <mergeCell ref="A12:B13"/>
    <mergeCell ref="C12:C13"/>
    <mergeCell ref="D12:D13"/>
    <mergeCell ref="E12:F13"/>
    <mergeCell ref="G12:G13"/>
    <mergeCell ref="A18:B18"/>
    <mergeCell ref="E18:F18"/>
    <mergeCell ref="H18:I18"/>
    <mergeCell ref="A19:B19"/>
    <mergeCell ref="E19:F19"/>
    <mergeCell ref="H19:I19"/>
    <mergeCell ref="A16:B16"/>
    <mergeCell ref="E16:F16"/>
    <mergeCell ref="H16:I16"/>
    <mergeCell ref="A17:B17"/>
    <mergeCell ref="E17:F17"/>
    <mergeCell ref="H17:I17"/>
    <mergeCell ref="A22:B22"/>
    <mergeCell ref="E22:F22"/>
    <mergeCell ref="H22:I22"/>
    <mergeCell ref="A23:B23"/>
    <mergeCell ref="E23:F23"/>
    <mergeCell ref="H23:I23"/>
    <mergeCell ref="A20:B20"/>
    <mergeCell ref="E20:F20"/>
    <mergeCell ref="H20:I20"/>
    <mergeCell ref="A21:B21"/>
    <mergeCell ref="E21:F21"/>
    <mergeCell ref="H21:I21"/>
    <mergeCell ref="A32:B32"/>
    <mergeCell ref="C32:D32"/>
    <mergeCell ref="E32:F32"/>
    <mergeCell ref="G32:I32"/>
    <mergeCell ref="A33:B33"/>
    <mergeCell ref="C33:D33"/>
    <mergeCell ref="E33:F33"/>
    <mergeCell ref="G33:I33"/>
    <mergeCell ref="A24:B24"/>
    <mergeCell ref="E24:F24"/>
    <mergeCell ref="H24:I24"/>
    <mergeCell ref="A27:H27"/>
    <mergeCell ref="A29:I29"/>
    <mergeCell ref="A31:B31"/>
    <mergeCell ref="C31:D31"/>
    <mergeCell ref="E31:F31"/>
    <mergeCell ref="G31:I31"/>
    <mergeCell ref="A36:B36"/>
    <mergeCell ref="C36:D36"/>
    <mergeCell ref="E36:F36"/>
    <mergeCell ref="G36:I36"/>
    <mergeCell ref="A37:B37"/>
    <mergeCell ref="C37:D37"/>
    <mergeCell ref="E37:F37"/>
    <mergeCell ref="G37:I37"/>
    <mergeCell ref="A34:B34"/>
    <mergeCell ref="C34:D34"/>
    <mergeCell ref="E34:F34"/>
    <mergeCell ref="G34:I34"/>
    <mergeCell ref="A35:B35"/>
    <mergeCell ref="C35:D35"/>
    <mergeCell ref="E35:F35"/>
    <mergeCell ref="G35:I35"/>
    <mergeCell ref="A40:B40"/>
    <mergeCell ref="C40:D40"/>
    <mergeCell ref="E40:F40"/>
    <mergeCell ref="G40:I40"/>
    <mergeCell ref="A41:B41"/>
    <mergeCell ref="C41:D41"/>
    <mergeCell ref="E41:F41"/>
    <mergeCell ref="G41:I41"/>
    <mergeCell ref="A38:B38"/>
    <mergeCell ref="C38:D38"/>
    <mergeCell ref="E38:F38"/>
    <mergeCell ref="G38:I38"/>
    <mergeCell ref="A39:B39"/>
    <mergeCell ref="C39:D39"/>
    <mergeCell ref="E39:F39"/>
    <mergeCell ref="G39:I39"/>
    <mergeCell ref="A44:B44"/>
    <mergeCell ref="C44:D44"/>
    <mergeCell ref="E44:F44"/>
    <mergeCell ref="G44:I44"/>
    <mergeCell ref="A45:B45"/>
    <mergeCell ref="C45:D45"/>
    <mergeCell ref="E45:F45"/>
    <mergeCell ref="G45:I45"/>
    <mergeCell ref="A42:B42"/>
    <mergeCell ref="C42:D42"/>
    <mergeCell ref="E42:F42"/>
    <mergeCell ref="G42:I42"/>
    <mergeCell ref="A43:B43"/>
    <mergeCell ref="C43:D43"/>
    <mergeCell ref="E43:F43"/>
    <mergeCell ref="G43:I43"/>
    <mergeCell ref="A48:B48"/>
    <mergeCell ref="C48:D48"/>
    <mergeCell ref="E48:F48"/>
    <mergeCell ref="G48:I48"/>
    <mergeCell ref="A49:B49"/>
    <mergeCell ref="C49:D49"/>
    <mergeCell ref="E49:F49"/>
    <mergeCell ref="G49:I49"/>
    <mergeCell ref="A46:B46"/>
    <mergeCell ref="C46:D46"/>
    <mergeCell ref="E46:F46"/>
    <mergeCell ref="G46:I46"/>
    <mergeCell ref="A47:B47"/>
    <mergeCell ref="C47:D47"/>
    <mergeCell ref="E47:F47"/>
    <mergeCell ref="G47:I47"/>
    <mergeCell ref="A52:B52"/>
    <mergeCell ref="C52:D52"/>
    <mergeCell ref="E52:F52"/>
    <mergeCell ref="G52:I52"/>
    <mergeCell ref="A55:H55"/>
    <mergeCell ref="A50:B50"/>
    <mergeCell ref="C50:D50"/>
    <mergeCell ref="E50:F50"/>
    <mergeCell ref="G50:I50"/>
    <mergeCell ref="A51:B51"/>
    <mergeCell ref="C51:D51"/>
    <mergeCell ref="E51:F51"/>
    <mergeCell ref="G51:I5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F80E1-FA73-4F3E-A005-A213F8BD5FE6}">
  <dimension ref="A1:F30"/>
  <sheetViews>
    <sheetView workbookViewId="0">
      <selection activeCell="G14" sqref="A1:XFD1048576"/>
    </sheetView>
  </sheetViews>
  <sheetFormatPr baseColWidth="10" defaultRowHeight="15" x14ac:dyDescent="0.25"/>
  <sheetData>
    <row r="1" spans="1:6" x14ac:dyDescent="0.25">
      <c r="A1" s="855" t="s">
        <v>465</v>
      </c>
      <c r="B1" s="855"/>
      <c r="C1" s="855"/>
      <c r="D1" s="855"/>
      <c r="E1" s="855"/>
      <c r="F1" s="855"/>
    </row>
    <row r="2" spans="1:6" x14ac:dyDescent="0.25">
      <c r="A2" s="855"/>
      <c r="B2" s="855"/>
      <c r="C2" s="855"/>
      <c r="D2" s="855"/>
      <c r="E2" s="855"/>
      <c r="F2" s="855"/>
    </row>
    <row r="3" spans="1:6" x14ac:dyDescent="0.25">
      <c r="A3" s="855"/>
      <c r="B3" s="855"/>
      <c r="C3" s="855"/>
      <c r="D3" s="855"/>
      <c r="E3" s="855"/>
      <c r="F3" s="855"/>
    </row>
    <row r="4" spans="1:6" x14ac:dyDescent="0.25">
      <c r="A4" s="855"/>
      <c r="B4" s="855"/>
      <c r="C4" s="855"/>
      <c r="D4" s="855"/>
      <c r="E4" s="855"/>
      <c r="F4" s="855"/>
    </row>
    <row r="5" spans="1:6" x14ac:dyDescent="0.25">
      <c r="A5" s="855"/>
      <c r="B5" s="855"/>
      <c r="C5" s="855"/>
      <c r="D5" s="855"/>
      <c r="E5" s="855"/>
      <c r="F5" s="855"/>
    </row>
    <row r="6" spans="1:6" x14ac:dyDescent="0.25">
      <c r="A6" s="855"/>
      <c r="B6" s="855"/>
      <c r="C6" s="855"/>
      <c r="D6" s="855"/>
      <c r="E6" s="855"/>
      <c r="F6" s="855"/>
    </row>
    <row r="7" spans="1:6" x14ac:dyDescent="0.25">
      <c r="A7" s="855"/>
      <c r="B7" s="855"/>
      <c r="C7" s="855"/>
      <c r="D7" s="855"/>
      <c r="E7" s="855"/>
      <c r="F7" s="855"/>
    </row>
    <row r="8" spans="1:6" x14ac:dyDescent="0.25">
      <c r="A8" s="855"/>
      <c r="B8" s="855"/>
      <c r="C8" s="855"/>
      <c r="D8" s="855"/>
      <c r="E8" s="855"/>
      <c r="F8" s="855"/>
    </row>
    <row r="9" spans="1:6" x14ac:dyDescent="0.25">
      <c r="A9" s="855"/>
      <c r="B9" s="855"/>
      <c r="C9" s="855"/>
      <c r="D9" s="855"/>
      <c r="E9" s="855"/>
      <c r="F9" s="855"/>
    </row>
    <row r="10" spans="1:6" x14ac:dyDescent="0.25">
      <c r="A10" s="855"/>
      <c r="B10" s="855"/>
      <c r="C10" s="855"/>
      <c r="D10" s="855"/>
      <c r="E10" s="855"/>
      <c r="F10" s="855"/>
    </row>
    <row r="11" spans="1:6" x14ac:dyDescent="0.25">
      <c r="A11" s="855"/>
      <c r="B11" s="855"/>
      <c r="C11" s="855"/>
      <c r="D11" s="855"/>
      <c r="E11" s="855"/>
      <c r="F11" s="855"/>
    </row>
    <row r="12" spans="1:6" x14ac:dyDescent="0.25">
      <c r="A12" s="855"/>
      <c r="B12" s="855"/>
      <c r="C12" s="855"/>
      <c r="D12" s="855"/>
      <c r="E12" s="855"/>
      <c r="F12" s="855"/>
    </row>
    <row r="13" spans="1:6" x14ac:dyDescent="0.25">
      <c r="A13" s="855"/>
      <c r="B13" s="855"/>
      <c r="C13" s="855"/>
      <c r="D13" s="855"/>
      <c r="E13" s="855"/>
      <c r="F13" s="855"/>
    </row>
    <row r="14" spans="1:6" x14ac:dyDescent="0.25">
      <c r="A14" s="855"/>
      <c r="B14" s="855"/>
      <c r="C14" s="855"/>
      <c r="D14" s="855"/>
      <c r="E14" s="855"/>
      <c r="F14" s="855"/>
    </row>
    <row r="15" spans="1:6" x14ac:dyDescent="0.25">
      <c r="A15" s="855"/>
      <c r="B15" s="855"/>
      <c r="C15" s="855"/>
      <c r="D15" s="855"/>
      <c r="E15" s="855"/>
      <c r="F15" s="855"/>
    </row>
    <row r="16" spans="1:6" x14ac:dyDescent="0.25">
      <c r="A16" s="855"/>
      <c r="B16" s="855"/>
      <c r="C16" s="855"/>
      <c r="D16" s="855"/>
      <c r="E16" s="855"/>
      <c r="F16" s="855"/>
    </row>
    <row r="17" spans="1:6" x14ac:dyDescent="0.25">
      <c r="A17" s="855"/>
      <c r="B17" s="855"/>
      <c r="C17" s="855"/>
      <c r="D17" s="855"/>
      <c r="E17" s="855"/>
      <c r="F17" s="855"/>
    </row>
    <row r="18" spans="1:6" x14ac:dyDescent="0.25">
      <c r="A18" s="855"/>
      <c r="B18" s="855"/>
      <c r="C18" s="855"/>
      <c r="D18" s="855"/>
      <c r="E18" s="855"/>
      <c r="F18" s="855"/>
    </row>
    <row r="19" spans="1:6" x14ac:dyDescent="0.25">
      <c r="A19" s="855"/>
      <c r="B19" s="855"/>
      <c r="C19" s="855"/>
      <c r="D19" s="855"/>
      <c r="E19" s="855"/>
      <c r="F19" s="855"/>
    </row>
    <row r="20" spans="1:6" x14ac:dyDescent="0.25">
      <c r="A20" s="855"/>
      <c r="B20" s="855"/>
      <c r="C20" s="855"/>
      <c r="D20" s="855"/>
      <c r="E20" s="855"/>
      <c r="F20" s="855"/>
    </row>
    <row r="21" spans="1:6" x14ac:dyDescent="0.25">
      <c r="A21" s="855"/>
      <c r="B21" s="855"/>
      <c r="C21" s="855"/>
      <c r="D21" s="855"/>
      <c r="E21" s="855"/>
      <c r="F21" s="855"/>
    </row>
    <row r="22" spans="1:6" x14ac:dyDescent="0.25">
      <c r="A22" s="855"/>
      <c r="B22" s="855"/>
      <c r="C22" s="855"/>
      <c r="D22" s="855"/>
      <c r="E22" s="855"/>
      <c r="F22" s="855"/>
    </row>
    <row r="23" spans="1:6" x14ac:dyDescent="0.25">
      <c r="A23" s="855"/>
      <c r="B23" s="855"/>
      <c r="C23" s="855"/>
      <c r="D23" s="855"/>
      <c r="E23" s="855"/>
      <c r="F23" s="855"/>
    </row>
    <row r="24" spans="1:6" x14ac:dyDescent="0.25">
      <c r="A24" s="855"/>
      <c r="B24" s="855"/>
      <c r="C24" s="855"/>
      <c r="D24" s="855"/>
      <c r="E24" s="855"/>
      <c r="F24" s="855"/>
    </row>
    <row r="25" spans="1:6" x14ac:dyDescent="0.25">
      <c r="A25" s="855"/>
      <c r="B25" s="855"/>
      <c r="C25" s="855"/>
      <c r="D25" s="855"/>
      <c r="E25" s="855"/>
      <c r="F25" s="855"/>
    </row>
    <row r="26" spans="1:6" x14ac:dyDescent="0.25">
      <c r="A26" s="855"/>
      <c r="B26" s="855"/>
      <c r="C26" s="855"/>
      <c r="D26" s="855"/>
      <c r="E26" s="855"/>
      <c r="F26" s="855"/>
    </row>
    <row r="27" spans="1:6" x14ac:dyDescent="0.25">
      <c r="A27" s="855"/>
      <c r="B27" s="855"/>
      <c r="C27" s="855"/>
      <c r="D27" s="855"/>
      <c r="E27" s="855"/>
      <c r="F27" s="855"/>
    </row>
    <row r="28" spans="1:6" x14ac:dyDescent="0.25">
      <c r="A28" s="855"/>
      <c r="B28" s="855"/>
      <c r="C28" s="855"/>
      <c r="D28" s="855"/>
      <c r="E28" s="855"/>
      <c r="F28" s="855"/>
    </row>
    <row r="29" spans="1:6" x14ac:dyDescent="0.25">
      <c r="A29" s="855"/>
      <c r="B29" s="855"/>
      <c r="C29" s="855"/>
      <c r="D29" s="855"/>
      <c r="E29" s="855"/>
      <c r="F29" s="855"/>
    </row>
    <row r="30" spans="1:6" x14ac:dyDescent="0.25">
      <c r="A30" s="855"/>
      <c r="B30" s="855"/>
      <c r="C30" s="855"/>
      <c r="D30" s="855"/>
      <c r="E30" s="855"/>
      <c r="F30" s="855"/>
    </row>
  </sheetData>
  <mergeCells count="1">
    <mergeCell ref="A1:F3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9C678-6F0B-40A3-A51F-99150851CAA4}">
  <dimension ref="A2:J36"/>
  <sheetViews>
    <sheetView topLeftCell="A17" workbookViewId="0">
      <selection activeCell="G17" sqref="A1:XFD1048576"/>
    </sheetView>
  </sheetViews>
  <sheetFormatPr baseColWidth="10" defaultRowHeight="15" x14ac:dyDescent="0.25"/>
  <cols>
    <col min="1" max="1" width="4.7109375" customWidth="1"/>
    <col min="2" max="2" width="46.7109375" customWidth="1"/>
    <col min="3" max="3" width="4.85546875" bestFit="1" customWidth="1"/>
    <col min="4" max="5" width="17.28515625" customWidth="1"/>
    <col min="6" max="6" width="4.7109375" customWidth="1"/>
    <col min="7" max="7" width="52.85546875" bestFit="1" customWidth="1"/>
    <col min="8" max="8" width="7.28515625" bestFit="1" customWidth="1"/>
    <col min="9" max="10" width="17.28515625" customWidth="1"/>
  </cols>
  <sheetData>
    <row r="2" spans="1:10" x14ac:dyDescent="0.25">
      <c r="A2" s="860" t="s">
        <v>466</v>
      </c>
      <c r="B2" s="860"/>
      <c r="C2" s="619" t="s">
        <v>2</v>
      </c>
      <c r="D2" s="619"/>
      <c r="E2" s="619"/>
      <c r="F2" s="619"/>
      <c r="G2" s="619"/>
      <c r="H2" s="619"/>
      <c r="I2" s="619"/>
      <c r="J2" s="619"/>
    </row>
    <row r="3" spans="1:10" x14ac:dyDescent="0.25">
      <c r="A3" s="198"/>
      <c r="B3" s="198"/>
      <c r="C3" s="620" t="s">
        <v>4</v>
      </c>
      <c r="D3" s="620"/>
      <c r="E3" s="620"/>
      <c r="F3" s="620"/>
      <c r="G3" s="620"/>
      <c r="H3" s="620"/>
      <c r="I3" s="620"/>
      <c r="J3" s="620"/>
    </row>
    <row r="4" spans="1:10" x14ac:dyDescent="0.25">
      <c r="A4" s="198" t="s">
        <v>364</v>
      </c>
      <c r="B4" s="200"/>
      <c r="C4" s="619" t="s">
        <v>6</v>
      </c>
      <c r="D4" s="619"/>
      <c r="E4" s="619"/>
      <c r="F4" s="619"/>
      <c r="G4" s="619"/>
      <c r="H4" s="619"/>
      <c r="I4" s="619"/>
      <c r="J4" s="619"/>
    </row>
    <row r="5" spans="1:10" x14ac:dyDescent="0.25">
      <c r="A5" s="198" t="s">
        <v>365</v>
      </c>
      <c r="B5" s="200"/>
      <c r="C5" s="619" t="s">
        <v>10</v>
      </c>
      <c r="D5" s="619"/>
      <c r="E5" s="619"/>
      <c r="F5" s="619"/>
      <c r="G5" s="619"/>
      <c r="H5" s="619"/>
      <c r="I5" s="619"/>
      <c r="J5" s="619"/>
    </row>
    <row r="6" spans="1:10" x14ac:dyDescent="0.25">
      <c r="A6" s="198" t="s">
        <v>366</v>
      </c>
      <c r="B6" s="200"/>
      <c r="C6" s="620" t="s">
        <v>13</v>
      </c>
      <c r="D6" s="620"/>
      <c r="E6" s="861" t="s">
        <v>367</v>
      </c>
      <c r="F6" s="616"/>
      <c r="G6" s="201">
        <f>IF(ISBLANK([1]IDENTIFICATION!$F$11),"",[1]IDENTIFICATION!$F$11)</f>
        <v>46022</v>
      </c>
      <c r="H6" s="862" t="s">
        <v>467</v>
      </c>
      <c r="I6" s="862"/>
      <c r="J6" s="203">
        <f>IF(ISBLANK([1]IDENTIFICATION!$H$11),"",[1]IDENTIFICATION!$H$11)</f>
        <v>12</v>
      </c>
    </row>
    <row r="7" spans="1:10" x14ac:dyDescent="0.25">
      <c r="A7" s="204" t="s">
        <v>369</v>
      </c>
      <c r="B7" s="205"/>
      <c r="C7" s="620" t="s">
        <v>8</v>
      </c>
      <c r="D7" s="620"/>
      <c r="E7" s="200"/>
      <c r="F7" s="206"/>
      <c r="G7" s="206"/>
      <c r="H7" s="206"/>
      <c r="I7" s="206"/>
      <c r="J7" s="206"/>
    </row>
    <row r="8" spans="1:10" x14ac:dyDescent="0.25">
      <c r="A8" s="200" t="s">
        <v>468</v>
      </c>
      <c r="B8" s="200"/>
      <c r="C8" s="619" t="s">
        <v>35</v>
      </c>
      <c r="D8" s="619"/>
      <c r="E8" s="619"/>
      <c r="F8" s="619"/>
      <c r="G8" s="619"/>
      <c r="H8" s="619"/>
      <c r="I8" s="619"/>
      <c r="J8" s="619"/>
    </row>
    <row r="9" spans="1:10" x14ac:dyDescent="0.25">
      <c r="A9" s="200"/>
      <c r="B9" s="200"/>
      <c r="C9" s="620" t="s">
        <v>36</v>
      </c>
      <c r="D9" s="620"/>
      <c r="E9" s="620"/>
      <c r="F9" s="620"/>
      <c r="G9" s="620"/>
      <c r="H9" s="620"/>
      <c r="I9" s="620"/>
      <c r="J9" s="620"/>
    </row>
    <row r="10" spans="1:10" x14ac:dyDescent="0.25">
      <c r="A10" s="200" t="s">
        <v>469</v>
      </c>
      <c r="B10" s="200"/>
      <c r="C10" s="620" t="s">
        <v>40</v>
      </c>
      <c r="D10" s="620"/>
      <c r="E10" s="207"/>
      <c r="F10" s="207"/>
      <c r="G10" s="202" t="s">
        <v>470</v>
      </c>
      <c r="H10" s="857" t="str">
        <f>IF(ISBLANK([1]IDENTIFICATION!$B$19),"",[1]IDENTIFICATION!$B$19)</f>
        <v>REC-PRO-GEN-SANO</v>
      </c>
      <c r="I10" s="857"/>
      <c r="J10" s="857"/>
    </row>
    <row r="11" spans="1:10" x14ac:dyDescent="0.25">
      <c r="A11" s="200" t="s">
        <v>471</v>
      </c>
      <c r="B11" s="200"/>
      <c r="C11" s="858">
        <v>44713</v>
      </c>
      <c r="D11" s="858"/>
      <c r="E11" s="611"/>
      <c r="F11" s="611"/>
      <c r="G11" s="210" t="s">
        <v>472</v>
      </c>
      <c r="H11" s="859">
        <f>IF(ISBLANK([1]IDENTIFICATION!$G$21),"",[1]IDENTIFICATION!$G$21)</f>
        <v>45991</v>
      </c>
      <c r="I11" s="859"/>
      <c r="J11" s="859"/>
    </row>
    <row r="12" spans="1:10" x14ac:dyDescent="0.25">
      <c r="A12" s="611" t="s">
        <v>465</v>
      </c>
      <c r="B12" s="611"/>
      <c r="C12" s="611"/>
      <c r="D12" s="611"/>
      <c r="E12" s="611"/>
      <c r="F12" s="611"/>
      <c r="G12" s="611"/>
      <c r="H12" s="611"/>
      <c r="I12" s="611"/>
      <c r="J12" s="611"/>
    </row>
    <row r="13" spans="1:10" ht="9" customHeight="1" x14ac:dyDescent="0.25"/>
    <row r="14" spans="1:10" x14ac:dyDescent="0.25">
      <c r="A14" s="856" t="s">
        <v>473</v>
      </c>
      <c r="B14" s="856" t="s">
        <v>474</v>
      </c>
      <c r="C14" s="856" t="s">
        <v>475</v>
      </c>
      <c r="D14" s="212" t="s">
        <v>476</v>
      </c>
      <c r="E14" s="212" t="s">
        <v>476</v>
      </c>
      <c r="F14" s="856" t="s">
        <v>473</v>
      </c>
      <c r="G14" s="856" t="s">
        <v>477</v>
      </c>
      <c r="H14" s="856" t="s">
        <v>475</v>
      </c>
      <c r="I14" s="212" t="s">
        <v>476</v>
      </c>
      <c r="J14" s="212" t="s">
        <v>476</v>
      </c>
    </row>
    <row r="15" spans="1:10" x14ac:dyDescent="0.25">
      <c r="A15" s="856"/>
      <c r="B15" s="856"/>
      <c r="C15" s="856"/>
      <c r="D15" s="213">
        <v>45291</v>
      </c>
      <c r="E15" s="214">
        <v>44926</v>
      </c>
      <c r="F15" s="856"/>
      <c r="G15" s="856"/>
      <c r="H15" s="856"/>
      <c r="I15" s="215">
        <v>45291</v>
      </c>
      <c r="J15" s="214">
        <v>44926</v>
      </c>
    </row>
    <row r="16" spans="1:10" x14ac:dyDescent="0.25">
      <c r="A16" s="856"/>
      <c r="B16" s="856"/>
      <c r="C16" s="856"/>
      <c r="D16" s="211" t="s">
        <v>478</v>
      </c>
      <c r="E16" s="211" t="s">
        <v>478</v>
      </c>
      <c r="F16" s="856"/>
      <c r="G16" s="856"/>
      <c r="H16" s="856"/>
      <c r="I16" s="211" t="s">
        <v>478</v>
      </c>
      <c r="J16" s="211" t="s">
        <v>478</v>
      </c>
    </row>
    <row r="17" spans="1:10" x14ac:dyDescent="0.25">
      <c r="A17" s="216" t="s">
        <v>479</v>
      </c>
      <c r="B17" s="217" t="s">
        <v>480</v>
      </c>
      <c r="C17" s="216">
        <v>3</v>
      </c>
      <c r="D17" s="218">
        <v>0</v>
      </c>
      <c r="E17" s="218">
        <v>0</v>
      </c>
      <c r="F17" s="216" t="s">
        <v>481</v>
      </c>
      <c r="G17" s="219" t="s">
        <v>482</v>
      </c>
      <c r="H17" s="216">
        <v>9</v>
      </c>
      <c r="I17" s="220">
        <v>0</v>
      </c>
      <c r="J17" s="220">
        <v>0</v>
      </c>
    </row>
    <row r="18" spans="1:10" x14ac:dyDescent="0.25">
      <c r="A18" s="221" t="s">
        <v>483</v>
      </c>
      <c r="B18" s="222" t="s">
        <v>484</v>
      </c>
      <c r="C18" s="216">
        <v>3</v>
      </c>
      <c r="D18" s="223">
        <v>0</v>
      </c>
      <c r="E18" s="223">
        <v>0</v>
      </c>
      <c r="F18" s="221" t="s">
        <v>485</v>
      </c>
      <c r="G18" s="222" t="s">
        <v>486</v>
      </c>
      <c r="H18" s="221"/>
      <c r="I18" s="223">
        <v>0</v>
      </c>
      <c r="J18" s="223">
        <v>0</v>
      </c>
    </row>
    <row r="19" spans="1:10" x14ac:dyDescent="0.25">
      <c r="A19" s="221" t="s">
        <v>487</v>
      </c>
      <c r="B19" s="222" t="s">
        <v>488</v>
      </c>
      <c r="C19" s="216">
        <v>3</v>
      </c>
      <c r="D19" s="223">
        <v>0</v>
      </c>
      <c r="E19" s="223">
        <v>0</v>
      </c>
      <c r="F19" s="221" t="s">
        <v>489</v>
      </c>
      <c r="G19" s="222" t="s">
        <v>490</v>
      </c>
      <c r="H19" s="221"/>
      <c r="I19" s="223">
        <v>0</v>
      </c>
      <c r="J19" s="223">
        <v>0</v>
      </c>
    </row>
    <row r="20" spans="1:10" x14ac:dyDescent="0.25">
      <c r="A20" s="221" t="s">
        <v>491</v>
      </c>
      <c r="B20" s="222" t="s">
        <v>492</v>
      </c>
      <c r="C20" s="216">
        <v>3</v>
      </c>
      <c r="D20" s="224">
        <v>0</v>
      </c>
      <c r="E20" s="224">
        <v>0</v>
      </c>
      <c r="F20" s="221" t="s">
        <v>493</v>
      </c>
      <c r="G20" s="222" t="s">
        <v>494</v>
      </c>
      <c r="H20" s="221">
        <v>10</v>
      </c>
      <c r="I20" s="223">
        <v>0</v>
      </c>
      <c r="J20" s="223">
        <v>0</v>
      </c>
    </row>
    <row r="21" spans="1:10" x14ac:dyDescent="0.25">
      <c r="A21" s="221" t="s">
        <v>495</v>
      </c>
      <c r="B21" s="222" t="s">
        <v>496</v>
      </c>
      <c r="C21" s="216">
        <v>3</v>
      </c>
      <c r="D21" s="223">
        <v>0</v>
      </c>
      <c r="E21" s="223">
        <v>0</v>
      </c>
      <c r="F21" s="225" t="s">
        <v>497</v>
      </c>
      <c r="G21" s="226" t="s">
        <v>498</v>
      </c>
      <c r="H21" s="225"/>
      <c r="I21" s="227">
        <v>0</v>
      </c>
      <c r="J21" s="227">
        <v>0</v>
      </c>
    </row>
    <row r="22" spans="1:10" x14ac:dyDescent="0.25">
      <c r="A22" s="221" t="s">
        <v>499</v>
      </c>
      <c r="B22" s="222" t="s">
        <v>500</v>
      </c>
      <c r="C22" s="216">
        <v>3</v>
      </c>
      <c r="D22" s="223">
        <v>0</v>
      </c>
      <c r="E22" s="223">
        <v>0</v>
      </c>
      <c r="F22" s="221" t="s">
        <v>501</v>
      </c>
      <c r="G22" s="222" t="s">
        <v>502</v>
      </c>
      <c r="H22" s="221">
        <v>11</v>
      </c>
      <c r="I22" s="223">
        <v>0</v>
      </c>
      <c r="J22" s="223">
        <v>0</v>
      </c>
    </row>
    <row r="23" spans="1:10" x14ac:dyDescent="0.25">
      <c r="A23" s="221" t="s">
        <v>503</v>
      </c>
      <c r="B23" s="228" t="s">
        <v>504</v>
      </c>
      <c r="C23" s="216">
        <v>3</v>
      </c>
      <c r="D23" s="223">
        <v>0</v>
      </c>
      <c r="E23" s="223">
        <v>0</v>
      </c>
      <c r="F23" s="221" t="s">
        <v>505</v>
      </c>
      <c r="G23" s="222" t="s">
        <v>506</v>
      </c>
      <c r="H23" s="221">
        <v>11</v>
      </c>
      <c r="I23" s="223">
        <v>0</v>
      </c>
      <c r="J23" s="223">
        <v>0</v>
      </c>
    </row>
    <row r="24" spans="1:10" x14ac:dyDescent="0.25">
      <c r="A24" s="221" t="s">
        <v>507</v>
      </c>
      <c r="B24" s="222" t="s">
        <v>508</v>
      </c>
      <c r="C24" s="216">
        <v>3</v>
      </c>
      <c r="D24" s="224">
        <v>0</v>
      </c>
      <c r="E24" s="224">
        <v>0</v>
      </c>
      <c r="F24" s="225" t="s">
        <v>509</v>
      </c>
      <c r="G24" s="226" t="s">
        <v>510</v>
      </c>
      <c r="H24" s="225"/>
      <c r="I24" s="227">
        <v>0</v>
      </c>
      <c r="J24" s="227">
        <v>0</v>
      </c>
    </row>
    <row r="25" spans="1:10" x14ac:dyDescent="0.25">
      <c r="A25" s="225" t="s">
        <v>511</v>
      </c>
      <c r="B25" s="226" t="s">
        <v>512</v>
      </c>
      <c r="C25" s="225"/>
      <c r="D25" s="227">
        <v>0</v>
      </c>
      <c r="E25" s="227">
        <v>0</v>
      </c>
      <c r="F25" s="225" t="s">
        <v>513</v>
      </c>
      <c r="G25" s="226" t="s">
        <v>514</v>
      </c>
      <c r="H25" s="225"/>
      <c r="I25" s="227">
        <v>0</v>
      </c>
      <c r="J25" s="227">
        <v>0</v>
      </c>
    </row>
    <row r="26" spans="1:10" x14ac:dyDescent="0.25">
      <c r="A26" s="221" t="s">
        <v>515</v>
      </c>
      <c r="B26" s="222" t="s">
        <v>516</v>
      </c>
      <c r="C26" s="221">
        <v>4</v>
      </c>
      <c r="D26" s="223">
        <v>0</v>
      </c>
      <c r="E26" s="223">
        <v>0</v>
      </c>
      <c r="F26" s="221" t="s">
        <v>517</v>
      </c>
      <c r="G26" s="222" t="s">
        <v>518</v>
      </c>
      <c r="H26" s="221">
        <v>4</v>
      </c>
      <c r="I26" s="223">
        <v>0</v>
      </c>
      <c r="J26" s="223">
        <v>0</v>
      </c>
    </row>
    <row r="27" spans="1:10" x14ac:dyDescent="0.25">
      <c r="A27" s="221" t="s">
        <v>519</v>
      </c>
      <c r="B27" s="222" t="s">
        <v>520</v>
      </c>
      <c r="C27" s="221">
        <v>5</v>
      </c>
      <c r="D27" s="223">
        <v>0</v>
      </c>
      <c r="E27" s="223">
        <v>0</v>
      </c>
      <c r="F27" s="221" t="s">
        <v>521</v>
      </c>
      <c r="G27" s="222" t="s">
        <v>522</v>
      </c>
      <c r="H27" s="221">
        <v>9</v>
      </c>
      <c r="I27" s="224">
        <v>0</v>
      </c>
      <c r="J27" s="224">
        <v>0</v>
      </c>
    </row>
    <row r="28" spans="1:10" x14ac:dyDescent="0.25">
      <c r="A28" s="221" t="s">
        <v>523</v>
      </c>
      <c r="B28" s="222" t="s">
        <v>524</v>
      </c>
      <c r="C28" s="221">
        <v>6</v>
      </c>
      <c r="D28" s="223">
        <v>0</v>
      </c>
      <c r="E28" s="223">
        <v>0</v>
      </c>
      <c r="F28" s="221" t="s">
        <v>525</v>
      </c>
      <c r="G28" s="228" t="s">
        <v>526</v>
      </c>
      <c r="H28" s="221">
        <v>12</v>
      </c>
      <c r="I28" s="223">
        <v>0</v>
      </c>
      <c r="J28" s="223">
        <v>0</v>
      </c>
    </row>
    <row r="29" spans="1:10" x14ac:dyDescent="0.25">
      <c r="A29" s="221" t="s">
        <v>527</v>
      </c>
      <c r="B29" s="222" t="s">
        <v>528</v>
      </c>
      <c r="C29" s="221">
        <v>6</v>
      </c>
      <c r="D29" s="223">
        <v>0</v>
      </c>
      <c r="E29" s="223">
        <v>0</v>
      </c>
      <c r="F29" s="229" t="s">
        <v>529</v>
      </c>
      <c r="G29" s="230" t="s">
        <v>530</v>
      </c>
      <c r="H29" s="229">
        <v>12</v>
      </c>
      <c r="I29" s="231">
        <v>0</v>
      </c>
      <c r="J29" s="231">
        <v>0</v>
      </c>
    </row>
    <row r="30" spans="1:10" x14ac:dyDescent="0.25">
      <c r="A30" s="221" t="s">
        <v>531</v>
      </c>
      <c r="B30" s="228" t="s">
        <v>532</v>
      </c>
      <c r="C30" s="221">
        <v>6</v>
      </c>
      <c r="D30" s="223">
        <v>0</v>
      </c>
      <c r="E30" s="223">
        <v>0</v>
      </c>
      <c r="F30" s="232"/>
      <c r="G30" s="233"/>
      <c r="H30" s="232"/>
      <c r="I30" s="234"/>
      <c r="J30" s="234"/>
    </row>
    <row r="31" spans="1:10" x14ac:dyDescent="0.25">
      <c r="A31" s="225" t="s">
        <v>533</v>
      </c>
      <c r="B31" s="226" t="s">
        <v>534</v>
      </c>
      <c r="C31" s="225"/>
      <c r="D31" s="227">
        <v>0</v>
      </c>
      <c r="E31" s="227">
        <v>0</v>
      </c>
      <c r="F31" s="225" t="s">
        <v>535</v>
      </c>
      <c r="G31" s="226" t="s">
        <v>536</v>
      </c>
      <c r="H31" s="225"/>
      <c r="I31" s="227">
        <v>0</v>
      </c>
      <c r="J31" s="227">
        <v>0</v>
      </c>
    </row>
    <row r="32" spans="1:10" x14ac:dyDescent="0.25">
      <c r="A32" s="221" t="s">
        <v>537</v>
      </c>
      <c r="B32" s="222" t="s">
        <v>538</v>
      </c>
      <c r="C32" s="221">
        <v>7</v>
      </c>
      <c r="D32" s="223">
        <v>0</v>
      </c>
      <c r="E32" s="223">
        <v>0</v>
      </c>
      <c r="F32" s="229"/>
      <c r="G32" s="230"/>
      <c r="H32" s="229"/>
      <c r="I32" s="231"/>
      <c r="J32" s="231"/>
    </row>
    <row r="33" spans="1:10" x14ac:dyDescent="0.25">
      <c r="A33" s="221" t="s">
        <v>539</v>
      </c>
      <c r="B33" s="222" t="s">
        <v>540</v>
      </c>
      <c r="C33" s="221">
        <v>7</v>
      </c>
      <c r="D33" s="223">
        <v>0</v>
      </c>
      <c r="E33" s="223">
        <v>0</v>
      </c>
      <c r="F33" s="232" t="s">
        <v>541</v>
      </c>
      <c r="G33" s="233" t="s">
        <v>542</v>
      </c>
      <c r="H33" s="232">
        <v>13</v>
      </c>
      <c r="I33" s="235">
        <v>0</v>
      </c>
      <c r="J33" s="235">
        <v>0</v>
      </c>
    </row>
    <row r="34" spans="1:10" x14ac:dyDescent="0.25">
      <c r="A34" s="225" t="s">
        <v>543</v>
      </c>
      <c r="B34" s="226" t="s">
        <v>544</v>
      </c>
      <c r="C34" s="225"/>
      <c r="D34" s="227">
        <v>0</v>
      </c>
      <c r="E34" s="227">
        <v>0</v>
      </c>
      <c r="F34" s="225" t="s">
        <v>545</v>
      </c>
      <c r="G34" s="226" t="s">
        <v>546</v>
      </c>
      <c r="H34" s="225"/>
      <c r="I34" s="227">
        <v>0</v>
      </c>
      <c r="J34" s="227">
        <v>0</v>
      </c>
    </row>
    <row r="35" spans="1:10" x14ac:dyDescent="0.25">
      <c r="A35" s="221" t="s">
        <v>547</v>
      </c>
      <c r="B35" s="222" t="s">
        <v>548</v>
      </c>
      <c r="C35" s="221">
        <v>8</v>
      </c>
      <c r="D35" s="223">
        <v>0</v>
      </c>
      <c r="E35" s="223">
        <v>0</v>
      </c>
      <c r="F35" s="221" t="s">
        <v>549</v>
      </c>
      <c r="G35" s="228" t="s">
        <v>550</v>
      </c>
      <c r="H35" s="221">
        <v>8</v>
      </c>
      <c r="I35" s="224">
        <v>0</v>
      </c>
      <c r="J35" s="224">
        <v>0</v>
      </c>
    </row>
    <row r="36" spans="1:10" x14ac:dyDescent="0.25">
      <c r="A36" s="236" t="s">
        <v>551</v>
      </c>
      <c r="B36" s="237" t="s">
        <v>552</v>
      </c>
      <c r="C36" s="236"/>
      <c r="D36" s="238">
        <v>0</v>
      </c>
      <c r="E36" s="238">
        <v>0</v>
      </c>
      <c r="F36" s="236" t="s">
        <v>553</v>
      </c>
      <c r="G36" s="237" t="s">
        <v>552</v>
      </c>
      <c r="H36" s="236"/>
      <c r="I36" s="239">
        <v>0</v>
      </c>
      <c r="J36" s="239">
        <v>0</v>
      </c>
    </row>
  </sheetData>
  <mergeCells count="23">
    <mergeCell ref="C11:D11"/>
    <mergeCell ref="E11:F11"/>
    <mergeCell ref="H11:J11"/>
    <mergeCell ref="A2:B2"/>
    <mergeCell ref="C2:J2"/>
    <mergeCell ref="C3:J3"/>
    <mergeCell ref="C4:J4"/>
    <mergeCell ref="C5:J5"/>
    <mergeCell ref="C6:D6"/>
    <mergeCell ref="E6:F6"/>
    <mergeCell ref="H6:I6"/>
    <mergeCell ref="C7:D7"/>
    <mergeCell ref="C8:J8"/>
    <mergeCell ref="C9:J9"/>
    <mergeCell ref="C10:D10"/>
    <mergeCell ref="H10:J10"/>
    <mergeCell ref="A12:J12"/>
    <mergeCell ref="A14:A16"/>
    <mergeCell ref="B14:B16"/>
    <mergeCell ref="C14:C16"/>
    <mergeCell ref="F14:F16"/>
    <mergeCell ref="G14:G16"/>
    <mergeCell ref="H14:H1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273B-22DF-42FB-ADDA-77810B881C29}">
  <dimension ref="A1:F30"/>
  <sheetViews>
    <sheetView workbookViewId="0">
      <selection activeCell="G13" sqref="A1:XFD1048576"/>
    </sheetView>
  </sheetViews>
  <sheetFormatPr baseColWidth="10" defaultRowHeight="15" x14ac:dyDescent="0.25"/>
  <sheetData>
    <row r="1" spans="1:6" x14ac:dyDescent="0.25">
      <c r="A1" s="855" t="s">
        <v>554</v>
      </c>
      <c r="B1" s="855"/>
      <c r="C1" s="855"/>
      <c r="D1" s="855"/>
      <c r="E1" s="855"/>
      <c r="F1" s="855"/>
    </row>
    <row r="2" spans="1:6" x14ac:dyDescent="0.25">
      <c r="A2" s="855"/>
      <c r="B2" s="855"/>
      <c r="C2" s="855"/>
      <c r="D2" s="855"/>
      <c r="E2" s="855"/>
      <c r="F2" s="855"/>
    </row>
    <row r="3" spans="1:6" x14ac:dyDescent="0.25">
      <c r="A3" s="855"/>
      <c r="B3" s="855"/>
      <c r="C3" s="855"/>
      <c r="D3" s="855"/>
      <c r="E3" s="855"/>
      <c r="F3" s="855"/>
    </row>
    <row r="4" spans="1:6" x14ac:dyDescent="0.25">
      <c r="A4" s="855"/>
      <c r="B4" s="855"/>
      <c r="C4" s="855"/>
      <c r="D4" s="855"/>
      <c r="E4" s="855"/>
      <c r="F4" s="855"/>
    </row>
    <row r="5" spans="1:6" x14ac:dyDescent="0.25">
      <c r="A5" s="855"/>
      <c r="B5" s="855"/>
      <c r="C5" s="855"/>
      <c r="D5" s="855"/>
      <c r="E5" s="855"/>
      <c r="F5" s="855"/>
    </row>
    <row r="6" spans="1:6" x14ac:dyDescent="0.25">
      <c r="A6" s="855"/>
      <c r="B6" s="855"/>
      <c r="C6" s="855"/>
      <c r="D6" s="855"/>
      <c r="E6" s="855"/>
      <c r="F6" s="855"/>
    </row>
    <row r="7" spans="1:6" x14ac:dyDescent="0.25">
      <c r="A7" s="855"/>
      <c r="B7" s="855"/>
      <c r="C7" s="855"/>
      <c r="D7" s="855"/>
      <c r="E7" s="855"/>
      <c r="F7" s="855"/>
    </row>
    <row r="8" spans="1:6" x14ac:dyDescent="0.25">
      <c r="A8" s="855"/>
      <c r="B8" s="855"/>
      <c r="C8" s="855"/>
      <c r="D8" s="855"/>
      <c r="E8" s="855"/>
      <c r="F8" s="855"/>
    </row>
    <row r="9" spans="1:6" x14ac:dyDescent="0.25">
      <c r="A9" s="855"/>
      <c r="B9" s="855"/>
      <c r="C9" s="855"/>
      <c r="D9" s="855"/>
      <c r="E9" s="855"/>
      <c r="F9" s="855"/>
    </row>
    <row r="10" spans="1:6" x14ac:dyDescent="0.25">
      <c r="A10" s="855"/>
      <c r="B10" s="855"/>
      <c r="C10" s="855"/>
      <c r="D10" s="855"/>
      <c r="E10" s="855"/>
      <c r="F10" s="855"/>
    </row>
    <row r="11" spans="1:6" x14ac:dyDescent="0.25">
      <c r="A11" s="855"/>
      <c r="B11" s="855"/>
      <c r="C11" s="855"/>
      <c r="D11" s="855"/>
      <c r="E11" s="855"/>
      <c r="F11" s="855"/>
    </row>
    <row r="12" spans="1:6" x14ac:dyDescent="0.25">
      <c r="A12" s="855"/>
      <c r="B12" s="855"/>
      <c r="C12" s="855"/>
      <c r="D12" s="855"/>
      <c r="E12" s="855"/>
      <c r="F12" s="855"/>
    </row>
    <row r="13" spans="1:6" x14ac:dyDescent="0.25">
      <c r="A13" s="855"/>
      <c r="B13" s="855"/>
      <c r="C13" s="855"/>
      <c r="D13" s="855"/>
      <c r="E13" s="855"/>
      <c r="F13" s="855"/>
    </row>
    <row r="14" spans="1:6" x14ac:dyDescent="0.25">
      <c r="A14" s="855"/>
      <c r="B14" s="855"/>
      <c r="C14" s="855"/>
      <c r="D14" s="855"/>
      <c r="E14" s="855"/>
      <c r="F14" s="855"/>
    </row>
    <row r="15" spans="1:6" x14ac:dyDescent="0.25">
      <c r="A15" s="855"/>
      <c r="B15" s="855"/>
      <c r="C15" s="855"/>
      <c r="D15" s="855"/>
      <c r="E15" s="855"/>
      <c r="F15" s="855"/>
    </row>
    <row r="16" spans="1:6" x14ac:dyDescent="0.25">
      <c r="A16" s="855"/>
      <c r="B16" s="855"/>
      <c r="C16" s="855"/>
      <c r="D16" s="855"/>
      <c r="E16" s="855"/>
      <c r="F16" s="855"/>
    </row>
    <row r="17" spans="1:6" x14ac:dyDescent="0.25">
      <c r="A17" s="855"/>
      <c r="B17" s="855"/>
      <c r="C17" s="855"/>
      <c r="D17" s="855"/>
      <c r="E17" s="855"/>
      <c r="F17" s="855"/>
    </row>
    <row r="18" spans="1:6" x14ac:dyDescent="0.25">
      <c r="A18" s="855"/>
      <c r="B18" s="855"/>
      <c r="C18" s="855"/>
      <c r="D18" s="855"/>
      <c r="E18" s="855"/>
      <c r="F18" s="855"/>
    </row>
    <row r="19" spans="1:6" x14ac:dyDescent="0.25">
      <c r="A19" s="855"/>
      <c r="B19" s="855"/>
      <c r="C19" s="855"/>
      <c r="D19" s="855"/>
      <c r="E19" s="855"/>
      <c r="F19" s="855"/>
    </row>
    <row r="20" spans="1:6" x14ac:dyDescent="0.25">
      <c r="A20" s="855"/>
      <c r="B20" s="855"/>
      <c r="C20" s="855"/>
      <c r="D20" s="855"/>
      <c r="E20" s="855"/>
      <c r="F20" s="855"/>
    </row>
    <row r="21" spans="1:6" x14ac:dyDescent="0.25">
      <c r="A21" s="855"/>
      <c r="B21" s="855"/>
      <c r="C21" s="855"/>
      <c r="D21" s="855"/>
      <c r="E21" s="855"/>
      <c r="F21" s="855"/>
    </row>
    <row r="22" spans="1:6" x14ac:dyDescent="0.25">
      <c r="A22" s="855"/>
      <c r="B22" s="855"/>
      <c r="C22" s="855"/>
      <c r="D22" s="855"/>
      <c r="E22" s="855"/>
      <c r="F22" s="855"/>
    </row>
    <row r="23" spans="1:6" x14ac:dyDescent="0.25">
      <c r="A23" s="855"/>
      <c r="B23" s="855"/>
      <c r="C23" s="855"/>
      <c r="D23" s="855"/>
      <c r="E23" s="855"/>
      <c r="F23" s="855"/>
    </row>
    <row r="24" spans="1:6" x14ac:dyDescent="0.25">
      <c r="A24" s="855"/>
      <c r="B24" s="855"/>
      <c r="C24" s="855"/>
      <c r="D24" s="855"/>
      <c r="E24" s="855"/>
      <c r="F24" s="855"/>
    </row>
    <row r="25" spans="1:6" x14ac:dyDescent="0.25">
      <c r="A25" s="855"/>
      <c r="B25" s="855"/>
      <c r="C25" s="855"/>
      <c r="D25" s="855"/>
      <c r="E25" s="855"/>
      <c r="F25" s="855"/>
    </row>
    <row r="26" spans="1:6" x14ac:dyDescent="0.25">
      <c r="A26" s="855"/>
      <c r="B26" s="855"/>
      <c r="C26" s="855"/>
      <c r="D26" s="855"/>
      <c r="E26" s="855"/>
      <c r="F26" s="855"/>
    </row>
    <row r="27" spans="1:6" x14ac:dyDescent="0.25">
      <c r="A27" s="855"/>
      <c r="B27" s="855"/>
      <c r="C27" s="855"/>
      <c r="D27" s="855"/>
      <c r="E27" s="855"/>
      <c r="F27" s="855"/>
    </row>
    <row r="28" spans="1:6" x14ac:dyDescent="0.25">
      <c r="A28" s="855"/>
      <c r="B28" s="855"/>
      <c r="C28" s="855"/>
      <c r="D28" s="855"/>
      <c r="E28" s="855"/>
      <c r="F28" s="855"/>
    </row>
    <row r="29" spans="1:6" x14ac:dyDescent="0.25">
      <c r="A29" s="855"/>
      <c r="B29" s="855"/>
      <c r="C29" s="855"/>
      <c r="D29" s="855"/>
      <c r="E29" s="855"/>
      <c r="F29" s="855"/>
    </row>
    <row r="30" spans="1:6" x14ac:dyDescent="0.25">
      <c r="A30" s="855"/>
      <c r="B30" s="855"/>
      <c r="C30" s="855"/>
      <c r="D30" s="855"/>
      <c r="E30" s="855"/>
      <c r="F30" s="855"/>
    </row>
  </sheetData>
  <mergeCells count="1">
    <mergeCell ref="A1:F3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0F77C-E646-47B6-BA5A-FA81F8BF55AA}">
  <dimension ref="A2:N37"/>
  <sheetViews>
    <sheetView workbookViewId="0">
      <selection activeCell="E11" sqref="A1:XFD1048576"/>
    </sheetView>
  </sheetViews>
  <sheetFormatPr baseColWidth="10" defaultRowHeight="15" x14ac:dyDescent="0.25"/>
  <cols>
    <col min="1" max="1" width="4.7109375" customWidth="1"/>
    <col min="2" max="2" width="41.140625" customWidth="1"/>
    <col min="3" max="3" width="5.7109375" customWidth="1"/>
    <col min="4" max="4" width="14.7109375" customWidth="1"/>
    <col min="5" max="5" width="16.7109375" customWidth="1"/>
    <col min="6" max="6" width="14.5703125" customWidth="1"/>
    <col min="7" max="7" width="16.7109375" customWidth="1"/>
    <col min="8" max="8" width="14.5703125" customWidth="1"/>
    <col min="9" max="9" width="18.7109375" customWidth="1"/>
    <col min="10" max="10" width="7.28515625" bestFit="1" customWidth="1"/>
    <col min="11" max="14" width="17.28515625" customWidth="1"/>
  </cols>
  <sheetData>
    <row r="2" spans="1:14" x14ac:dyDescent="0.25">
      <c r="A2" s="860" t="s">
        <v>466</v>
      </c>
      <c r="B2" s="860"/>
      <c r="C2" s="619" t="s">
        <v>2</v>
      </c>
      <c r="D2" s="619"/>
      <c r="E2" s="619"/>
      <c r="F2" s="619"/>
      <c r="G2" s="619"/>
      <c r="H2" s="619"/>
      <c r="I2" s="200"/>
      <c r="J2" s="200"/>
      <c r="K2" s="200"/>
      <c r="L2" s="200"/>
      <c r="M2" s="200"/>
      <c r="N2" s="200"/>
    </row>
    <row r="3" spans="1:14" x14ac:dyDescent="0.25">
      <c r="A3" s="860"/>
      <c r="B3" s="860"/>
      <c r="C3" s="620" t="s">
        <v>4</v>
      </c>
      <c r="D3" s="620"/>
      <c r="E3" s="620"/>
      <c r="F3" s="620"/>
      <c r="G3" s="620"/>
      <c r="H3" s="620"/>
      <c r="I3" s="200"/>
      <c r="J3" s="200"/>
      <c r="K3" s="200"/>
      <c r="L3" s="200"/>
      <c r="M3" s="200"/>
      <c r="N3" s="200"/>
    </row>
    <row r="4" spans="1:14" x14ac:dyDescent="0.25">
      <c r="A4" s="198" t="s">
        <v>364</v>
      </c>
      <c r="B4" s="200"/>
      <c r="C4" s="620" t="s">
        <v>6</v>
      </c>
      <c r="D4" s="620"/>
      <c r="E4" s="620"/>
      <c r="F4" s="620"/>
      <c r="G4" s="620"/>
      <c r="H4" s="620"/>
      <c r="I4" s="200"/>
      <c r="J4" s="200"/>
      <c r="K4" s="200"/>
      <c r="L4" s="200"/>
      <c r="M4" s="200"/>
      <c r="N4" s="200"/>
    </row>
    <row r="5" spans="1:14" x14ac:dyDescent="0.25">
      <c r="A5" s="198" t="s">
        <v>365</v>
      </c>
      <c r="B5" s="200"/>
      <c r="C5" s="620" t="s">
        <v>10</v>
      </c>
      <c r="D5" s="620"/>
      <c r="E5" s="620"/>
      <c r="F5" s="620"/>
      <c r="G5" s="620"/>
      <c r="H5" s="620"/>
      <c r="I5" s="200"/>
      <c r="J5" s="200"/>
      <c r="K5" s="200"/>
      <c r="L5" s="200"/>
      <c r="M5" s="200"/>
      <c r="N5" s="200"/>
    </row>
    <row r="6" spans="1:14" x14ac:dyDescent="0.25">
      <c r="A6" s="198" t="s">
        <v>366</v>
      </c>
      <c r="B6" s="200"/>
      <c r="C6" s="620" t="s">
        <v>13</v>
      </c>
      <c r="D6" s="620"/>
      <c r="E6" s="47" t="s">
        <v>367</v>
      </c>
      <c r="F6" s="240">
        <v>45291</v>
      </c>
      <c r="G6" s="200" t="s">
        <v>467</v>
      </c>
      <c r="H6" s="241">
        <v>12</v>
      </c>
      <c r="I6" s="242"/>
      <c r="J6" s="200"/>
      <c r="K6" s="206"/>
      <c r="L6" s="243"/>
      <c r="M6" s="243"/>
      <c r="N6" s="206"/>
    </row>
    <row r="7" spans="1:14" x14ac:dyDescent="0.25">
      <c r="A7" s="204" t="s">
        <v>369</v>
      </c>
      <c r="B7" s="205"/>
      <c r="C7" s="620" t="s">
        <v>8</v>
      </c>
      <c r="D7" s="620"/>
      <c r="E7" s="200"/>
      <c r="F7" s="200"/>
      <c r="G7" s="200"/>
      <c r="H7" s="200"/>
      <c r="I7" s="200"/>
      <c r="J7" s="206"/>
      <c r="K7" s="206"/>
      <c r="L7" s="206"/>
      <c r="M7" s="206"/>
      <c r="N7" s="206"/>
    </row>
    <row r="8" spans="1:14" x14ac:dyDescent="0.25">
      <c r="A8" s="200" t="s">
        <v>468</v>
      </c>
      <c r="B8" s="200"/>
      <c r="C8" s="619" t="s">
        <v>35</v>
      </c>
      <c r="D8" s="619"/>
      <c r="E8" s="619"/>
      <c r="F8" s="619"/>
      <c r="G8" s="619"/>
      <c r="H8" s="619"/>
      <c r="I8" s="200"/>
      <c r="J8" s="200"/>
      <c r="K8" s="200"/>
      <c r="L8" s="200"/>
    </row>
    <row r="9" spans="1:14" x14ac:dyDescent="0.25">
      <c r="A9" s="200"/>
      <c r="B9" s="200"/>
      <c r="C9" s="620" t="s">
        <v>36</v>
      </c>
      <c r="D9" s="620"/>
      <c r="E9" s="620"/>
      <c r="F9" s="620"/>
      <c r="G9" s="620"/>
      <c r="H9" s="620"/>
      <c r="I9" s="200"/>
      <c r="J9" s="200"/>
      <c r="K9" s="200"/>
      <c r="L9" s="200"/>
    </row>
    <row r="10" spans="1:14" x14ac:dyDescent="0.25">
      <c r="A10" s="200" t="s">
        <v>469</v>
      </c>
      <c r="B10" s="200"/>
      <c r="C10" s="620" t="s">
        <v>40</v>
      </c>
      <c r="D10" s="620"/>
      <c r="E10" s="611" t="s">
        <v>470</v>
      </c>
      <c r="F10" s="611"/>
      <c r="G10" s="620" t="s">
        <v>38</v>
      </c>
      <c r="H10" s="620"/>
      <c r="I10" s="243"/>
      <c r="J10" s="243"/>
      <c r="K10" s="243"/>
      <c r="L10" s="243"/>
    </row>
    <row r="11" spans="1:14" x14ac:dyDescent="0.25">
      <c r="A11" s="200" t="s">
        <v>471</v>
      </c>
      <c r="B11" s="200"/>
      <c r="C11" s="876">
        <v>44713</v>
      </c>
      <c r="D11" s="876"/>
      <c r="E11" s="610" t="s">
        <v>472</v>
      </c>
      <c r="F11" s="610"/>
      <c r="G11" s="876">
        <v>45991</v>
      </c>
      <c r="H11" s="876"/>
      <c r="I11" s="210"/>
      <c r="J11" s="245"/>
      <c r="K11" s="245"/>
      <c r="L11" s="245"/>
    </row>
    <row r="12" spans="1:14" ht="15.75" x14ac:dyDescent="0.25">
      <c r="A12" s="246"/>
      <c r="B12" s="246"/>
      <c r="C12" s="246"/>
      <c r="D12" s="246"/>
      <c r="E12" s="246"/>
      <c r="F12" s="246"/>
      <c r="G12" s="246"/>
      <c r="H12" s="246"/>
      <c r="I12" s="246"/>
    </row>
    <row r="13" spans="1:14" ht="15.75" x14ac:dyDescent="0.25">
      <c r="A13" s="611" t="s">
        <v>555</v>
      </c>
      <c r="B13" s="611"/>
      <c r="C13" s="611"/>
      <c r="D13" s="611"/>
      <c r="E13" s="611"/>
      <c r="F13" s="611"/>
      <c r="G13" s="611"/>
      <c r="H13" s="611"/>
      <c r="I13" s="246"/>
    </row>
    <row r="14" spans="1:14" ht="15.75" x14ac:dyDescent="0.25">
      <c r="A14" s="246"/>
      <c r="B14" s="246"/>
      <c r="C14" s="246"/>
      <c r="D14" s="246"/>
      <c r="E14" s="246"/>
      <c r="F14" s="246"/>
      <c r="G14" s="246"/>
      <c r="H14" s="246"/>
      <c r="I14" s="246"/>
    </row>
    <row r="15" spans="1:14" x14ac:dyDescent="0.25">
      <c r="A15" s="877" t="s">
        <v>473</v>
      </c>
      <c r="B15" s="877" t="s">
        <v>556</v>
      </c>
      <c r="C15" s="877"/>
      <c r="D15" s="877" t="s">
        <v>557</v>
      </c>
      <c r="E15" s="873" t="s">
        <v>476</v>
      </c>
      <c r="F15" s="873"/>
      <c r="G15" s="873" t="s">
        <v>476</v>
      </c>
      <c r="H15" s="873"/>
    </row>
    <row r="16" spans="1:14" x14ac:dyDescent="0.25">
      <c r="A16" s="877"/>
      <c r="B16" s="877"/>
      <c r="C16" s="877"/>
      <c r="D16" s="877"/>
      <c r="E16" s="872">
        <v>45291</v>
      </c>
      <c r="F16" s="872"/>
      <c r="G16" s="872">
        <v>44926</v>
      </c>
      <c r="H16" s="872"/>
    </row>
    <row r="17" spans="1:8" x14ac:dyDescent="0.25">
      <c r="A17" s="877"/>
      <c r="B17" s="877"/>
      <c r="C17" s="877"/>
      <c r="D17" s="877"/>
      <c r="E17" s="873" t="s">
        <v>558</v>
      </c>
      <c r="F17" s="873"/>
      <c r="G17" s="873" t="s">
        <v>558</v>
      </c>
      <c r="H17" s="873"/>
    </row>
    <row r="18" spans="1:8" x14ac:dyDescent="0.25">
      <c r="A18" s="248" t="s">
        <v>559</v>
      </c>
      <c r="B18" s="874" t="s">
        <v>560</v>
      </c>
      <c r="C18" s="874"/>
      <c r="D18" s="248">
        <v>9</v>
      </c>
      <c r="E18" s="875">
        <v>0</v>
      </c>
      <c r="F18" s="875"/>
      <c r="G18" s="875">
        <v>0</v>
      </c>
      <c r="H18" s="875"/>
    </row>
    <row r="19" spans="1:8" ht="31.9" customHeight="1" x14ac:dyDescent="0.25">
      <c r="A19" s="249" t="s">
        <v>561</v>
      </c>
      <c r="B19" s="869" t="s">
        <v>562</v>
      </c>
      <c r="C19" s="869"/>
      <c r="D19" s="249">
        <v>14</v>
      </c>
      <c r="E19" s="866">
        <v>0</v>
      </c>
      <c r="F19" s="866"/>
      <c r="G19" s="866">
        <v>0</v>
      </c>
      <c r="H19" s="866"/>
    </row>
    <row r="20" spans="1:8" x14ac:dyDescent="0.25">
      <c r="A20" s="249" t="s">
        <v>563</v>
      </c>
      <c r="B20" s="870" t="s">
        <v>564</v>
      </c>
      <c r="C20" s="871"/>
      <c r="D20" s="249">
        <v>14</v>
      </c>
      <c r="E20" s="866">
        <v>0</v>
      </c>
      <c r="F20" s="866"/>
      <c r="G20" s="866">
        <v>0</v>
      </c>
      <c r="H20" s="866"/>
    </row>
    <row r="21" spans="1:8" x14ac:dyDescent="0.25">
      <c r="A21" s="249" t="s">
        <v>565</v>
      </c>
      <c r="B21" s="865" t="s">
        <v>566</v>
      </c>
      <c r="C21" s="865"/>
      <c r="D21" s="249">
        <v>14</v>
      </c>
      <c r="E21" s="866">
        <v>0</v>
      </c>
      <c r="F21" s="866"/>
      <c r="G21" s="866">
        <v>0</v>
      </c>
      <c r="H21" s="866"/>
    </row>
    <row r="22" spans="1:8" x14ac:dyDescent="0.25">
      <c r="A22" s="249" t="s">
        <v>567</v>
      </c>
      <c r="B22" s="865" t="s">
        <v>568</v>
      </c>
      <c r="C22" s="865"/>
      <c r="D22" s="249">
        <v>22</v>
      </c>
      <c r="E22" s="866">
        <v>0</v>
      </c>
      <c r="F22" s="866"/>
      <c r="G22" s="866">
        <v>0</v>
      </c>
      <c r="H22" s="866"/>
    </row>
    <row r="23" spans="1:8" x14ac:dyDescent="0.25">
      <c r="A23" s="250" t="s">
        <v>569</v>
      </c>
      <c r="B23" s="867" t="s">
        <v>570</v>
      </c>
      <c r="C23" s="867"/>
      <c r="D23" s="250"/>
      <c r="E23" s="868">
        <v>0</v>
      </c>
      <c r="F23" s="868"/>
      <c r="G23" s="868">
        <v>0</v>
      </c>
      <c r="H23" s="868"/>
    </row>
    <row r="24" spans="1:8" ht="32.450000000000003" customHeight="1" x14ac:dyDescent="0.25">
      <c r="A24" s="249" t="s">
        <v>571</v>
      </c>
      <c r="B24" s="865" t="s">
        <v>572</v>
      </c>
      <c r="C24" s="865"/>
      <c r="D24" s="249">
        <v>15</v>
      </c>
      <c r="E24" s="866">
        <v>0</v>
      </c>
      <c r="F24" s="866"/>
      <c r="G24" s="866">
        <v>0</v>
      </c>
      <c r="H24" s="866"/>
    </row>
    <row r="25" spans="1:8" x14ac:dyDescent="0.25">
      <c r="A25" s="249" t="s">
        <v>573</v>
      </c>
      <c r="B25" s="865" t="s">
        <v>574</v>
      </c>
      <c r="C25" s="865"/>
      <c r="D25" s="249">
        <v>15</v>
      </c>
      <c r="E25" s="866">
        <v>0</v>
      </c>
      <c r="F25" s="866"/>
      <c r="G25" s="866">
        <v>0</v>
      </c>
      <c r="H25" s="866"/>
    </row>
    <row r="26" spans="1:8" ht="33" customHeight="1" x14ac:dyDescent="0.25">
      <c r="A26" s="249" t="s">
        <v>575</v>
      </c>
      <c r="B26" s="865" t="s">
        <v>576</v>
      </c>
      <c r="C26" s="865"/>
      <c r="D26" s="249">
        <v>5</v>
      </c>
      <c r="E26" s="866">
        <v>0</v>
      </c>
      <c r="F26" s="866"/>
      <c r="G26" s="866">
        <v>0</v>
      </c>
      <c r="H26" s="866"/>
    </row>
    <row r="27" spans="1:8" x14ac:dyDescent="0.25">
      <c r="A27" s="249" t="s">
        <v>577</v>
      </c>
      <c r="B27" s="865" t="s">
        <v>578</v>
      </c>
      <c r="C27" s="865"/>
      <c r="D27" s="249">
        <v>16</v>
      </c>
      <c r="E27" s="866">
        <v>0</v>
      </c>
      <c r="F27" s="866"/>
      <c r="G27" s="866">
        <v>0</v>
      </c>
      <c r="H27" s="866"/>
    </row>
    <row r="28" spans="1:8" x14ac:dyDescent="0.25">
      <c r="A28" s="249" t="s">
        <v>579</v>
      </c>
      <c r="B28" s="865" t="s">
        <v>580</v>
      </c>
      <c r="C28" s="865"/>
      <c r="D28" s="249">
        <v>17</v>
      </c>
      <c r="E28" s="866">
        <v>0</v>
      </c>
      <c r="F28" s="866"/>
      <c r="G28" s="866">
        <v>0</v>
      </c>
      <c r="H28" s="866"/>
    </row>
    <row r="29" spans="1:8" x14ac:dyDescent="0.25">
      <c r="A29" s="249" t="s">
        <v>581</v>
      </c>
      <c r="B29" s="865" t="s">
        <v>582</v>
      </c>
      <c r="C29" s="865"/>
      <c r="D29" s="249">
        <v>18</v>
      </c>
      <c r="E29" s="866">
        <v>0</v>
      </c>
      <c r="F29" s="866"/>
      <c r="G29" s="866">
        <v>0</v>
      </c>
      <c r="H29" s="866"/>
    </row>
    <row r="30" spans="1:8" x14ac:dyDescent="0.25">
      <c r="A30" s="249" t="s">
        <v>583</v>
      </c>
      <c r="B30" s="865" t="s">
        <v>584</v>
      </c>
      <c r="C30" s="865"/>
      <c r="D30" s="249">
        <v>19</v>
      </c>
      <c r="E30" s="866">
        <v>0</v>
      </c>
      <c r="F30" s="866"/>
      <c r="G30" s="866">
        <v>0</v>
      </c>
      <c r="H30" s="866"/>
    </row>
    <row r="31" spans="1:8" x14ac:dyDescent="0.25">
      <c r="A31" s="249" t="s">
        <v>585</v>
      </c>
      <c r="B31" s="865" t="s">
        <v>586</v>
      </c>
      <c r="C31" s="865"/>
      <c r="D31" s="249">
        <v>20</v>
      </c>
      <c r="E31" s="866">
        <v>0</v>
      </c>
      <c r="F31" s="866"/>
      <c r="G31" s="866">
        <v>0</v>
      </c>
      <c r="H31" s="866"/>
    </row>
    <row r="32" spans="1:8" x14ac:dyDescent="0.25">
      <c r="A32" s="249" t="s">
        <v>587</v>
      </c>
      <c r="B32" s="865" t="s">
        <v>588</v>
      </c>
      <c r="C32" s="865"/>
      <c r="D32" s="249">
        <v>21</v>
      </c>
      <c r="E32" s="866">
        <v>0</v>
      </c>
      <c r="F32" s="866"/>
      <c r="G32" s="866">
        <v>0</v>
      </c>
      <c r="H32" s="866"/>
    </row>
    <row r="33" spans="1:8" x14ac:dyDescent="0.25">
      <c r="A33" s="249" t="s">
        <v>589</v>
      </c>
      <c r="B33" s="865" t="s">
        <v>590</v>
      </c>
      <c r="C33" s="865"/>
      <c r="D33" s="249">
        <v>22</v>
      </c>
      <c r="E33" s="866">
        <v>0</v>
      </c>
      <c r="F33" s="866"/>
      <c r="G33" s="866">
        <v>0</v>
      </c>
      <c r="H33" s="866"/>
    </row>
    <row r="34" spans="1:8" x14ac:dyDescent="0.25">
      <c r="A34" s="249" t="s">
        <v>591</v>
      </c>
      <c r="B34" s="865" t="s">
        <v>592</v>
      </c>
      <c r="C34" s="865"/>
      <c r="D34" s="249">
        <v>23</v>
      </c>
      <c r="E34" s="866">
        <v>0</v>
      </c>
      <c r="F34" s="866"/>
      <c r="G34" s="866">
        <v>0</v>
      </c>
      <c r="H34" s="866"/>
    </row>
    <row r="35" spans="1:8" x14ac:dyDescent="0.25">
      <c r="A35" s="249" t="s">
        <v>593</v>
      </c>
      <c r="B35" s="865" t="s">
        <v>594</v>
      </c>
      <c r="C35" s="865"/>
      <c r="D35" s="249">
        <v>23</v>
      </c>
      <c r="E35" s="866">
        <v>0</v>
      </c>
      <c r="F35" s="866"/>
      <c r="G35" s="866">
        <v>0</v>
      </c>
      <c r="H35" s="866"/>
    </row>
    <row r="36" spans="1:8" ht="14.45" customHeight="1" x14ac:dyDescent="0.25">
      <c r="A36" s="250" t="s">
        <v>595</v>
      </c>
      <c r="B36" s="867" t="s">
        <v>596</v>
      </c>
      <c r="C36" s="867"/>
      <c r="D36" s="250"/>
      <c r="E36" s="868">
        <v>0</v>
      </c>
      <c r="F36" s="868"/>
      <c r="G36" s="868">
        <v>0</v>
      </c>
      <c r="H36" s="868"/>
    </row>
    <row r="37" spans="1:8" ht="34.15" customHeight="1" x14ac:dyDescent="0.25">
      <c r="A37" s="251" t="s">
        <v>597</v>
      </c>
      <c r="B37" s="863" t="s">
        <v>598</v>
      </c>
      <c r="C37" s="863"/>
      <c r="D37" s="251"/>
      <c r="E37" s="864">
        <v>0</v>
      </c>
      <c r="F37" s="864"/>
      <c r="G37" s="864">
        <v>0</v>
      </c>
      <c r="H37" s="864"/>
    </row>
  </sheetData>
  <mergeCells count="86">
    <mergeCell ref="C5:H5"/>
    <mergeCell ref="A2:B2"/>
    <mergeCell ref="C2:H2"/>
    <mergeCell ref="A3:B3"/>
    <mergeCell ref="C3:H3"/>
    <mergeCell ref="C4:H4"/>
    <mergeCell ref="C6:D6"/>
    <mergeCell ref="C7:D7"/>
    <mergeCell ref="C8:H8"/>
    <mergeCell ref="C9:H9"/>
    <mergeCell ref="C10:D10"/>
    <mergeCell ref="E10:F10"/>
    <mergeCell ref="G10:H10"/>
    <mergeCell ref="C11:D11"/>
    <mergeCell ref="E11:F11"/>
    <mergeCell ref="G11:H11"/>
    <mergeCell ref="A13:H13"/>
    <mergeCell ref="A15:A17"/>
    <mergeCell ref="B15:C17"/>
    <mergeCell ref="D15:D17"/>
    <mergeCell ref="E15:F15"/>
    <mergeCell ref="G15:H15"/>
    <mergeCell ref="E16:F16"/>
    <mergeCell ref="G16:H16"/>
    <mergeCell ref="E17:F17"/>
    <mergeCell ref="G17:H17"/>
    <mergeCell ref="B18:C18"/>
    <mergeCell ref="E18:F18"/>
    <mergeCell ref="G18:H18"/>
    <mergeCell ref="B19:C19"/>
    <mergeCell ref="E19:F19"/>
    <mergeCell ref="G19:H19"/>
    <mergeCell ref="B20:C20"/>
    <mergeCell ref="E20:F20"/>
    <mergeCell ref="G20:H20"/>
    <mergeCell ref="B21:C21"/>
    <mergeCell ref="E21:F21"/>
    <mergeCell ref="G21:H21"/>
    <mergeCell ref="B22:C22"/>
    <mergeCell ref="E22:F22"/>
    <mergeCell ref="G22:H22"/>
    <mergeCell ref="B23:C23"/>
    <mergeCell ref="E23:F23"/>
    <mergeCell ref="G23:H23"/>
    <mergeCell ref="B24:C24"/>
    <mergeCell ref="E24:F24"/>
    <mergeCell ref="G24:H24"/>
    <mergeCell ref="B25:C25"/>
    <mergeCell ref="E25:F25"/>
    <mergeCell ref="G25:H25"/>
    <mergeCell ref="B26:C26"/>
    <mergeCell ref="E26:F26"/>
    <mergeCell ref="G26:H26"/>
    <mergeCell ref="B27:C27"/>
    <mergeCell ref="E27:F27"/>
    <mergeCell ref="G27:H27"/>
    <mergeCell ref="B28:C28"/>
    <mergeCell ref="E28:F28"/>
    <mergeCell ref="G28:H28"/>
    <mergeCell ref="B29:C29"/>
    <mergeCell ref="E29:F29"/>
    <mergeCell ref="G29:H29"/>
    <mergeCell ref="B30:C30"/>
    <mergeCell ref="E30:F30"/>
    <mergeCell ref="G30:H30"/>
    <mergeCell ref="B31:C31"/>
    <mergeCell ref="E31:F31"/>
    <mergeCell ref="G31:H31"/>
    <mergeCell ref="B32:C32"/>
    <mergeCell ref="E32:F32"/>
    <mergeCell ref="G32:H32"/>
    <mergeCell ref="B33:C33"/>
    <mergeCell ref="E33:F33"/>
    <mergeCell ref="G33:H33"/>
    <mergeCell ref="B34:C34"/>
    <mergeCell ref="E34:F34"/>
    <mergeCell ref="G34:H34"/>
    <mergeCell ref="B37:C37"/>
    <mergeCell ref="E37:F37"/>
    <mergeCell ref="G37:H37"/>
    <mergeCell ref="B35:C35"/>
    <mergeCell ref="E35:F35"/>
    <mergeCell ref="G35:H35"/>
    <mergeCell ref="B36:C36"/>
    <mergeCell ref="E36:F36"/>
    <mergeCell ref="G36:H3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05A0-CC2B-43D3-A030-A7DA57B58BC0}">
  <dimension ref="A2:H51"/>
  <sheetViews>
    <sheetView workbookViewId="0">
      <selection activeCell="D14" sqref="A1:XFD1048576"/>
    </sheetView>
  </sheetViews>
  <sheetFormatPr baseColWidth="10" defaultRowHeight="15" x14ac:dyDescent="0.25"/>
  <cols>
    <col min="1" max="1" width="5.140625" customWidth="1"/>
    <col min="2" max="2" width="49.28515625" customWidth="1"/>
    <col min="3" max="3" width="18.140625" customWidth="1"/>
    <col min="4" max="4" width="10.140625" customWidth="1"/>
    <col min="5" max="5" width="16.140625" customWidth="1"/>
    <col min="6" max="6" width="12.7109375" customWidth="1"/>
    <col min="7" max="7" width="16.5703125" customWidth="1"/>
  </cols>
  <sheetData>
    <row r="2" spans="1:8" x14ac:dyDescent="0.25">
      <c r="A2" s="860" t="s">
        <v>466</v>
      </c>
      <c r="B2" s="860"/>
      <c r="C2" s="619" t="s">
        <v>2</v>
      </c>
      <c r="D2" s="619"/>
      <c r="E2" s="619"/>
      <c r="F2" s="619"/>
      <c r="G2" s="619"/>
      <c r="H2" s="619"/>
    </row>
    <row r="3" spans="1:8" x14ac:dyDescent="0.25">
      <c r="A3" s="860"/>
      <c r="B3" s="860"/>
      <c r="C3" s="620" t="s">
        <v>4</v>
      </c>
      <c r="D3" s="620"/>
      <c r="E3" s="620"/>
      <c r="F3" s="620"/>
      <c r="G3" s="620"/>
      <c r="H3" s="620"/>
    </row>
    <row r="4" spans="1:8" x14ac:dyDescent="0.25">
      <c r="A4" s="198" t="s">
        <v>364</v>
      </c>
      <c r="B4" s="200"/>
      <c r="C4" s="620" t="s">
        <v>6</v>
      </c>
      <c r="D4" s="620"/>
      <c r="E4" s="620"/>
      <c r="F4" s="620"/>
      <c r="G4" s="620"/>
      <c r="H4" s="620"/>
    </row>
    <row r="5" spans="1:8" x14ac:dyDescent="0.25">
      <c r="A5" s="198" t="s">
        <v>365</v>
      </c>
      <c r="B5" s="200"/>
      <c r="C5" s="620" t="s">
        <v>10</v>
      </c>
      <c r="D5" s="620"/>
      <c r="E5" s="620"/>
      <c r="F5" s="620"/>
      <c r="G5" s="620"/>
      <c r="H5" s="620"/>
    </row>
    <row r="6" spans="1:8" x14ac:dyDescent="0.25">
      <c r="A6" s="198" t="s">
        <v>366</v>
      </c>
      <c r="B6" s="200"/>
      <c r="C6" s="620" t="s">
        <v>13</v>
      </c>
      <c r="D6" s="620"/>
      <c r="E6" s="47" t="s">
        <v>367</v>
      </c>
      <c r="F6" s="240">
        <v>45291</v>
      </c>
      <c r="G6" s="200" t="s">
        <v>467</v>
      </c>
      <c r="H6" s="241">
        <v>12</v>
      </c>
    </row>
    <row r="7" spans="1:8" x14ac:dyDescent="0.25">
      <c r="A7" s="204" t="s">
        <v>369</v>
      </c>
      <c r="B7" s="205"/>
      <c r="C7" s="620" t="s">
        <v>8</v>
      </c>
      <c r="D7" s="620"/>
      <c r="E7" s="200"/>
      <c r="F7" s="200"/>
      <c r="G7" s="200"/>
      <c r="H7" s="200"/>
    </row>
    <row r="8" spans="1:8" x14ac:dyDescent="0.25">
      <c r="A8" s="200" t="s">
        <v>468</v>
      </c>
      <c r="B8" s="200"/>
      <c r="C8" s="619" t="s">
        <v>35</v>
      </c>
      <c r="D8" s="619"/>
      <c r="E8" s="619"/>
      <c r="F8" s="619"/>
      <c r="G8" s="619"/>
      <c r="H8" s="619"/>
    </row>
    <row r="9" spans="1:8" x14ac:dyDescent="0.25">
      <c r="A9" s="200"/>
      <c r="B9" s="200"/>
      <c r="C9" s="620" t="s">
        <v>36</v>
      </c>
      <c r="D9" s="620"/>
      <c r="E9" s="620"/>
      <c r="F9" s="620"/>
      <c r="G9" s="620"/>
      <c r="H9" s="620"/>
    </row>
    <row r="10" spans="1:8" x14ac:dyDescent="0.25">
      <c r="A10" s="200" t="s">
        <v>469</v>
      </c>
      <c r="B10" s="200"/>
      <c r="C10" s="620" t="s">
        <v>40</v>
      </c>
      <c r="D10" s="620"/>
      <c r="E10" s="611" t="s">
        <v>470</v>
      </c>
      <c r="F10" s="611"/>
      <c r="G10" s="620" t="s">
        <v>38</v>
      </c>
      <c r="H10" s="620"/>
    </row>
    <row r="11" spans="1:8" x14ac:dyDescent="0.25">
      <c r="A11" s="200" t="s">
        <v>471</v>
      </c>
      <c r="B11" s="200"/>
      <c r="C11" s="876">
        <v>44713</v>
      </c>
      <c r="D11" s="876"/>
      <c r="E11" s="610" t="s">
        <v>472</v>
      </c>
      <c r="F11" s="610"/>
      <c r="G11" s="876">
        <v>45991</v>
      </c>
      <c r="H11" s="876"/>
    </row>
    <row r="13" spans="1:8" ht="15.75" x14ac:dyDescent="0.25">
      <c r="A13" s="678"/>
      <c r="B13" s="678"/>
      <c r="C13" s="678"/>
      <c r="D13" s="678"/>
      <c r="E13" s="678"/>
      <c r="F13" s="678"/>
      <c r="G13" s="678"/>
      <c r="H13" s="678"/>
    </row>
    <row r="14" spans="1:8" ht="15.75" x14ac:dyDescent="0.25">
      <c r="A14" s="678" t="s">
        <v>599</v>
      </c>
      <c r="B14" s="678"/>
      <c r="C14" s="678"/>
      <c r="D14" s="678"/>
      <c r="E14" s="678"/>
      <c r="F14" s="678"/>
      <c r="G14" s="678"/>
      <c r="H14" s="678"/>
    </row>
    <row r="15" spans="1:8" ht="8.4499999999999993" customHeight="1" x14ac:dyDescent="0.25">
      <c r="A15" s="252"/>
      <c r="B15" s="252"/>
      <c r="C15" s="252"/>
      <c r="D15" s="252"/>
      <c r="E15" s="252"/>
      <c r="F15" s="252"/>
      <c r="G15" s="252"/>
      <c r="H15" s="252"/>
    </row>
    <row r="16" spans="1:8" ht="36" customHeight="1" x14ac:dyDescent="0.25">
      <c r="A16" s="253" t="s">
        <v>473</v>
      </c>
      <c r="B16" s="253" t="s">
        <v>600</v>
      </c>
      <c r="C16" s="887" t="s">
        <v>601</v>
      </c>
      <c r="D16" s="887"/>
      <c r="E16" s="888" t="s">
        <v>602</v>
      </c>
      <c r="F16" s="888"/>
      <c r="G16" s="887" t="s">
        <v>603</v>
      </c>
      <c r="H16" s="887"/>
    </row>
    <row r="17" spans="1:8" x14ac:dyDescent="0.25">
      <c r="A17" s="255" t="s">
        <v>604</v>
      </c>
      <c r="B17" s="255" t="s">
        <v>605</v>
      </c>
      <c r="C17" s="880"/>
      <c r="D17" s="880"/>
      <c r="E17" s="880"/>
      <c r="F17" s="880"/>
      <c r="G17" s="886"/>
      <c r="H17" s="886"/>
    </row>
    <row r="18" spans="1:8" x14ac:dyDescent="0.25">
      <c r="A18" s="255" t="s">
        <v>606</v>
      </c>
      <c r="B18" s="255" t="s">
        <v>605</v>
      </c>
      <c r="C18" s="885"/>
      <c r="D18" s="885"/>
      <c r="E18" s="885"/>
      <c r="F18" s="885"/>
      <c r="G18" s="882"/>
      <c r="H18" s="882"/>
    </row>
    <row r="19" spans="1:8" x14ac:dyDescent="0.25">
      <c r="A19" s="255" t="s">
        <v>607</v>
      </c>
      <c r="B19" s="255" t="s">
        <v>608</v>
      </c>
      <c r="C19" s="885"/>
      <c r="D19" s="885"/>
      <c r="E19" s="885"/>
      <c r="F19" s="885"/>
      <c r="G19" s="882"/>
      <c r="H19" s="882"/>
    </row>
    <row r="20" spans="1:8" x14ac:dyDescent="0.25">
      <c r="A20" s="255" t="s">
        <v>609</v>
      </c>
      <c r="B20" s="255" t="s">
        <v>610</v>
      </c>
      <c r="C20" s="885"/>
      <c r="D20" s="885"/>
      <c r="E20" s="885"/>
      <c r="F20" s="885"/>
      <c r="G20" s="882"/>
      <c r="H20" s="882"/>
    </row>
    <row r="21" spans="1:8" x14ac:dyDescent="0.25">
      <c r="A21" s="257" t="s">
        <v>611</v>
      </c>
      <c r="B21" s="258" t="s">
        <v>612</v>
      </c>
      <c r="C21" s="878"/>
      <c r="D21" s="879"/>
      <c r="E21" s="878"/>
      <c r="F21" s="879"/>
      <c r="G21" s="878"/>
      <c r="H21" s="879"/>
    </row>
    <row r="22" spans="1:8" x14ac:dyDescent="0.25">
      <c r="A22" s="255" t="s">
        <v>613</v>
      </c>
      <c r="B22" s="255" t="s">
        <v>614</v>
      </c>
      <c r="C22" s="885"/>
      <c r="D22" s="885"/>
      <c r="E22" s="885"/>
      <c r="F22" s="885"/>
      <c r="G22" s="882"/>
      <c r="H22" s="882"/>
    </row>
    <row r="23" spans="1:8" x14ac:dyDescent="0.25">
      <c r="A23" s="255" t="s">
        <v>615</v>
      </c>
      <c r="B23" s="255" t="s">
        <v>616</v>
      </c>
      <c r="C23" s="885"/>
      <c r="D23" s="885"/>
      <c r="E23" s="885"/>
      <c r="F23" s="885"/>
      <c r="G23" s="882"/>
      <c r="H23" s="882"/>
    </row>
    <row r="24" spans="1:8" x14ac:dyDescent="0.25">
      <c r="A24" s="259" t="s">
        <v>617</v>
      </c>
      <c r="B24" s="259" t="s">
        <v>618</v>
      </c>
      <c r="C24" s="885"/>
      <c r="D24" s="885"/>
      <c r="E24" s="885"/>
      <c r="F24" s="885"/>
      <c r="G24" s="882"/>
      <c r="H24" s="882"/>
    </row>
    <row r="25" spans="1:8" x14ac:dyDescent="0.25">
      <c r="A25" s="260" t="s">
        <v>619</v>
      </c>
      <c r="B25" s="260" t="s">
        <v>488</v>
      </c>
      <c r="C25" s="885"/>
      <c r="D25" s="885"/>
      <c r="E25" s="885"/>
      <c r="F25" s="885"/>
      <c r="G25" s="882"/>
      <c r="H25" s="882"/>
    </row>
    <row r="26" spans="1:8" x14ac:dyDescent="0.25">
      <c r="A26" s="260" t="s">
        <v>620</v>
      </c>
      <c r="B26" s="260" t="s">
        <v>492</v>
      </c>
      <c r="C26" s="885"/>
      <c r="D26" s="885"/>
      <c r="E26" s="885"/>
      <c r="F26" s="885"/>
      <c r="G26" s="882"/>
      <c r="H26" s="882"/>
    </row>
    <row r="27" spans="1:8" x14ac:dyDescent="0.25">
      <c r="A27" s="260" t="s">
        <v>621</v>
      </c>
      <c r="B27" s="260" t="s">
        <v>496</v>
      </c>
      <c r="C27" s="885"/>
      <c r="D27" s="885"/>
      <c r="E27" s="885"/>
      <c r="F27" s="885"/>
      <c r="G27" s="882"/>
      <c r="H27" s="882"/>
    </row>
    <row r="28" spans="1:8" x14ac:dyDescent="0.25">
      <c r="A28" s="260" t="s">
        <v>622</v>
      </c>
      <c r="B28" s="260" t="s">
        <v>623</v>
      </c>
      <c r="C28" s="885"/>
      <c r="D28" s="885"/>
      <c r="E28" s="885"/>
      <c r="F28" s="885"/>
      <c r="G28" s="882"/>
      <c r="H28" s="882"/>
    </row>
    <row r="29" spans="1:8" x14ac:dyDescent="0.25">
      <c r="A29" s="260" t="s">
        <v>624</v>
      </c>
      <c r="B29" s="260" t="s">
        <v>625</v>
      </c>
      <c r="C29" s="885"/>
      <c r="D29" s="885"/>
      <c r="E29" s="885"/>
      <c r="F29" s="885"/>
      <c r="G29" s="882"/>
      <c r="H29" s="882"/>
    </row>
    <row r="30" spans="1:8" x14ac:dyDescent="0.25">
      <c r="A30" s="257" t="s">
        <v>626</v>
      </c>
      <c r="B30" s="257" t="s">
        <v>627</v>
      </c>
      <c r="C30" s="878"/>
      <c r="D30" s="879"/>
      <c r="E30" s="878"/>
      <c r="F30" s="879"/>
      <c r="G30" s="878"/>
      <c r="H30" s="879"/>
    </row>
    <row r="31" spans="1:8" x14ac:dyDescent="0.25">
      <c r="A31" s="260" t="s">
        <v>628</v>
      </c>
      <c r="B31" s="260" t="s">
        <v>629</v>
      </c>
      <c r="C31" s="885"/>
      <c r="D31" s="885"/>
      <c r="E31" s="885"/>
      <c r="F31" s="885"/>
      <c r="G31" s="882"/>
      <c r="H31" s="882"/>
    </row>
    <row r="32" spans="1:8" x14ac:dyDescent="0.25">
      <c r="A32" s="260" t="s">
        <v>630</v>
      </c>
      <c r="B32" s="260" t="s">
        <v>578</v>
      </c>
      <c r="C32" s="885"/>
      <c r="D32" s="885"/>
      <c r="E32" s="885"/>
      <c r="F32" s="885"/>
      <c r="G32" s="882"/>
      <c r="H32" s="882"/>
    </row>
    <row r="33" spans="1:8" x14ac:dyDescent="0.25">
      <c r="A33" s="260" t="s">
        <v>631</v>
      </c>
      <c r="B33" s="260" t="s">
        <v>580</v>
      </c>
      <c r="C33" s="885"/>
      <c r="D33" s="885"/>
      <c r="E33" s="885"/>
      <c r="F33" s="885"/>
      <c r="G33" s="882"/>
      <c r="H33" s="882"/>
    </row>
    <row r="34" spans="1:8" x14ac:dyDescent="0.25">
      <c r="A34" s="260" t="s">
        <v>632</v>
      </c>
      <c r="B34" s="260" t="s">
        <v>582</v>
      </c>
      <c r="C34" s="885"/>
      <c r="D34" s="885"/>
      <c r="E34" s="885"/>
      <c r="F34" s="885"/>
      <c r="G34" s="882"/>
      <c r="H34" s="882"/>
    </row>
    <row r="35" spans="1:8" x14ac:dyDescent="0.25">
      <c r="A35" s="260" t="s">
        <v>633</v>
      </c>
      <c r="B35" s="260" t="s">
        <v>584</v>
      </c>
      <c r="C35" s="885"/>
      <c r="D35" s="885"/>
      <c r="E35" s="885"/>
      <c r="F35" s="885"/>
      <c r="G35" s="882"/>
      <c r="H35" s="882"/>
    </row>
    <row r="36" spans="1:8" x14ac:dyDescent="0.25">
      <c r="A36" s="260" t="s">
        <v>634</v>
      </c>
      <c r="B36" s="260" t="s">
        <v>586</v>
      </c>
      <c r="C36" s="885"/>
      <c r="D36" s="885"/>
      <c r="E36" s="885"/>
      <c r="F36" s="885"/>
      <c r="G36" s="882"/>
      <c r="H36" s="882"/>
    </row>
    <row r="37" spans="1:8" x14ac:dyDescent="0.25">
      <c r="A37" s="260" t="s">
        <v>635</v>
      </c>
      <c r="B37" s="260" t="s">
        <v>636</v>
      </c>
      <c r="C37" s="885"/>
      <c r="D37" s="885"/>
      <c r="E37" s="885"/>
      <c r="F37" s="885"/>
      <c r="G37" s="882"/>
      <c r="H37" s="882"/>
    </row>
    <row r="38" spans="1:8" x14ac:dyDescent="0.25">
      <c r="A38" s="260" t="s">
        <v>637</v>
      </c>
      <c r="B38" s="260" t="s">
        <v>638</v>
      </c>
      <c r="C38" s="885"/>
      <c r="D38" s="885"/>
      <c r="E38" s="885"/>
      <c r="F38" s="885"/>
      <c r="G38" s="882"/>
      <c r="H38" s="882"/>
    </row>
    <row r="39" spans="1:8" x14ac:dyDescent="0.25">
      <c r="A39" s="257" t="s">
        <v>639</v>
      </c>
      <c r="B39" s="257" t="s">
        <v>640</v>
      </c>
      <c r="C39" s="878"/>
      <c r="D39" s="879"/>
      <c r="E39" s="878"/>
      <c r="F39" s="879"/>
      <c r="G39" s="878"/>
      <c r="H39" s="879"/>
    </row>
    <row r="40" spans="1:8" x14ac:dyDescent="0.25">
      <c r="A40" s="257" t="s">
        <v>641</v>
      </c>
      <c r="B40" s="257" t="s">
        <v>642</v>
      </c>
      <c r="C40" s="878"/>
      <c r="D40" s="879"/>
      <c r="E40" s="878"/>
      <c r="F40" s="879"/>
      <c r="G40" s="878"/>
      <c r="H40" s="879"/>
    </row>
    <row r="41" spans="1:8" ht="25.5" x14ac:dyDescent="0.25">
      <c r="A41" s="257" t="s">
        <v>643</v>
      </c>
      <c r="B41" s="261" t="s">
        <v>644</v>
      </c>
      <c r="C41" s="878"/>
      <c r="D41" s="879"/>
      <c r="E41" s="878"/>
      <c r="F41" s="879"/>
      <c r="G41" s="878"/>
      <c r="H41" s="879"/>
    </row>
    <row r="42" spans="1:8" x14ac:dyDescent="0.25">
      <c r="A42" s="260" t="s">
        <v>645</v>
      </c>
      <c r="B42" s="260" t="s">
        <v>646</v>
      </c>
      <c r="C42" s="881"/>
      <c r="D42" s="881"/>
      <c r="E42" s="881"/>
      <c r="F42" s="881"/>
      <c r="G42" s="882"/>
      <c r="H42" s="882"/>
    </row>
    <row r="43" spans="1:8" x14ac:dyDescent="0.25">
      <c r="A43" s="260" t="s">
        <v>647</v>
      </c>
      <c r="B43" s="260" t="s">
        <v>648</v>
      </c>
      <c r="C43" s="881"/>
      <c r="D43" s="881"/>
      <c r="E43" s="881"/>
      <c r="F43" s="881"/>
      <c r="G43" s="882"/>
      <c r="H43" s="882"/>
    </row>
    <row r="44" spans="1:8" x14ac:dyDescent="0.25">
      <c r="A44" s="260" t="s">
        <v>649</v>
      </c>
      <c r="B44" s="260" t="s">
        <v>650</v>
      </c>
      <c r="C44" s="883"/>
      <c r="D44" s="883"/>
      <c r="E44" s="883"/>
      <c r="F44" s="883"/>
      <c r="G44" s="884"/>
      <c r="H44" s="884"/>
    </row>
    <row r="45" spans="1:8" x14ac:dyDescent="0.25">
      <c r="A45" s="257" t="s">
        <v>651</v>
      </c>
      <c r="B45" s="257" t="s">
        <v>652</v>
      </c>
      <c r="C45" s="878"/>
      <c r="D45" s="879"/>
      <c r="E45" s="878"/>
      <c r="F45" s="879"/>
      <c r="G45" s="878"/>
      <c r="H45" s="879"/>
    </row>
    <row r="46" spans="1:8" x14ac:dyDescent="0.25">
      <c r="A46" s="257" t="s">
        <v>653</v>
      </c>
      <c r="B46" s="257" t="s">
        <v>654</v>
      </c>
      <c r="C46" s="878"/>
      <c r="D46" s="879"/>
      <c r="E46" s="878"/>
      <c r="F46" s="879"/>
      <c r="G46" s="878"/>
      <c r="H46" s="879"/>
    </row>
    <row r="47" spans="1:8" x14ac:dyDescent="0.25">
      <c r="A47" s="260" t="s">
        <v>655</v>
      </c>
      <c r="B47" s="260" t="s">
        <v>656</v>
      </c>
      <c r="C47" s="880"/>
      <c r="D47" s="880"/>
      <c r="E47" s="880"/>
      <c r="F47" s="880"/>
      <c r="G47" s="880"/>
      <c r="H47" s="880"/>
    </row>
    <row r="48" spans="1:8" x14ac:dyDescent="0.25">
      <c r="A48" s="260" t="s">
        <v>657</v>
      </c>
      <c r="B48" s="260" t="s">
        <v>658</v>
      </c>
      <c r="C48" s="880"/>
      <c r="D48" s="880"/>
      <c r="E48" s="880"/>
      <c r="F48" s="880"/>
      <c r="G48" s="880"/>
      <c r="H48" s="880"/>
    </row>
    <row r="49" spans="1:8" x14ac:dyDescent="0.25">
      <c r="A49" s="260" t="s">
        <v>659</v>
      </c>
      <c r="B49" s="260" t="s">
        <v>660</v>
      </c>
      <c r="C49" s="880"/>
      <c r="D49" s="880"/>
      <c r="E49" s="880"/>
      <c r="F49" s="880"/>
      <c r="G49" s="880"/>
      <c r="H49" s="880"/>
    </row>
    <row r="50" spans="1:8" x14ac:dyDescent="0.25">
      <c r="A50" s="257" t="s">
        <v>661</v>
      </c>
      <c r="B50" s="257" t="s">
        <v>662</v>
      </c>
      <c r="C50" s="878"/>
      <c r="D50" s="879"/>
      <c r="E50" s="878"/>
      <c r="F50" s="879"/>
      <c r="G50" s="878"/>
      <c r="H50" s="879"/>
    </row>
    <row r="51" spans="1:8" x14ac:dyDescent="0.25">
      <c r="A51" s="257" t="s">
        <v>663</v>
      </c>
      <c r="B51" s="257" t="s">
        <v>664</v>
      </c>
      <c r="C51" s="878"/>
      <c r="D51" s="879"/>
      <c r="E51" s="878"/>
      <c r="F51" s="879"/>
      <c r="G51" s="878"/>
      <c r="H51" s="879"/>
    </row>
  </sheetData>
  <mergeCells count="126">
    <mergeCell ref="A2:B2"/>
    <mergeCell ref="C2:H2"/>
    <mergeCell ref="A3:B3"/>
    <mergeCell ref="C3:H3"/>
    <mergeCell ref="C4:H4"/>
    <mergeCell ref="C5:H5"/>
    <mergeCell ref="C11:D11"/>
    <mergeCell ref="E11:F11"/>
    <mergeCell ref="G11:H11"/>
    <mergeCell ref="A13:H13"/>
    <mergeCell ref="A14:H14"/>
    <mergeCell ref="C16:D16"/>
    <mergeCell ref="E16:F16"/>
    <mergeCell ref="G16:H16"/>
    <mergeCell ref="C6:D6"/>
    <mergeCell ref="C7:D7"/>
    <mergeCell ref="C8:H8"/>
    <mergeCell ref="C9:H9"/>
    <mergeCell ref="C10:D10"/>
    <mergeCell ref="E10:F10"/>
    <mergeCell ref="G10:H10"/>
    <mergeCell ref="C19:D19"/>
    <mergeCell ref="E19:F19"/>
    <mergeCell ref="G19:H19"/>
    <mergeCell ref="C20:D20"/>
    <mergeCell ref="E20:F20"/>
    <mergeCell ref="G20:H20"/>
    <mergeCell ref="C17:D17"/>
    <mergeCell ref="E17:F17"/>
    <mergeCell ref="G17:H17"/>
    <mergeCell ref="C18:D18"/>
    <mergeCell ref="E18:F18"/>
    <mergeCell ref="G18:H18"/>
    <mergeCell ref="C23:D23"/>
    <mergeCell ref="E23:F23"/>
    <mergeCell ref="G23:H23"/>
    <mergeCell ref="C24:D24"/>
    <mergeCell ref="E24:F24"/>
    <mergeCell ref="G24:H24"/>
    <mergeCell ref="C21:D21"/>
    <mergeCell ref="E21:F21"/>
    <mergeCell ref="G21:H21"/>
    <mergeCell ref="C22:D22"/>
    <mergeCell ref="E22:F22"/>
    <mergeCell ref="G22:H22"/>
    <mergeCell ref="C27:D27"/>
    <mergeCell ref="E27:F27"/>
    <mergeCell ref="G27:H27"/>
    <mergeCell ref="C28:D28"/>
    <mergeCell ref="E28:F28"/>
    <mergeCell ref="G28:H28"/>
    <mergeCell ref="C25:D25"/>
    <mergeCell ref="E25:F25"/>
    <mergeCell ref="G25:H25"/>
    <mergeCell ref="C26:D26"/>
    <mergeCell ref="E26:F26"/>
    <mergeCell ref="G26:H26"/>
    <mergeCell ref="C31:D31"/>
    <mergeCell ref="E31:F31"/>
    <mergeCell ref="G31:H31"/>
    <mergeCell ref="C32:D32"/>
    <mergeCell ref="E32:F32"/>
    <mergeCell ref="G32:H32"/>
    <mergeCell ref="C29:D29"/>
    <mergeCell ref="E29:F29"/>
    <mergeCell ref="G29:H29"/>
    <mergeCell ref="C30:D30"/>
    <mergeCell ref="E30:F30"/>
    <mergeCell ref="G30:H30"/>
    <mergeCell ref="C35:D35"/>
    <mergeCell ref="E35:F35"/>
    <mergeCell ref="G35:H35"/>
    <mergeCell ref="C36:D36"/>
    <mergeCell ref="E36:F36"/>
    <mergeCell ref="G36:H36"/>
    <mergeCell ref="C33:D33"/>
    <mergeCell ref="E33:F33"/>
    <mergeCell ref="G33:H33"/>
    <mergeCell ref="C34:D34"/>
    <mergeCell ref="E34:F34"/>
    <mergeCell ref="G34:H34"/>
    <mergeCell ref="C39:D39"/>
    <mergeCell ref="E39:F39"/>
    <mergeCell ref="G39:H39"/>
    <mergeCell ref="C40:D40"/>
    <mergeCell ref="E40:F40"/>
    <mergeCell ref="G40:H40"/>
    <mergeCell ref="C37:D37"/>
    <mergeCell ref="E37:F37"/>
    <mergeCell ref="G37:H37"/>
    <mergeCell ref="C38:D38"/>
    <mergeCell ref="E38:F38"/>
    <mergeCell ref="G38:H38"/>
    <mergeCell ref="C43:D43"/>
    <mergeCell ref="E43:F43"/>
    <mergeCell ref="G43:H43"/>
    <mergeCell ref="C44:D44"/>
    <mergeCell ref="E44:F44"/>
    <mergeCell ref="G44:H44"/>
    <mergeCell ref="C41:D41"/>
    <mergeCell ref="E41:F41"/>
    <mergeCell ref="G41:H41"/>
    <mergeCell ref="C42:D42"/>
    <mergeCell ref="E42:F42"/>
    <mergeCell ref="G42:H42"/>
    <mergeCell ref="C47:D47"/>
    <mergeCell ref="E47:F47"/>
    <mergeCell ref="G47:H47"/>
    <mergeCell ref="C48:D48"/>
    <mergeCell ref="E48:F48"/>
    <mergeCell ref="G48:H48"/>
    <mergeCell ref="C45:D45"/>
    <mergeCell ref="E45:F45"/>
    <mergeCell ref="G45:H45"/>
    <mergeCell ref="C46:D46"/>
    <mergeCell ref="E46:F46"/>
    <mergeCell ref="G46:H46"/>
    <mergeCell ref="C51:D51"/>
    <mergeCell ref="E51:F51"/>
    <mergeCell ref="G51:H51"/>
    <mergeCell ref="C49:D49"/>
    <mergeCell ref="E49:F49"/>
    <mergeCell ref="G49:H49"/>
    <mergeCell ref="C50:D50"/>
    <mergeCell ref="E50:F50"/>
    <mergeCell ref="G50:H50"/>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6B7D8-1DBC-4B82-887D-99F74FEB5B7B}">
  <dimension ref="A2:I39"/>
  <sheetViews>
    <sheetView workbookViewId="0">
      <selection activeCell="D11" sqref="A1:XFD1048576"/>
    </sheetView>
  </sheetViews>
  <sheetFormatPr baseColWidth="10" defaultRowHeight="15" x14ac:dyDescent="0.25"/>
  <cols>
    <col min="1" max="1" width="21.28515625" customWidth="1"/>
    <col min="2" max="2" width="27.28515625" customWidth="1"/>
    <col min="3" max="3" width="12.140625" customWidth="1"/>
    <col min="4" max="4" width="13.7109375" customWidth="1"/>
    <col min="5" max="5" width="16.7109375" customWidth="1"/>
    <col min="6" max="6" width="19.7109375" customWidth="1"/>
    <col min="7" max="7" width="16.5703125" customWidth="1"/>
    <col min="8" max="8" width="13.5703125" customWidth="1"/>
    <col min="9" max="9" width="7.42578125" customWidth="1"/>
  </cols>
  <sheetData>
    <row r="2" spans="1:9" x14ac:dyDescent="0.25">
      <c r="A2" s="860" t="s">
        <v>466</v>
      </c>
      <c r="B2" s="860"/>
      <c r="C2" s="619" t="s">
        <v>2</v>
      </c>
      <c r="D2" s="619"/>
      <c r="E2" s="619"/>
      <c r="F2" s="619"/>
      <c r="G2" s="619"/>
      <c r="H2" s="619"/>
      <c r="I2" s="619"/>
    </row>
    <row r="3" spans="1:9" x14ac:dyDescent="0.25">
      <c r="A3" s="860"/>
      <c r="B3" s="860"/>
      <c r="C3" s="619" t="s">
        <v>4</v>
      </c>
      <c r="D3" s="619"/>
      <c r="E3" s="619"/>
      <c r="F3" s="619"/>
      <c r="G3" s="619"/>
      <c r="H3" s="619"/>
      <c r="I3" s="619"/>
    </row>
    <row r="4" spans="1:9" x14ac:dyDescent="0.25">
      <c r="A4" s="198" t="s">
        <v>364</v>
      </c>
      <c r="B4" s="200"/>
      <c r="C4" s="619" t="s">
        <v>6</v>
      </c>
      <c r="D4" s="619"/>
      <c r="E4" s="619"/>
      <c r="F4" s="619"/>
      <c r="G4" s="619"/>
      <c r="H4" s="619"/>
      <c r="I4" s="619"/>
    </row>
    <row r="5" spans="1:9" x14ac:dyDescent="0.25">
      <c r="A5" s="198" t="s">
        <v>365</v>
      </c>
      <c r="B5" s="200"/>
      <c r="C5" s="619" t="s">
        <v>10</v>
      </c>
      <c r="D5" s="619"/>
      <c r="E5" s="619"/>
      <c r="F5" s="619"/>
      <c r="G5" s="619"/>
      <c r="H5" s="619"/>
      <c r="I5" s="619"/>
    </row>
    <row r="6" spans="1:9" x14ac:dyDescent="0.25">
      <c r="A6" s="198" t="s">
        <v>366</v>
      </c>
      <c r="B6" s="200"/>
      <c r="C6" s="619" t="s">
        <v>13</v>
      </c>
      <c r="D6" s="619"/>
      <c r="E6" s="47" t="s">
        <v>367</v>
      </c>
      <c r="F6" s="209">
        <v>45291</v>
      </c>
      <c r="G6" s="616" t="s">
        <v>467</v>
      </c>
      <c r="H6" s="616"/>
      <c r="I6" s="241">
        <v>12</v>
      </c>
    </row>
    <row r="7" spans="1:9" x14ac:dyDescent="0.25">
      <c r="A7" s="204" t="s">
        <v>369</v>
      </c>
      <c r="B7" s="205"/>
      <c r="C7" s="620" t="s">
        <v>8</v>
      </c>
      <c r="D7" s="620"/>
      <c r="E7" s="200"/>
      <c r="F7" s="200"/>
      <c r="G7" s="200"/>
      <c r="H7" s="200"/>
      <c r="I7" s="197"/>
    </row>
    <row r="8" spans="1:9" x14ac:dyDescent="0.25">
      <c r="A8" s="200" t="s">
        <v>468</v>
      </c>
      <c r="B8" s="200"/>
      <c r="C8" s="619" t="s">
        <v>35</v>
      </c>
      <c r="D8" s="619"/>
      <c r="E8" s="619"/>
      <c r="F8" s="619"/>
      <c r="G8" s="619"/>
      <c r="H8" s="619"/>
      <c r="I8" s="619"/>
    </row>
    <row r="9" spans="1:9" x14ac:dyDescent="0.25">
      <c r="A9" s="200"/>
      <c r="B9" s="200"/>
      <c r="C9" s="620" t="s">
        <v>36</v>
      </c>
      <c r="D9" s="620"/>
      <c r="E9" s="620"/>
      <c r="F9" s="620"/>
      <c r="G9" s="620"/>
      <c r="H9" s="620"/>
      <c r="I9" s="620"/>
    </row>
    <row r="10" spans="1:9" x14ac:dyDescent="0.25">
      <c r="A10" s="200" t="s">
        <v>469</v>
      </c>
      <c r="B10" s="200"/>
      <c r="C10" s="619" t="s">
        <v>40</v>
      </c>
      <c r="D10" s="619"/>
      <c r="E10" s="611" t="s">
        <v>470</v>
      </c>
      <c r="F10" s="611"/>
      <c r="G10" s="619" t="s">
        <v>38</v>
      </c>
      <c r="H10" s="619"/>
      <c r="I10" s="619"/>
    </row>
    <row r="11" spans="1:9" x14ac:dyDescent="0.25">
      <c r="A11" s="200" t="s">
        <v>471</v>
      </c>
      <c r="B11" s="200"/>
      <c r="C11" s="876">
        <v>44713</v>
      </c>
      <c r="D11" s="876"/>
      <c r="E11" s="610" t="s">
        <v>472</v>
      </c>
      <c r="F11" s="610"/>
      <c r="G11" s="858">
        <v>45991</v>
      </c>
      <c r="H11" s="858"/>
      <c r="I11" s="858"/>
    </row>
    <row r="12" spans="1:9" ht="7.15" customHeight="1" x14ac:dyDescent="0.25"/>
    <row r="13" spans="1:9" x14ac:dyDescent="0.25">
      <c r="A13" s="691"/>
      <c r="B13" s="691"/>
      <c r="C13" s="691"/>
      <c r="D13" s="691"/>
      <c r="E13" s="691"/>
      <c r="F13" s="691"/>
      <c r="G13" s="691"/>
      <c r="H13" s="691"/>
    </row>
    <row r="14" spans="1:9" x14ac:dyDescent="0.25">
      <c r="A14" s="691" t="s">
        <v>665</v>
      </c>
      <c r="B14" s="691"/>
      <c r="C14" s="691"/>
      <c r="D14" s="691"/>
      <c r="E14" s="691"/>
      <c r="F14" s="691"/>
      <c r="G14" s="691"/>
      <c r="H14" s="691"/>
    </row>
    <row r="15" spans="1:9" ht="7.9" customHeight="1" x14ac:dyDescent="0.25">
      <c r="A15" s="31"/>
      <c r="B15" s="31"/>
      <c r="C15" s="31"/>
      <c r="D15" s="31"/>
      <c r="E15" s="31"/>
      <c r="F15" s="31"/>
      <c r="G15" s="31"/>
      <c r="H15" s="31"/>
    </row>
    <row r="16" spans="1:9" x14ac:dyDescent="0.25">
      <c r="A16" s="263"/>
      <c r="B16" s="263"/>
      <c r="C16" s="263"/>
      <c r="D16" s="263"/>
      <c r="E16" s="263"/>
      <c r="F16" s="263"/>
      <c r="G16" s="263"/>
      <c r="H16" s="263"/>
    </row>
    <row r="17" spans="1:9" ht="25.5" x14ac:dyDescent="0.25">
      <c r="A17" s="890" t="s">
        <v>666</v>
      </c>
      <c r="B17" s="890" t="s">
        <v>667</v>
      </c>
      <c r="C17" s="264" t="s">
        <v>668</v>
      </c>
      <c r="D17" s="264" t="s">
        <v>669</v>
      </c>
      <c r="E17" s="264" t="s">
        <v>670</v>
      </c>
      <c r="F17" s="264" t="s">
        <v>671</v>
      </c>
      <c r="G17" s="264" t="s">
        <v>672</v>
      </c>
      <c r="H17" s="891" t="s">
        <v>673</v>
      </c>
      <c r="I17" s="891"/>
    </row>
    <row r="18" spans="1:9" x14ac:dyDescent="0.25">
      <c r="A18" s="890"/>
      <c r="B18" s="890"/>
      <c r="C18" s="264">
        <v>1</v>
      </c>
      <c r="D18" s="264">
        <v>2</v>
      </c>
      <c r="E18" s="264">
        <v>3</v>
      </c>
      <c r="F18" s="264" t="s">
        <v>674</v>
      </c>
      <c r="G18" s="264" t="s">
        <v>675</v>
      </c>
      <c r="H18" s="892" t="s">
        <v>676</v>
      </c>
      <c r="I18" s="892"/>
    </row>
    <row r="19" spans="1:9" x14ac:dyDescent="0.25">
      <c r="A19" s="256"/>
      <c r="B19" s="256"/>
      <c r="C19" s="265"/>
      <c r="D19" s="265"/>
      <c r="E19" s="265"/>
      <c r="F19" s="265"/>
      <c r="G19" s="265"/>
      <c r="H19" s="889"/>
      <c r="I19" s="889"/>
    </row>
    <row r="20" spans="1:9" x14ac:dyDescent="0.25">
      <c r="A20" s="256"/>
      <c r="B20" s="256"/>
      <c r="C20" s="265"/>
      <c r="D20" s="265"/>
      <c r="E20" s="265"/>
      <c r="F20" s="265"/>
      <c r="G20" s="265"/>
      <c r="H20" s="889"/>
      <c r="I20" s="889"/>
    </row>
    <row r="21" spans="1:9" x14ac:dyDescent="0.25">
      <c r="A21" s="256"/>
      <c r="B21" s="256"/>
      <c r="C21" s="265"/>
      <c r="D21" s="265"/>
      <c r="E21" s="265"/>
      <c r="F21" s="265"/>
      <c r="G21" s="265"/>
      <c r="H21" s="889"/>
      <c r="I21" s="889"/>
    </row>
    <row r="22" spans="1:9" x14ac:dyDescent="0.25">
      <c r="A22" s="256"/>
      <c r="B22" s="256"/>
      <c r="C22" s="265"/>
      <c r="D22" s="265"/>
      <c r="E22" s="265"/>
      <c r="F22" s="265"/>
      <c r="G22" s="265"/>
      <c r="H22" s="889"/>
      <c r="I22" s="889"/>
    </row>
    <row r="23" spans="1:9" x14ac:dyDescent="0.25">
      <c r="A23" s="256"/>
      <c r="B23" s="256"/>
      <c r="C23" s="265"/>
      <c r="D23" s="265"/>
      <c r="E23" s="265"/>
      <c r="F23" s="265"/>
      <c r="G23" s="265"/>
      <c r="H23" s="889"/>
      <c r="I23" s="889"/>
    </row>
    <row r="24" spans="1:9" x14ac:dyDescent="0.25">
      <c r="A24" s="256"/>
      <c r="B24" s="256"/>
      <c r="C24" s="265"/>
      <c r="D24" s="265"/>
      <c r="E24" s="265"/>
      <c r="F24" s="265"/>
      <c r="G24" s="265"/>
      <c r="H24" s="889"/>
      <c r="I24" s="889"/>
    </row>
    <row r="25" spans="1:9" x14ac:dyDescent="0.25">
      <c r="A25" s="256"/>
      <c r="B25" s="256"/>
      <c r="C25" s="265"/>
      <c r="D25" s="265"/>
      <c r="E25" s="265"/>
      <c r="F25" s="265"/>
      <c r="G25" s="265"/>
      <c r="H25" s="889"/>
      <c r="I25" s="889"/>
    </row>
    <row r="26" spans="1:9" x14ac:dyDescent="0.25">
      <c r="A26" s="256"/>
      <c r="B26" s="256"/>
      <c r="C26" s="265"/>
      <c r="D26" s="265"/>
      <c r="E26" s="265"/>
      <c r="F26" s="265"/>
      <c r="G26" s="265"/>
      <c r="H26" s="889"/>
      <c r="I26" s="889"/>
    </row>
    <row r="27" spans="1:9" x14ac:dyDescent="0.25">
      <c r="A27" s="256"/>
      <c r="B27" s="256"/>
      <c r="C27" s="265"/>
      <c r="D27" s="265"/>
      <c r="E27" s="265"/>
      <c r="F27" s="265"/>
      <c r="G27" s="265"/>
      <c r="H27" s="889"/>
      <c r="I27" s="889"/>
    </row>
    <row r="28" spans="1:9" x14ac:dyDescent="0.25">
      <c r="A28" s="256"/>
      <c r="B28" s="256"/>
      <c r="C28" s="265"/>
      <c r="D28" s="265"/>
      <c r="E28" s="265"/>
      <c r="F28" s="265"/>
      <c r="G28" s="265"/>
      <c r="H28" s="889"/>
      <c r="I28" s="889"/>
    </row>
    <row r="29" spans="1:9" x14ac:dyDescent="0.25">
      <c r="A29" s="256"/>
      <c r="B29" s="256"/>
      <c r="C29" s="265"/>
      <c r="D29" s="265"/>
      <c r="E29" s="265"/>
      <c r="F29" s="265"/>
      <c r="G29" s="265"/>
      <c r="H29" s="889"/>
      <c r="I29" s="889"/>
    </row>
    <row r="30" spans="1:9" x14ac:dyDescent="0.25">
      <c r="A30" s="256"/>
      <c r="B30" s="256"/>
      <c r="C30" s="265"/>
      <c r="D30" s="265"/>
      <c r="E30" s="265"/>
      <c r="F30" s="265"/>
      <c r="G30" s="265"/>
      <c r="H30" s="889"/>
      <c r="I30" s="889"/>
    </row>
    <row r="31" spans="1:9" x14ac:dyDescent="0.25">
      <c r="A31" s="256"/>
      <c r="B31" s="256"/>
      <c r="C31" s="265"/>
      <c r="D31" s="265"/>
      <c r="E31" s="265"/>
      <c r="F31" s="265"/>
      <c r="G31" s="265"/>
      <c r="H31" s="889"/>
      <c r="I31" s="889"/>
    </row>
    <row r="32" spans="1:9" x14ac:dyDescent="0.25">
      <c r="A32" s="256"/>
      <c r="B32" s="256"/>
      <c r="C32" s="265"/>
      <c r="D32" s="265"/>
      <c r="E32" s="265"/>
      <c r="F32" s="265"/>
      <c r="G32" s="265"/>
      <c r="H32" s="889"/>
      <c r="I32" s="889"/>
    </row>
    <row r="33" spans="1:9" x14ac:dyDescent="0.25">
      <c r="A33" s="256"/>
      <c r="B33" s="256"/>
      <c r="C33" s="265"/>
      <c r="D33" s="265"/>
      <c r="E33" s="265"/>
      <c r="F33" s="265"/>
      <c r="G33" s="265"/>
      <c r="H33" s="889"/>
      <c r="I33" s="889"/>
    </row>
    <row r="34" spans="1:9" x14ac:dyDescent="0.25">
      <c r="A34" s="256"/>
      <c r="B34" s="256"/>
      <c r="C34" s="265"/>
      <c r="D34" s="265"/>
      <c r="E34" s="265"/>
      <c r="F34" s="265"/>
      <c r="G34" s="265"/>
      <c r="H34" s="889"/>
      <c r="I34" s="889"/>
    </row>
    <row r="35" spans="1:9" x14ac:dyDescent="0.25">
      <c r="A35" s="256"/>
      <c r="B35" s="256"/>
      <c r="C35" s="265"/>
      <c r="D35" s="265"/>
      <c r="E35" s="265"/>
      <c r="F35" s="265"/>
      <c r="G35" s="265"/>
      <c r="H35" s="889"/>
      <c r="I35" s="889"/>
    </row>
    <row r="36" spans="1:9" x14ac:dyDescent="0.25">
      <c r="A36" s="256"/>
      <c r="B36" s="256"/>
      <c r="C36" s="265"/>
      <c r="D36" s="265"/>
      <c r="E36" s="265"/>
      <c r="F36" s="265"/>
      <c r="G36" s="265"/>
      <c r="H36" s="889"/>
      <c r="I36" s="889"/>
    </row>
    <row r="37" spans="1:9" x14ac:dyDescent="0.25">
      <c r="A37" s="256"/>
      <c r="B37" s="256"/>
      <c r="C37" s="265"/>
      <c r="D37" s="265"/>
      <c r="E37" s="265"/>
      <c r="F37" s="265"/>
      <c r="G37" s="265"/>
      <c r="H37" s="889"/>
      <c r="I37" s="889"/>
    </row>
    <row r="38" spans="1:9" x14ac:dyDescent="0.25">
      <c r="A38" s="266"/>
      <c r="B38" s="266"/>
      <c r="C38" s="266"/>
      <c r="D38" s="266"/>
      <c r="E38" s="266"/>
      <c r="F38" s="266"/>
      <c r="G38" s="266"/>
      <c r="H38" s="266"/>
      <c r="I38" s="267"/>
    </row>
    <row r="39" spans="1:9" x14ac:dyDescent="0.25">
      <c r="A39" s="268" t="s">
        <v>677</v>
      </c>
      <c r="B39" s="266"/>
      <c r="C39" s="266"/>
      <c r="D39" s="266"/>
      <c r="E39" s="266"/>
      <c r="F39" s="266"/>
      <c r="G39" s="266"/>
      <c r="H39" s="266"/>
      <c r="I39" s="267"/>
    </row>
  </sheetData>
  <mergeCells count="42">
    <mergeCell ref="C5:I5"/>
    <mergeCell ref="A2:B2"/>
    <mergeCell ref="C2:I2"/>
    <mergeCell ref="A3:B3"/>
    <mergeCell ref="C3:I3"/>
    <mergeCell ref="C4:I4"/>
    <mergeCell ref="A17:A18"/>
    <mergeCell ref="B17:B18"/>
    <mergeCell ref="H17:I17"/>
    <mergeCell ref="H18:I18"/>
    <mergeCell ref="C6:D6"/>
    <mergeCell ref="G6:H6"/>
    <mergeCell ref="C7:D7"/>
    <mergeCell ref="C8:I8"/>
    <mergeCell ref="C9:I9"/>
    <mergeCell ref="C10:D10"/>
    <mergeCell ref="E10:F10"/>
    <mergeCell ref="G10:I10"/>
    <mergeCell ref="C11:D11"/>
    <mergeCell ref="E11:F11"/>
    <mergeCell ref="G11:I11"/>
    <mergeCell ref="A13:H13"/>
    <mergeCell ref="A14:H14"/>
    <mergeCell ref="H30:I30"/>
    <mergeCell ref="H19:I19"/>
    <mergeCell ref="H20:I20"/>
    <mergeCell ref="H21:I21"/>
    <mergeCell ref="H22:I22"/>
    <mergeCell ref="H23:I23"/>
    <mergeCell ref="H24:I24"/>
    <mergeCell ref="H25:I25"/>
    <mergeCell ref="H26:I26"/>
    <mergeCell ref="H27:I27"/>
    <mergeCell ref="H28:I28"/>
    <mergeCell ref="H29:I29"/>
    <mergeCell ref="H37:I37"/>
    <mergeCell ref="H31:I31"/>
    <mergeCell ref="H32:I32"/>
    <mergeCell ref="H33:I33"/>
    <mergeCell ref="H34:I34"/>
    <mergeCell ref="H35:I35"/>
    <mergeCell ref="H36:I3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A4C8C-DFC7-47C0-B5B1-9B49EDFF22C1}">
  <dimension ref="A2:I46"/>
  <sheetViews>
    <sheetView workbookViewId="0">
      <selection activeCell="A18" sqref="A1:XFD1048576"/>
    </sheetView>
  </sheetViews>
  <sheetFormatPr baseColWidth="10" defaultRowHeight="15" x14ac:dyDescent="0.25"/>
  <cols>
    <col min="1" max="1" width="23.7109375" customWidth="1"/>
    <col min="2" max="2" width="5.42578125" customWidth="1"/>
    <col min="3" max="3" width="9.5703125" customWidth="1"/>
    <col min="4" max="4" width="9.7109375" customWidth="1"/>
    <col min="5" max="5" width="19.5703125" customWidth="1"/>
    <col min="6" max="6" width="15" customWidth="1"/>
    <col min="7" max="7" width="16.5703125" customWidth="1"/>
    <col min="8" max="8" width="4.28515625" customWidth="1"/>
    <col min="9" max="9" width="5.140625" customWidth="1"/>
  </cols>
  <sheetData>
    <row r="2" spans="1:9" x14ac:dyDescent="0.25">
      <c r="A2" s="860" t="s">
        <v>466</v>
      </c>
      <c r="B2" s="860"/>
      <c r="C2" s="619">
        <v>4444444444</v>
      </c>
      <c r="D2" s="619"/>
      <c r="E2" s="619"/>
      <c r="F2" s="619"/>
      <c r="G2" s="619"/>
      <c r="H2" s="619"/>
      <c r="I2" s="619"/>
    </row>
    <row r="3" spans="1:9" x14ac:dyDescent="0.25">
      <c r="A3" s="860"/>
      <c r="B3" s="860"/>
      <c r="C3" s="619">
        <v>56565665</v>
      </c>
      <c r="D3" s="619"/>
      <c r="E3" s="619"/>
      <c r="F3" s="619"/>
      <c r="G3" s="619"/>
      <c r="H3" s="619"/>
      <c r="I3" s="619"/>
    </row>
    <row r="4" spans="1:9" x14ac:dyDescent="0.25">
      <c r="A4" s="198" t="s">
        <v>364</v>
      </c>
      <c r="B4" s="200"/>
      <c r="C4" s="619" t="s">
        <v>6</v>
      </c>
      <c r="D4" s="619"/>
      <c r="E4" s="619"/>
      <c r="F4" s="619"/>
      <c r="G4" s="619"/>
      <c r="H4" s="619"/>
      <c r="I4" s="619"/>
    </row>
    <row r="5" spans="1:9" x14ac:dyDescent="0.25">
      <c r="A5" s="198" t="s">
        <v>365</v>
      </c>
      <c r="B5" s="200"/>
      <c r="C5" s="619" t="s">
        <v>699</v>
      </c>
      <c r="D5" s="619"/>
      <c r="E5" s="619"/>
      <c r="F5" s="619"/>
      <c r="G5" s="619"/>
      <c r="H5" s="619"/>
      <c r="I5" s="619"/>
    </row>
    <row r="6" spans="1:9" x14ac:dyDescent="0.25">
      <c r="A6" s="198" t="s">
        <v>366</v>
      </c>
      <c r="B6" s="200"/>
      <c r="C6" s="619">
        <v>125545</v>
      </c>
      <c r="D6" s="619"/>
      <c r="E6" s="47" t="s">
        <v>367</v>
      </c>
      <c r="F6" s="209">
        <v>46022</v>
      </c>
      <c r="G6" s="200" t="s">
        <v>467</v>
      </c>
      <c r="H6" s="912">
        <v>12</v>
      </c>
      <c r="I6" s="912"/>
    </row>
    <row r="7" spans="1:9" x14ac:dyDescent="0.25">
      <c r="A7" s="204" t="s">
        <v>369</v>
      </c>
      <c r="B7" s="205"/>
      <c r="C7" s="620" t="s">
        <v>8</v>
      </c>
      <c r="D7" s="620"/>
      <c r="E7" s="200"/>
      <c r="F7" s="200"/>
      <c r="G7" s="200"/>
      <c r="H7" s="200"/>
      <c r="I7" s="197"/>
    </row>
    <row r="8" spans="1:9" x14ac:dyDescent="0.25">
      <c r="A8" s="200" t="s">
        <v>468</v>
      </c>
      <c r="B8" s="200"/>
      <c r="C8" s="619" t="s">
        <v>35</v>
      </c>
      <c r="D8" s="619"/>
      <c r="E8" s="619"/>
      <c r="F8" s="619"/>
      <c r="G8" s="619"/>
      <c r="H8" s="619"/>
      <c r="I8" s="619"/>
    </row>
    <row r="9" spans="1:9" x14ac:dyDescent="0.25">
      <c r="A9" s="200"/>
      <c r="B9" s="200"/>
      <c r="C9" s="620" t="s">
        <v>36</v>
      </c>
      <c r="D9" s="620"/>
      <c r="E9" s="620"/>
      <c r="F9" s="620"/>
      <c r="G9" s="620"/>
      <c r="H9" s="620"/>
      <c r="I9" s="620"/>
    </row>
    <row r="10" spans="1:9" x14ac:dyDescent="0.25">
      <c r="A10" s="200" t="s">
        <v>469</v>
      </c>
      <c r="B10" s="200"/>
      <c r="C10" s="619" t="s">
        <v>40</v>
      </c>
      <c r="D10" s="619"/>
      <c r="E10" s="611" t="s">
        <v>470</v>
      </c>
      <c r="F10" s="611"/>
      <c r="G10" s="619" t="s">
        <v>38</v>
      </c>
      <c r="H10" s="619"/>
      <c r="I10" s="619"/>
    </row>
    <row r="11" spans="1:9" x14ac:dyDescent="0.25">
      <c r="A11" s="200" t="s">
        <v>471</v>
      </c>
      <c r="B11" s="200"/>
      <c r="C11" s="876">
        <v>44713</v>
      </c>
      <c r="D11" s="876"/>
      <c r="E11" s="610" t="s">
        <v>472</v>
      </c>
      <c r="F11" s="610"/>
      <c r="G11" s="858">
        <v>45991</v>
      </c>
      <c r="H11" s="858"/>
      <c r="I11" s="858"/>
    </row>
    <row r="12" spans="1:9" ht="8.4499999999999993" customHeight="1" x14ac:dyDescent="0.25"/>
    <row r="13" spans="1:9" ht="15.6" customHeight="1" x14ac:dyDescent="0.25">
      <c r="A13" s="611"/>
      <c r="B13" s="611"/>
      <c r="C13" s="611"/>
      <c r="D13" s="611"/>
      <c r="E13" s="611"/>
      <c r="F13" s="611"/>
      <c r="G13" s="611"/>
      <c r="H13" s="611"/>
      <c r="I13" s="611"/>
    </row>
    <row r="14" spans="1:9" x14ac:dyDescent="0.25">
      <c r="A14" s="611" t="s">
        <v>678</v>
      </c>
      <c r="B14" s="611"/>
      <c r="C14" s="611"/>
      <c r="D14" s="611"/>
      <c r="E14" s="611"/>
      <c r="F14" s="611"/>
      <c r="G14" s="611"/>
      <c r="H14" s="611"/>
      <c r="I14" s="611"/>
    </row>
    <row r="16" spans="1:9" x14ac:dyDescent="0.25">
      <c r="A16" s="908" t="s">
        <v>679</v>
      </c>
      <c r="B16" s="909"/>
      <c r="C16" s="909"/>
      <c r="D16" s="909"/>
      <c r="E16" s="910"/>
      <c r="F16" s="269"/>
      <c r="G16" s="911" t="s">
        <v>680</v>
      </c>
      <c r="H16" s="911"/>
      <c r="I16" s="911"/>
    </row>
    <row r="17" spans="1:9" x14ac:dyDescent="0.25">
      <c r="A17" s="905"/>
      <c r="B17" s="906"/>
      <c r="C17" s="906"/>
      <c r="D17" s="906"/>
      <c r="E17" s="907"/>
      <c r="F17" s="270"/>
      <c r="G17" s="880"/>
      <c r="H17" s="880"/>
      <c r="I17" s="880"/>
    </row>
    <row r="18" spans="1:9" x14ac:dyDescent="0.25">
      <c r="A18" s="905" t="s">
        <v>681</v>
      </c>
      <c r="B18" s="906"/>
      <c r="C18" s="906"/>
      <c r="D18" s="906"/>
      <c r="E18" s="907"/>
      <c r="F18" s="271" t="s">
        <v>682</v>
      </c>
      <c r="G18" s="885"/>
      <c r="H18" s="885"/>
      <c r="I18" s="885"/>
    </row>
    <row r="19" spans="1:9" x14ac:dyDescent="0.25">
      <c r="A19" s="905"/>
      <c r="B19" s="906"/>
      <c r="C19" s="906"/>
      <c r="D19" s="906"/>
      <c r="E19" s="907"/>
      <c r="F19" s="271"/>
      <c r="G19" s="885"/>
      <c r="H19" s="885"/>
      <c r="I19" s="885"/>
    </row>
    <row r="20" spans="1:9" x14ac:dyDescent="0.25">
      <c r="A20" s="905"/>
      <c r="B20" s="906"/>
      <c r="C20" s="906"/>
      <c r="D20" s="906"/>
      <c r="E20" s="907"/>
      <c r="F20" s="271"/>
      <c r="G20" s="885"/>
      <c r="H20" s="885"/>
      <c r="I20" s="885"/>
    </row>
    <row r="21" spans="1:9" x14ac:dyDescent="0.25">
      <c r="A21" s="905" t="s">
        <v>683</v>
      </c>
      <c r="B21" s="906"/>
      <c r="C21" s="906"/>
      <c r="D21" s="906"/>
      <c r="E21" s="907"/>
      <c r="F21" s="271" t="s">
        <v>684</v>
      </c>
      <c r="G21" s="885"/>
      <c r="H21" s="885"/>
      <c r="I21" s="885"/>
    </row>
    <row r="22" spans="1:9" x14ac:dyDescent="0.25">
      <c r="A22" s="905"/>
      <c r="B22" s="906"/>
      <c r="C22" s="906"/>
      <c r="D22" s="906"/>
      <c r="E22" s="907"/>
      <c r="F22" s="271"/>
      <c r="G22" s="885"/>
      <c r="H22" s="885"/>
      <c r="I22" s="885"/>
    </row>
    <row r="23" spans="1:9" x14ac:dyDescent="0.25">
      <c r="A23" s="905"/>
      <c r="B23" s="906"/>
      <c r="C23" s="906"/>
      <c r="D23" s="906"/>
      <c r="E23" s="907"/>
      <c r="F23" s="271"/>
      <c r="G23" s="885"/>
      <c r="H23" s="885"/>
      <c r="I23" s="885"/>
    </row>
    <row r="24" spans="1:9" ht="14.45" customHeight="1" x14ac:dyDescent="0.25">
      <c r="A24" s="900" t="s">
        <v>685</v>
      </c>
      <c r="B24" s="901"/>
      <c r="C24" s="901"/>
      <c r="D24" s="901"/>
      <c r="E24" s="902"/>
      <c r="F24" s="271" t="s">
        <v>686</v>
      </c>
      <c r="G24" s="885"/>
      <c r="H24" s="885"/>
      <c r="I24" s="885"/>
    </row>
    <row r="25" spans="1:9" x14ac:dyDescent="0.25">
      <c r="A25" s="893"/>
      <c r="B25" s="894"/>
      <c r="C25" s="894"/>
      <c r="D25" s="894"/>
      <c r="E25" s="895"/>
      <c r="F25" s="271"/>
      <c r="G25" s="885"/>
      <c r="H25" s="885"/>
      <c r="I25" s="885"/>
    </row>
    <row r="26" spans="1:9" x14ac:dyDescent="0.25">
      <c r="A26" s="893"/>
      <c r="B26" s="894"/>
      <c r="C26" s="894"/>
      <c r="D26" s="894"/>
      <c r="E26" s="895"/>
      <c r="F26" s="271"/>
      <c r="G26" s="885"/>
      <c r="H26" s="885"/>
      <c r="I26" s="885"/>
    </row>
    <row r="27" spans="1:9" ht="14.45" customHeight="1" x14ac:dyDescent="0.25">
      <c r="A27" s="896" t="s">
        <v>687</v>
      </c>
      <c r="B27" s="897"/>
      <c r="C27" s="897"/>
      <c r="D27" s="897"/>
      <c r="E27" s="898"/>
      <c r="F27" s="273" t="s">
        <v>688</v>
      </c>
      <c r="G27" s="904"/>
      <c r="H27" s="904"/>
      <c r="I27" s="904"/>
    </row>
    <row r="28" spans="1:9" x14ac:dyDescent="0.25">
      <c r="A28" s="893"/>
      <c r="B28" s="894"/>
      <c r="C28" s="894"/>
      <c r="D28" s="894"/>
      <c r="E28" s="895"/>
      <c r="F28" s="271"/>
      <c r="G28" s="885"/>
      <c r="H28" s="885"/>
      <c r="I28" s="885"/>
    </row>
    <row r="29" spans="1:9" x14ac:dyDescent="0.25">
      <c r="A29" s="896"/>
      <c r="B29" s="897"/>
      <c r="C29" s="897"/>
      <c r="D29" s="897"/>
      <c r="E29" s="898"/>
      <c r="F29" s="273"/>
      <c r="G29" s="904"/>
      <c r="H29" s="904"/>
      <c r="I29" s="904"/>
    </row>
    <row r="30" spans="1:9" ht="14.45" customHeight="1" x14ac:dyDescent="0.25">
      <c r="A30" s="893" t="s">
        <v>689</v>
      </c>
      <c r="B30" s="894"/>
      <c r="C30" s="894"/>
      <c r="D30" s="894"/>
      <c r="E30" s="895"/>
      <c r="F30" s="271" t="s">
        <v>690</v>
      </c>
      <c r="G30" s="885"/>
      <c r="H30" s="885"/>
      <c r="I30" s="885"/>
    </row>
    <row r="31" spans="1:9" x14ac:dyDescent="0.25">
      <c r="A31" s="893"/>
      <c r="B31" s="894"/>
      <c r="C31" s="894"/>
      <c r="D31" s="894"/>
      <c r="E31" s="895"/>
      <c r="F31" s="271"/>
      <c r="G31" s="885"/>
      <c r="H31" s="885"/>
      <c r="I31" s="885"/>
    </row>
    <row r="32" spans="1:9" x14ac:dyDescent="0.25">
      <c r="A32" s="896"/>
      <c r="B32" s="897"/>
      <c r="C32" s="897"/>
      <c r="D32" s="897"/>
      <c r="E32" s="898"/>
      <c r="F32" s="273"/>
      <c r="G32" s="904"/>
      <c r="H32" s="904"/>
      <c r="I32" s="904"/>
    </row>
    <row r="33" spans="1:9" x14ac:dyDescent="0.25">
      <c r="A33" s="893"/>
      <c r="B33" s="894"/>
      <c r="C33" s="894"/>
      <c r="D33" s="894"/>
      <c r="E33" s="895"/>
      <c r="F33" s="271"/>
      <c r="G33" s="885"/>
      <c r="H33" s="885"/>
      <c r="I33" s="885"/>
    </row>
    <row r="34" spans="1:9" ht="14.45" customHeight="1" x14ac:dyDescent="0.25">
      <c r="A34" s="893" t="s">
        <v>691</v>
      </c>
      <c r="B34" s="894"/>
      <c r="C34" s="894"/>
      <c r="D34" s="894"/>
      <c r="E34" s="895"/>
      <c r="F34" s="271" t="s">
        <v>692</v>
      </c>
      <c r="G34" s="885"/>
      <c r="H34" s="885"/>
      <c r="I34" s="885"/>
    </row>
    <row r="35" spans="1:9" x14ac:dyDescent="0.25">
      <c r="A35" s="896"/>
      <c r="B35" s="897"/>
      <c r="C35" s="897"/>
      <c r="D35" s="897"/>
      <c r="E35" s="898"/>
      <c r="F35" s="273"/>
      <c r="G35" s="904"/>
      <c r="H35" s="904"/>
      <c r="I35" s="904"/>
    </row>
    <row r="36" spans="1:9" x14ac:dyDescent="0.25">
      <c r="A36" s="896"/>
      <c r="B36" s="897"/>
      <c r="C36" s="897"/>
      <c r="D36" s="897"/>
      <c r="E36" s="898"/>
      <c r="F36" s="273"/>
      <c r="G36" s="904"/>
      <c r="H36" s="904"/>
      <c r="I36" s="904"/>
    </row>
    <row r="37" spans="1:9" x14ac:dyDescent="0.25">
      <c r="A37" s="893"/>
      <c r="B37" s="894"/>
      <c r="C37" s="894"/>
      <c r="D37" s="894"/>
      <c r="E37" s="895"/>
      <c r="F37" s="271"/>
      <c r="G37" s="885"/>
      <c r="H37" s="885"/>
      <c r="I37" s="885"/>
    </row>
    <row r="38" spans="1:9" x14ac:dyDescent="0.25">
      <c r="A38" s="896"/>
      <c r="B38" s="897"/>
      <c r="C38" s="897"/>
      <c r="D38" s="897"/>
      <c r="E38" s="898"/>
      <c r="F38" s="273"/>
      <c r="G38" s="904"/>
      <c r="H38" s="904"/>
      <c r="I38" s="904"/>
    </row>
    <row r="39" spans="1:9" x14ac:dyDescent="0.25">
      <c r="A39" s="896"/>
      <c r="B39" s="897"/>
      <c r="C39" s="897"/>
      <c r="D39" s="897"/>
      <c r="E39" s="898"/>
      <c r="F39" s="274"/>
      <c r="G39" s="903"/>
      <c r="H39" s="903"/>
      <c r="I39" s="903"/>
    </row>
    <row r="40" spans="1:9" x14ac:dyDescent="0.25">
      <c r="A40" s="893"/>
      <c r="B40" s="894"/>
      <c r="C40" s="894"/>
      <c r="D40" s="894"/>
      <c r="E40" s="895"/>
      <c r="F40" s="271"/>
      <c r="G40" s="885"/>
      <c r="H40" s="885"/>
      <c r="I40" s="885"/>
    </row>
    <row r="41" spans="1:9" ht="14.45" customHeight="1" x14ac:dyDescent="0.25">
      <c r="A41" s="896" t="s">
        <v>693</v>
      </c>
      <c r="B41" s="897"/>
      <c r="C41" s="897"/>
      <c r="D41" s="897"/>
      <c r="E41" s="898"/>
      <c r="F41" s="274" t="s">
        <v>694</v>
      </c>
      <c r="G41" s="903"/>
      <c r="H41" s="903"/>
      <c r="I41" s="903"/>
    </row>
    <row r="42" spans="1:9" x14ac:dyDescent="0.25">
      <c r="A42" s="893"/>
      <c r="B42" s="894"/>
      <c r="C42" s="894"/>
      <c r="D42" s="894"/>
      <c r="E42" s="895"/>
      <c r="F42" s="262"/>
      <c r="G42" s="881"/>
      <c r="H42" s="881"/>
      <c r="I42" s="881"/>
    </row>
    <row r="43" spans="1:9" x14ac:dyDescent="0.25">
      <c r="A43" s="893" t="s">
        <v>695</v>
      </c>
      <c r="B43" s="894"/>
      <c r="C43" s="894"/>
      <c r="D43" s="894"/>
      <c r="E43" s="895"/>
      <c r="F43" s="262" t="s">
        <v>696</v>
      </c>
      <c r="G43" s="881"/>
      <c r="H43" s="881"/>
      <c r="I43" s="881"/>
    </row>
    <row r="44" spans="1:9" x14ac:dyDescent="0.25">
      <c r="A44" s="893"/>
      <c r="B44" s="894"/>
      <c r="C44" s="894"/>
      <c r="D44" s="894"/>
      <c r="E44" s="895"/>
      <c r="F44" s="262"/>
      <c r="G44" s="881"/>
      <c r="H44" s="881"/>
      <c r="I44" s="881"/>
    </row>
    <row r="45" spans="1:9" x14ac:dyDescent="0.25">
      <c r="A45" s="896"/>
      <c r="B45" s="897"/>
      <c r="C45" s="897"/>
      <c r="D45" s="897"/>
      <c r="E45" s="898"/>
      <c r="F45" s="275"/>
      <c r="G45" s="899"/>
      <c r="H45" s="899"/>
      <c r="I45" s="899"/>
    </row>
    <row r="46" spans="1:9" ht="14.45" customHeight="1" x14ac:dyDescent="0.25">
      <c r="A46" s="900" t="s">
        <v>697</v>
      </c>
      <c r="B46" s="901"/>
      <c r="C46" s="901"/>
      <c r="D46" s="901"/>
      <c r="E46" s="902"/>
      <c r="F46" s="270" t="s">
        <v>698</v>
      </c>
      <c r="G46" s="880"/>
      <c r="H46" s="880"/>
      <c r="I46" s="880"/>
    </row>
  </sheetData>
  <mergeCells count="81">
    <mergeCell ref="C5:I5"/>
    <mergeCell ref="A2:B2"/>
    <mergeCell ref="C2:I2"/>
    <mergeCell ref="A3:B3"/>
    <mergeCell ref="C3:I3"/>
    <mergeCell ref="C4:I4"/>
    <mergeCell ref="A16:E16"/>
    <mergeCell ref="G16:I16"/>
    <mergeCell ref="C6:D6"/>
    <mergeCell ref="H6:I6"/>
    <mergeCell ref="C7:D7"/>
    <mergeCell ref="C8:I8"/>
    <mergeCell ref="C9:I9"/>
    <mergeCell ref="C10:D10"/>
    <mergeCell ref="E10:F10"/>
    <mergeCell ref="G10:I10"/>
    <mergeCell ref="C11:D11"/>
    <mergeCell ref="E11:F11"/>
    <mergeCell ref="G11:I11"/>
    <mergeCell ref="A13:I13"/>
    <mergeCell ref="A14:I14"/>
    <mergeCell ref="A17:E17"/>
    <mergeCell ref="G17:I17"/>
    <mergeCell ref="A18:E18"/>
    <mergeCell ref="G18:I18"/>
    <mergeCell ref="A19:E19"/>
    <mergeCell ref="G19:I19"/>
    <mergeCell ref="A20:E20"/>
    <mergeCell ref="G20:I20"/>
    <mergeCell ref="A21:E21"/>
    <mergeCell ref="G21:I21"/>
    <mergeCell ref="A22:E22"/>
    <mergeCell ref="G22:I22"/>
    <mergeCell ref="A23:E23"/>
    <mergeCell ref="G23:I23"/>
    <mergeCell ref="A24:E24"/>
    <mergeCell ref="G24:I24"/>
    <mergeCell ref="A25:E25"/>
    <mergeCell ref="G25:I25"/>
    <mergeCell ref="A26:E26"/>
    <mergeCell ref="G26:I26"/>
    <mergeCell ref="A27:E27"/>
    <mergeCell ref="G27:I27"/>
    <mergeCell ref="A28:E28"/>
    <mergeCell ref="G28:I28"/>
    <mergeCell ref="A29:E29"/>
    <mergeCell ref="G29:I29"/>
    <mergeCell ref="A30:E30"/>
    <mergeCell ref="G30:I30"/>
    <mergeCell ref="A31:E31"/>
    <mergeCell ref="G31:I31"/>
    <mergeCell ref="A32:E32"/>
    <mergeCell ref="G32:I32"/>
    <mergeCell ref="A33:E33"/>
    <mergeCell ref="G33:I33"/>
    <mergeCell ref="A34:E34"/>
    <mergeCell ref="G34:I34"/>
    <mergeCell ref="A35:E35"/>
    <mergeCell ref="G35:I35"/>
    <mergeCell ref="A36:E36"/>
    <mergeCell ref="G36:I36"/>
    <mergeCell ref="A37:E37"/>
    <mergeCell ref="G37:I37"/>
    <mergeCell ref="A38:E38"/>
    <mergeCell ref="G38:I38"/>
    <mergeCell ref="A39:E39"/>
    <mergeCell ref="G39:I39"/>
    <mergeCell ref="A40:E40"/>
    <mergeCell ref="G40:I40"/>
    <mergeCell ref="A41:E41"/>
    <mergeCell ref="G41:I41"/>
    <mergeCell ref="A42:E42"/>
    <mergeCell ref="G42:I42"/>
    <mergeCell ref="A43:E43"/>
    <mergeCell ref="G43:I43"/>
    <mergeCell ref="A44:E44"/>
    <mergeCell ref="G44:I44"/>
    <mergeCell ref="A45:E45"/>
    <mergeCell ref="G45:I45"/>
    <mergeCell ref="A46:E46"/>
    <mergeCell ref="G46:I4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3D17C-4F7C-4DE4-8260-A44F9D926201}">
  <dimension ref="A1:F30"/>
  <sheetViews>
    <sheetView workbookViewId="0">
      <selection activeCell="F1" sqref="A1:XFD1048576"/>
    </sheetView>
  </sheetViews>
  <sheetFormatPr baseColWidth="10" defaultRowHeight="15" x14ac:dyDescent="0.25"/>
  <sheetData>
    <row r="1" spans="1:6" x14ac:dyDescent="0.25">
      <c r="A1" s="855" t="s">
        <v>700</v>
      </c>
      <c r="B1" s="855"/>
      <c r="C1" s="855"/>
      <c r="D1" s="855"/>
      <c r="E1" s="855"/>
      <c r="F1" s="855"/>
    </row>
    <row r="2" spans="1:6" x14ac:dyDescent="0.25">
      <c r="A2" s="855"/>
      <c r="B2" s="855"/>
      <c r="C2" s="855"/>
      <c r="D2" s="855"/>
      <c r="E2" s="855"/>
      <c r="F2" s="855"/>
    </row>
    <row r="3" spans="1:6" x14ac:dyDescent="0.25">
      <c r="A3" s="855"/>
      <c r="B3" s="855"/>
      <c r="C3" s="855"/>
      <c r="D3" s="855"/>
      <c r="E3" s="855"/>
      <c r="F3" s="855"/>
    </row>
    <row r="4" spans="1:6" x14ac:dyDescent="0.25">
      <c r="A4" s="855"/>
      <c r="B4" s="855"/>
      <c r="C4" s="855"/>
      <c r="D4" s="855"/>
      <c r="E4" s="855"/>
      <c r="F4" s="855"/>
    </row>
    <row r="5" spans="1:6" x14ac:dyDescent="0.25">
      <c r="A5" s="855"/>
      <c r="B5" s="855"/>
      <c r="C5" s="855"/>
      <c r="D5" s="855"/>
      <c r="E5" s="855"/>
      <c r="F5" s="855"/>
    </row>
    <row r="6" spans="1:6" x14ac:dyDescent="0.25">
      <c r="A6" s="855"/>
      <c r="B6" s="855"/>
      <c r="C6" s="855"/>
      <c r="D6" s="855"/>
      <c r="E6" s="855"/>
      <c r="F6" s="855"/>
    </row>
    <row r="7" spans="1:6" x14ac:dyDescent="0.25">
      <c r="A7" s="855"/>
      <c r="B7" s="855"/>
      <c r="C7" s="855"/>
      <c r="D7" s="855"/>
      <c r="E7" s="855"/>
      <c r="F7" s="855"/>
    </row>
    <row r="8" spans="1:6" x14ac:dyDescent="0.25">
      <c r="A8" s="855"/>
      <c r="B8" s="855"/>
      <c r="C8" s="855"/>
      <c r="D8" s="855"/>
      <c r="E8" s="855"/>
      <c r="F8" s="855"/>
    </row>
    <row r="9" spans="1:6" x14ac:dyDescent="0.25">
      <c r="A9" s="855"/>
      <c r="B9" s="855"/>
      <c r="C9" s="855"/>
      <c r="D9" s="855"/>
      <c r="E9" s="855"/>
      <c r="F9" s="855"/>
    </row>
    <row r="10" spans="1:6" x14ac:dyDescent="0.25">
      <c r="A10" s="855"/>
      <c r="B10" s="855"/>
      <c r="C10" s="855"/>
      <c r="D10" s="855"/>
      <c r="E10" s="855"/>
      <c r="F10" s="855"/>
    </row>
    <row r="11" spans="1:6" x14ac:dyDescent="0.25">
      <c r="A11" s="855"/>
      <c r="B11" s="855"/>
      <c r="C11" s="855"/>
      <c r="D11" s="855"/>
      <c r="E11" s="855"/>
      <c r="F11" s="855"/>
    </row>
    <row r="12" spans="1:6" x14ac:dyDescent="0.25">
      <c r="A12" s="855"/>
      <c r="B12" s="855"/>
      <c r="C12" s="855"/>
      <c r="D12" s="855"/>
      <c r="E12" s="855"/>
      <c r="F12" s="855"/>
    </row>
    <row r="13" spans="1:6" x14ac:dyDescent="0.25">
      <c r="A13" s="855"/>
      <c r="B13" s="855"/>
      <c r="C13" s="855"/>
      <c r="D13" s="855"/>
      <c r="E13" s="855"/>
      <c r="F13" s="855"/>
    </row>
    <row r="14" spans="1:6" x14ac:dyDescent="0.25">
      <c r="A14" s="855"/>
      <c r="B14" s="855"/>
      <c r="C14" s="855"/>
      <c r="D14" s="855"/>
      <c r="E14" s="855"/>
      <c r="F14" s="855"/>
    </row>
    <row r="15" spans="1:6" x14ac:dyDescent="0.25">
      <c r="A15" s="855"/>
      <c r="B15" s="855"/>
      <c r="C15" s="855"/>
      <c r="D15" s="855"/>
      <c r="E15" s="855"/>
      <c r="F15" s="855"/>
    </row>
    <row r="16" spans="1:6" x14ac:dyDescent="0.25">
      <c r="A16" s="855"/>
      <c r="B16" s="855"/>
      <c r="C16" s="855"/>
      <c r="D16" s="855"/>
      <c r="E16" s="855"/>
      <c r="F16" s="855"/>
    </row>
    <row r="17" spans="1:6" x14ac:dyDescent="0.25">
      <c r="A17" s="855"/>
      <c r="B17" s="855"/>
      <c r="C17" s="855"/>
      <c r="D17" s="855"/>
      <c r="E17" s="855"/>
      <c r="F17" s="855"/>
    </row>
    <row r="18" spans="1:6" x14ac:dyDescent="0.25">
      <c r="A18" s="855"/>
      <c r="B18" s="855"/>
      <c r="C18" s="855"/>
      <c r="D18" s="855"/>
      <c r="E18" s="855"/>
      <c r="F18" s="855"/>
    </row>
    <row r="19" spans="1:6" x14ac:dyDescent="0.25">
      <c r="A19" s="855"/>
      <c r="B19" s="855"/>
      <c r="C19" s="855"/>
      <c r="D19" s="855"/>
      <c r="E19" s="855"/>
      <c r="F19" s="855"/>
    </row>
    <row r="20" spans="1:6" x14ac:dyDescent="0.25">
      <c r="A20" s="855"/>
      <c r="B20" s="855"/>
      <c r="C20" s="855"/>
      <c r="D20" s="855"/>
      <c r="E20" s="855"/>
      <c r="F20" s="855"/>
    </row>
    <row r="21" spans="1:6" x14ac:dyDescent="0.25">
      <c r="A21" s="855"/>
      <c r="B21" s="855"/>
      <c r="C21" s="855"/>
      <c r="D21" s="855"/>
      <c r="E21" s="855"/>
      <c r="F21" s="855"/>
    </row>
    <row r="22" spans="1:6" x14ac:dyDescent="0.25">
      <c r="A22" s="855"/>
      <c r="B22" s="855"/>
      <c r="C22" s="855"/>
      <c r="D22" s="855"/>
      <c r="E22" s="855"/>
      <c r="F22" s="855"/>
    </row>
    <row r="23" spans="1:6" x14ac:dyDescent="0.25">
      <c r="A23" s="855"/>
      <c r="B23" s="855"/>
      <c r="C23" s="855"/>
      <c r="D23" s="855"/>
      <c r="E23" s="855"/>
      <c r="F23" s="855"/>
    </row>
    <row r="24" spans="1:6" x14ac:dyDescent="0.25">
      <c r="A24" s="855"/>
      <c r="B24" s="855"/>
      <c r="C24" s="855"/>
      <c r="D24" s="855"/>
      <c r="E24" s="855"/>
      <c r="F24" s="855"/>
    </row>
    <row r="25" spans="1:6" x14ac:dyDescent="0.25">
      <c r="A25" s="855"/>
      <c r="B25" s="855"/>
      <c r="C25" s="855"/>
      <c r="D25" s="855"/>
      <c r="E25" s="855"/>
      <c r="F25" s="855"/>
    </row>
    <row r="26" spans="1:6" x14ac:dyDescent="0.25">
      <c r="A26" s="855"/>
      <c r="B26" s="855"/>
      <c r="C26" s="855"/>
      <c r="D26" s="855"/>
      <c r="E26" s="855"/>
      <c r="F26" s="855"/>
    </row>
    <row r="27" spans="1:6" x14ac:dyDescent="0.25">
      <c r="A27" s="855"/>
      <c r="B27" s="855"/>
      <c r="C27" s="855"/>
      <c r="D27" s="855"/>
      <c r="E27" s="855"/>
      <c r="F27" s="855"/>
    </row>
    <row r="28" spans="1:6" x14ac:dyDescent="0.25">
      <c r="A28" s="855"/>
      <c r="B28" s="855"/>
      <c r="C28" s="855"/>
      <c r="D28" s="855"/>
      <c r="E28" s="855"/>
      <c r="F28" s="855"/>
    </row>
    <row r="29" spans="1:6" x14ac:dyDescent="0.25">
      <c r="A29" s="855"/>
      <c r="B29" s="855"/>
      <c r="C29" s="855"/>
      <c r="D29" s="855"/>
      <c r="E29" s="855"/>
      <c r="F29" s="855"/>
    </row>
    <row r="30" spans="1:6" x14ac:dyDescent="0.25">
      <c r="A30" s="855"/>
      <c r="B30" s="855"/>
      <c r="C30" s="855"/>
      <c r="D30" s="855"/>
      <c r="E30" s="855"/>
      <c r="F30" s="855"/>
    </row>
  </sheetData>
  <mergeCells count="1">
    <mergeCell ref="A1:F30"/>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9193-F93A-440B-8C33-8F691E523B67}">
  <dimension ref="A2:H49"/>
  <sheetViews>
    <sheetView workbookViewId="0">
      <selection activeCell="F13" sqref="A1:XFD1048576"/>
    </sheetView>
  </sheetViews>
  <sheetFormatPr baseColWidth="10" defaultRowHeight="15" x14ac:dyDescent="0.25"/>
  <cols>
    <col min="1" max="1" width="10.42578125" customWidth="1"/>
    <col min="2" max="2" width="20.28515625" customWidth="1"/>
    <col min="3" max="3" width="4.85546875" bestFit="1" customWidth="1"/>
    <col min="4" max="4" width="13.7109375" customWidth="1"/>
    <col min="5" max="5" width="16.7109375" customWidth="1"/>
    <col min="6" max="6" width="14.5703125" customWidth="1"/>
    <col min="7" max="7" width="16.7109375" customWidth="1"/>
    <col min="8" max="8" width="13.28515625" customWidth="1"/>
  </cols>
  <sheetData>
    <row r="2" spans="1:8" x14ac:dyDescent="0.25">
      <c r="A2" s="860" t="s">
        <v>466</v>
      </c>
      <c r="B2" s="860"/>
      <c r="C2" s="619">
        <v>4444444444</v>
      </c>
      <c r="D2" s="619"/>
      <c r="E2" s="619"/>
      <c r="F2" s="619"/>
      <c r="G2" s="619"/>
      <c r="H2" s="619"/>
    </row>
    <row r="3" spans="1:8" x14ac:dyDescent="0.25">
      <c r="A3" s="860"/>
      <c r="B3" s="860"/>
      <c r="C3" s="620">
        <v>56565665</v>
      </c>
      <c r="D3" s="620"/>
      <c r="E3" s="620"/>
      <c r="F3" s="620"/>
      <c r="G3" s="620"/>
      <c r="H3" s="620"/>
    </row>
    <row r="4" spans="1:8" x14ac:dyDescent="0.25">
      <c r="A4" s="198" t="s">
        <v>364</v>
      </c>
      <c r="B4" s="200"/>
      <c r="C4" s="620" t="s">
        <v>6</v>
      </c>
      <c r="D4" s="620"/>
      <c r="E4" s="620"/>
      <c r="F4" s="620"/>
      <c r="G4" s="620"/>
      <c r="H4" s="620"/>
    </row>
    <row r="5" spans="1:8" x14ac:dyDescent="0.25">
      <c r="A5" s="198" t="s">
        <v>365</v>
      </c>
      <c r="B5" s="200"/>
      <c r="C5" s="620" t="s">
        <v>699</v>
      </c>
      <c r="D5" s="620"/>
      <c r="E5" s="620"/>
      <c r="F5" s="620"/>
      <c r="G5" s="620"/>
      <c r="H5" s="620"/>
    </row>
    <row r="6" spans="1:8" x14ac:dyDescent="0.25">
      <c r="A6" s="198" t="s">
        <v>366</v>
      </c>
      <c r="B6" s="200"/>
      <c r="C6" s="620">
        <v>125545</v>
      </c>
      <c r="D6" s="620"/>
      <c r="E6" s="47" t="s">
        <v>367</v>
      </c>
      <c r="F6" s="240">
        <v>46022</v>
      </c>
      <c r="G6" s="200" t="s">
        <v>467</v>
      </c>
      <c r="H6" s="241">
        <v>12</v>
      </c>
    </row>
    <row r="7" spans="1:8" x14ac:dyDescent="0.25">
      <c r="A7" s="204" t="s">
        <v>369</v>
      </c>
      <c r="B7" s="205"/>
      <c r="C7" s="620" t="s">
        <v>8</v>
      </c>
      <c r="D7" s="620"/>
      <c r="E7" s="200"/>
      <c r="F7" s="200"/>
      <c r="G7" s="200"/>
      <c r="H7" s="200"/>
    </row>
    <row r="8" spans="1:8" x14ac:dyDescent="0.25">
      <c r="A8" s="200" t="s">
        <v>468</v>
      </c>
      <c r="B8" s="200"/>
      <c r="C8" s="619" t="s">
        <v>35</v>
      </c>
      <c r="D8" s="619"/>
      <c r="E8" s="619"/>
      <c r="F8" s="619"/>
      <c r="G8" s="619"/>
      <c r="H8" s="619"/>
    </row>
    <row r="9" spans="1:8" x14ac:dyDescent="0.25">
      <c r="A9" s="200"/>
      <c r="B9" s="200"/>
      <c r="C9" s="620" t="s">
        <v>36</v>
      </c>
      <c r="D9" s="620"/>
      <c r="E9" s="620"/>
      <c r="F9" s="620"/>
      <c r="G9" s="620"/>
      <c r="H9" s="620"/>
    </row>
    <row r="10" spans="1:8" x14ac:dyDescent="0.25">
      <c r="A10" s="200" t="s">
        <v>469</v>
      </c>
      <c r="B10" s="200"/>
      <c r="C10" s="620" t="s">
        <v>40</v>
      </c>
      <c r="D10" s="620"/>
      <c r="E10" s="611" t="s">
        <v>470</v>
      </c>
      <c r="F10" s="611"/>
      <c r="G10" s="620" t="s">
        <v>38</v>
      </c>
      <c r="H10" s="620"/>
    </row>
    <row r="11" spans="1:8" x14ac:dyDescent="0.25">
      <c r="A11" s="200" t="s">
        <v>471</v>
      </c>
      <c r="B11" s="200"/>
      <c r="C11" s="876">
        <v>44713</v>
      </c>
      <c r="D11" s="876"/>
      <c r="E11" s="610" t="s">
        <v>472</v>
      </c>
      <c r="F11" s="610"/>
      <c r="G11" s="876">
        <v>45991</v>
      </c>
      <c r="H11" s="876"/>
    </row>
    <row r="12" spans="1:8" ht="7.15" customHeight="1" x14ac:dyDescent="0.25">
      <c r="A12" s="246"/>
      <c r="B12" s="246"/>
      <c r="C12" s="246"/>
      <c r="D12" s="246"/>
      <c r="E12" s="246"/>
      <c r="F12" s="246"/>
      <c r="G12" s="246"/>
      <c r="H12" s="246"/>
    </row>
    <row r="13" spans="1:8" x14ac:dyDescent="0.25">
      <c r="A13" s="611" t="s">
        <v>701</v>
      </c>
      <c r="B13" s="611"/>
      <c r="C13" s="611"/>
      <c r="D13" s="611"/>
      <c r="E13" s="611"/>
      <c r="F13" s="611"/>
      <c r="G13" s="611"/>
      <c r="H13" s="611"/>
    </row>
    <row r="14" spans="1:8" ht="7.15" customHeight="1" x14ac:dyDescent="0.25"/>
    <row r="15" spans="1:8" x14ac:dyDescent="0.25">
      <c r="A15" s="276" t="s">
        <v>700</v>
      </c>
      <c r="B15" s="920" t="s">
        <v>702</v>
      </c>
      <c r="C15" s="920"/>
      <c r="D15" s="920"/>
      <c r="E15" s="920"/>
      <c r="F15" s="920"/>
      <c r="G15" s="276" t="s">
        <v>682</v>
      </c>
      <c r="H15" s="276" t="s">
        <v>703</v>
      </c>
    </row>
    <row r="16" spans="1:8" x14ac:dyDescent="0.25">
      <c r="A16" s="921" t="s">
        <v>704</v>
      </c>
      <c r="B16" s="921"/>
      <c r="C16" s="921"/>
      <c r="D16" s="921"/>
      <c r="E16" s="921"/>
      <c r="F16" s="921"/>
      <c r="G16" s="921"/>
      <c r="H16" s="921"/>
    </row>
    <row r="17" spans="1:8" x14ac:dyDescent="0.25">
      <c r="A17" s="277" t="s">
        <v>705</v>
      </c>
      <c r="B17" s="913" t="s">
        <v>706</v>
      </c>
      <c r="C17" s="913"/>
      <c r="D17" s="913"/>
      <c r="E17" s="913"/>
      <c r="F17" s="913"/>
      <c r="G17" s="278" t="s">
        <v>707</v>
      </c>
      <c r="H17" s="278" t="s">
        <v>708</v>
      </c>
    </row>
    <row r="18" spans="1:8" x14ac:dyDescent="0.25">
      <c r="A18" s="918" t="s">
        <v>709</v>
      </c>
      <c r="B18" s="918"/>
      <c r="C18" s="918"/>
      <c r="D18" s="918"/>
      <c r="E18" s="918"/>
      <c r="F18" s="918"/>
      <c r="G18" s="918"/>
      <c r="H18" s="918"/>
    </row>
    <row r="19" spans="1:8" x14ac:dyDescent="0.25">
      <c r="A19" s="277" t="s">
        <v>710</v>
      </c>
      <c r="B19" s="913" t="s">
        <v>711</v>
      </c>
      <c r="C19" s="913"/>
      <c r="D19" s="913"/>
      <c r="E19" s="913"/>
      <c r="F19" s="913"/>
      <c r="G19" s="278" t="s">
        <v>707</v>
      </c>
      <c r="H19" s="278" t="s">
        <v>708</v>
      </c>
    </row>
    <row r="20" spans="1:8" x14ac:dyDescent="0.25">
      <c r="A20" s="918" t="s">
        <v>712</v>
      </c>
      <c r="B20" s="918"/>
      <c r="C20" s="918"/>
      <c r="D20" s="918"/>
      <c r="E20" s="918"/>
      <c r="F20" s="918"/>
      <c r="G20" s="918"/>
      <c r="H20" s="918"/>
    </row>
    <row r="21" spans="1:8" x14ac:dyDescent="0.25">
      <c r="A21" s="277" t="s">
        <v>713</v>
      </c>
      <c r="B21" s="913" t="s">
        <v>714</v>
      </c>
      <c r="C21" s="913"/>
      <c r="D21" s="913"/>
      <c r="E21" s="913"/>
      <c r="F21" s="913"/>
      <c r="G21" s="278" t="s">
        <v>707</v>
      </c>
      <c r="H21" s="278" t="s">
        <v>708</v>
      </c>
    </row>
    <row r="22" spans="1:8" x14ac:dyDescent="0.25">
      <c r="A22" s="277" t="s">
        <v>715</v>
      </c>
      <c r="B22" s="919" t="s">
        <v>716</v>
      </c>
      <c r="C22" s="919"/>
      <c r="D22" s="919"/>
      <c r="E22" s="919"/>
      <c r="F22" s="919"/>
      <c r="G22" s="278" t="s">
        <v>707</v>
      </c>
      <c r="H22" s="278" t="s">
        <v>708</v>
      </c>
    </row>
    <row r="23" spans="1:8" x14ac:dyDescent="0.25">
      <c r="A23" s="277" t="s">
        <v>717</v>
      </c>
      <c r="B23" s="913" t="s">
        <v>718</v>
      </c>
      <c r="C23" s="913"/>
      <c r="D23" s="913"/>
      <c r="E23" s="913"/>
      <c r="F23" s="913"/>
      <c r="G23" s="278" t="s">
        <v>707</v>
      </c>
      <c r="H23" s="278" t="s">
        <v>708</v>
      </c>
    </row>
    <row r="24" spans="1:8" x14ac:dyDescent="0.25">
      <c r="A24" s="277" t="s">
        <v>719</v>
      </c>
      <c r="B24" s="913" t="s">
        <v>520</v>
      </c>
      <c r="C24" s="913"/>
      <c r="D24" s="913"/>
      <c r="E24" s="913"/>
      <c r="F24" s="913"/>
      <c r="G24" s="278" t="s">
        <v>707</v>
      </c>
      <c r="H24" s="278" t="s">
        <v>708</v>
      </c>
    </row>
    <row r="25" spans="1:8" x14ac:dyDescent="0.25">
      <c r="A25" s="277" t="s">
        <v>720</v>
      </c>
      <c r="B25" s="913" t="s">
        <v>721</v>
      </c>
      <c r="C25" s="913"/>
      <c r="D25" s="913"/>
      <c r="E25" s="913"/>
      <c r="F25" s="913"/>
      <c r="G25" s="278" t="s">
        <v>707</v>
      </c>
      <c r="H25" s="278" t="s">
        <v>708</v>
      </c>
    </row>
    <row r="26" spans="1:8" x14ac:dyDescent="0.25">
      <c r="A26" s="277" t="s">
        <v>722</v>
      </c>
      <c r="B26" s="913" t="s">
        <v>723</v>
      </c>
      <c r="C26" s="913"/>
      <c r="D26" s="913"/>
      <c r="E26" s="913"/>
      <c r="F26" s="913"/>
      <c r="G26" s="278" t="s">
        <v>707</v>
      </c>
      <c r="H26" s="278" t="s">
        <v>708</v>
      </c>
    </row>
    <row r="27" spans="1:8" x14ac:dyDescent="0.25">
      <c r="A27" s="277" t="s">
        <v>724</v>
      </c>
      <c r="B27" s="913" t="s">
        <v>725</v>
      </c>
      <c r="C27" s="913"/>
      <c r="D27" s="913"/>
      <c r="E27" s="913"/>
      <c r="F27" s="913"/>
      <c r="G27" s="278" t="s">
        <v>707</v>
      </c>
      <c r="H27" s="278" t="s">
        <v>708</v>
      </c>
    </row>
    <row r="28" spans="1:8" x14ac:dyDescent="0.25">
      <c r="A28" s="277" t="s">
        <v>726</v>
      </c>
      <c r="B28" s="913" t="s">
        <v>727</v>
      </c>
      <c r="C28" s="913"/>
      <c r="D28" s="913"/>
      <c r="E28" s="913"/>
      <c r="F28" s="913"/>
      <c r="G28" s="278" t="s">
        <v>707</v>
      </c>
      <c r="H28" s="278" t="s">
        <v>708</v>
      </c>
    </row>
    <row r="29" spans="1:8" x14ac:dyDescent="0.25">
      <c r="A29" s="277" t="s">
        <v>728</v>
      </c>
      <c r="B29" s="913" t="s">
        <v>729</v>
      </c>
      <c r="C29" s="913"/>
      <c r="D29" s="913"/>
      <c r="E29" s="913"/>
      <c r="F29" s="913"/>
      <c r="G29" s="278" t="s">
        <v>707</v>
      </c>
      <c r="H29" s="278" t="s">
        <v>708</v>
      </c>
    </row>
    <row r="30" spans="1:8" x14ac:dyDescent="0.25">
      <c r="A30" s="277" t="s">
        <v>730</v>
      </c>
      <c r="B30" s="913" t="s">
        <v>731</v>
      </c>
      <c r="C30" s="913"/>
      <c r="D30" s="913"/>
      <c r="E30" s="913"/>
      <c r="F30" s="913"/>
      <c r="G30" s="278" t="s">
        <v>707</v>
      </c>
      <c r="H30" s="278" t="s">
        <v>708</v>
      </c>
    </row>
    <row r="31" spans="1:8" x14ac:dyDescent="0.25">
      <c r="A31" s="277" t="s">
        <v>732</v>
      </c>
      <c r="B31" s="913" t="s">
        <v>733</v>
      </c>
      <c r="C31" s="913"/>
      <c r="D31" s="913"/>
      <c r="E31" s="913"/>
      <c r="F31" s="913"/>
      <c r="G31" s="278" t="s">
        <v>707</v>
      </c>
      <c r="H31" s="278" t="s">
        <v>708</v>
      </c>
    </row>
    <row r="32" spans="1:8" x14ac:dyDescent="0.25">
      <c r="A32" s="277" t="s">
        <v>734</v>
      </c>
      <c r="B32" s="913" t="s">
        <v>735</v>
      </c>
      <c r="C32" s="913"/>
      <c r="D32" s="913"/>
      <c r="E32" s="913"/>
      <c r="F32" s="913"/>
      <c r="G32" s="278" t="s">
        <v>707</v>
      </c>
      <c r="H32" s="278" t="s">
        <v>708</v>
      </c>
    </row>
    <row r="33" spans="1:8" x14ac:dyDescent="0.25">
      <c r="A33" s="918" t="s">
        <v>736</v>
      </c>
      <c r="B33" s="918"/>
      <c r="C33" s="918"/>
      <c r="D33" s="918"/>
      <c r="E33" s="918"/>
      <c r="F33" s="918"/>
      <c r="G33" s="918"/>
      <c r="H33" s="918"/>
    </row>
    <row r="34" spans="1:8" x14ac:dyDescent="0.25">
      <c r="A34" s="277" t="s">
        <v>737</v>
      </c>
      <c r="B34" s="913" t="s">
        <v>738</v>
      </c>
      <c r="C34" s="913"/>
      <c r="D34" s="913"/>
      <c r="E34" s="913"/>
      <c r="F34" s="913"/>
      <c r="G34" s="278" t="s">
        <v>707</v>
      </c>
      <c r="H34" s="278" t="s">
        <v>708</v>
      </c>
    </row>
    <row r="35" spans="1:8" x14ac:dyDescent="0.25">
      <c r="A35" s="277" t="s">
        <v>739</v>
      </c>
      <c r="B35" s="913" t="s">
        <v>740</v>
      </c>
      <c r="C35" s="913"/>
      <c r="D35" s="913"/>
      <c r="E35" s="913"/>
      <c r="F35" s="913"/>
      <c r="G35" s="278" t="s">
        <v>707</v>
      </c>
      <c r="H35" s="278" t="s">
        <v>708</v>
      </c>
    </row>
    <row r="36" spans="1:8" x14ac:dyDescent="0.25">
      <c r="A36" s="277" t="s">
        <v>741</v>
      </c>
      <c r="B36" s="913" t="s">
        <v>578</v>
      </c>
      <c r="C36" s="913"/>
      <c r="D36" s="913"/>
      <c r="E36" s="913"/>
      <c r="F36" s="913"/>
      <c r="G36" s="278" t="s">
        <v>707</v>
      </c>
      <c r="H36" s="278" t="s">
        <v>708</v>
      </c>
    </row>
    <row r="37" spans="1:8" x14ac:dyDescent="0.25">
      <c r="A37" s="277" t="s">
        <v>742</v>
      </c>
      <c r="B37" s="913" t="s">
        <v>580</v>
      </c>
      <c r="C37" s="913"/>
      <c r="D37" s="913"/>
      <c r="E37" s="913"/>
      <c r="F37" s="913"/>
      <c r="G37" s="278" t="s">
        <v>707</v>
      </c>
      <c r="H37" s="278" t="s">
        <v>708</v>
      </c>
    </row>
    <row r="38" spans="1:8" x14ac:dyDescent="0.25">
      <c r="A38" s="277" t="s">
        <v>743</v>
      </c>
      <c r="B38" s="913" t="s">
        <v>744</v>
      </c>
      <c r="C38" s="913"/>
      <c r="D38" s="913"/>
      <c r="E38" s="913"/>
      <c r="F38" s="913"/>
      <c r="G38" s="278" t="s">
        <v>707</v>
      </c>
      <c r="H38" s="278" t="s">
        <v>708</v>
      </c>
    </row>
    <row r="39" spans="1:8" x14ac:dyDescent="0.25">
      <c r="A39" s="277" t="s">
        <v>745</v>
      </c>
      <c r="B39" s="913" t="s">
        <v>584</v>
      </c>
      <c r="C39" s="913"/>
      <c r="D39" s="913"/>
      <c r="E39" s="913"/>
      <c r="F39" s="913"/>
      <c r="G39" s="278" t="s">
        <v>707</v>
      </c>
      <c r="H39" s="278" t="s">
        <v>708</v>
      </c>
    </row>
    <row r="40" spans="1:8" x14ac:dyDescent="0.25">
      <c r="A40" s="277" t="s">
        <v>746</v>
      </c>
      <c r="B40" s="913" t="s">
        <v>586</v>
      </c>
      <c r="C40" s="913"/>
      <c r="D40" s="913"/>
      <c r="E40" s="913"/>
      <c r="F40" s="913"/>
      <c r="G40" s="278" t="s">
        <v>707</v>
      </c>
      <c r="H40" s="278" t="s">
        <v>708</v>
      </c>
    </row>
    <row r="41" spans="1:8" x14ac:dyDescent="0.25">
      <c r="A41" s="277" t="s">
        <v>747</v>
      </c>
      <c r="B41" s="913" t="s">
        <v>748</v>
      </c>
      <c r="C41" s="913"/>
      <c r="D41" s="913"/>
      <c r="E41" s="913"/>
      <c r="F41" s="913"/>
      <c r="G41" s="278" t="s">
        <v>707</v>
      </c>
      <c r="H41" s="278" t="s">
        <v>708</v>
      </c>
    </row>
    <row r="42" spans="1:8" x14ac:dyDescent="0.25">
      <c r="A42" s="277" t="s">
        <v>749</v>
      </c>
      <c r="B42" s="913" t="s">
        <v>750</v>
      </c>
      <c r="C42" s="913"/>
      <c r="D42" s="913"/>
      <c r="E42" s="913"/>
      <c r="F42" s="913"/>
      <c r="G42" s="278" t="s">
        <v>707</v>
      </c>
      <c r="H42" s="278" t="s">
        <v>708</v>
      </c>
    </row>
    <row r="43" spans="1:8" x14ac:dyDescent="0.25">
      <c r="A43" s="279" t="s">
        <v>751</v>
      </c>
      <c r="B43" s="914" t="s">
        <v>752</v>
      </c>
      <c r="C43" s="914"/>
      <c r="D43" s="914"/>
      <c r="E43" s="914"/>
      <c r="F43" s="914"/>
      <c r="G43" s="280" t="s">
        <v>707</v>
      </c>
      <c r="H43" s="280" t="s">
        <v>708</v>
      </c>
    </row>
    <row r="44" spans="1:8" x14ac:dyDescent="0.25">
      <c r="A44" s="281" t="s">
        <v>753</v>
      </c>
      <c r="B44" s="915" t="s">
        <v>754</v>
      </c>
      <c r="C44" s="915"/>
      <c r="D44" s="915"/>
      <c r="E44" s="915"/>
      <c r="F44" s="915"/>
      <c r="G44" s="282" t="s">
        <v>707</v>
      </c>
      <c r="H44" s="282" t="s">
        <v>708</v>
      </c>
    </row>
    <row r="45" spans="1:8" ht="36.6" customHeight="1" x14ac:dyDescent="0.25">
      <c r="A45" s="916" t="s">
        <v>755</v>
      </c>
      <c r="B45" s="916"/>
      <c r="C45" s="916"/>
      <c r="D45" s="916"/>
      <c r="E45" s="916"/>
      <c r="F45" s="916"/>
      <c r="G45" s="916"/>
      <c r="H45" s="916"/>
    </row>
    <row r="46" spans="1:8" ht="5.45" customHeight="1" x14ac:dyDescent="0.25">
      <c r="A46" s="245"/>
      <c r="B46" s="245"/>
      <c r="C46" s="245"/>
      <c r="D46" s="245"/>
      <c r="E46" s="245"/>
      <c r="F46" s="245"/>
      <c r="G46" s="245"/>
      <c r="H46" s="245"/>
    </row>
    <row r="47" spans="1:8" x14ac:dyDescent="0.25">
      <c r="A47" s="283" t="s">
        <v>756</v>
      </c>
      <c r="B47" s="245"/>
      <c r="C47" s="245"/>
      <c r="D47" s="245"/>
      <c r="E47" s="245"/>
      <c r="F47" s="245"/>
      <c r="G47" s="245"/>
      <c r="H47" s="245"/>
    </row>
    <row r="48" spans="1:8" ht="9" customHeight="1" x14ac:dyDescent="0.25">
      <c r="A48" s="245"/>
      <c r="B48" s="245"/>
      <c r="C48" s="245"/>
      <c r="D48" s="245"/>
      <c r="E48" s="245"/>
      <c r="F48" s="245"/>
      <c r="G48" s="245"/>
      <c r="H48" s="245"/>
    </row>
    <row r="49" spans="1:8" x14ac:dyDescent="0.25">
      <c r="A49" s="917" t="s">
        <v>757</v>
      </c>
      <c r="B49" s="917"/>
      <c r="C49" s="917"/>
      <c r="D49" s="917"/>
      <c r="E49" s="917"/>
      <c r="F49" s="917"/>
      <c r="G49" s="917"/>
      <c r="H49" s="917"/>
    </row>
  </sheetData>
  <mergeCells count="49">
    <mergeCell ref="C5:H5"/>
    <mergeCell ref="A2:B2"/>
    <mergeCell ref="C2:H2"/>
    <mergeCell ref="A3:B3"/>
    <mergeCell ref="C3:H3"/>
    <mergeCell ref="C4:H4"/>
    <mergeCell ref="C6:D6"/>
    <mergeCell ref="C7:D7"/>
    <mergeCell ref="C8:H8"/>
    <mergeCell ref="C9:H9"/>
    <mergeCell ref="C10:D10"/>
    <mergeCell ref="E10:F10"/>
    <mergeCell ref="G10:H10"/>
    <mergeCell ref="B22:F22"/>
    <mergeCell ref="C11:D11"/>
    <mergeCell ref="E11:F11"/>
    <mergeCell ref="G11:H11"/>
    <mergeCell ref="A13:H13"/>
    <mergeCell ref="B15:F15"/>
    <mergeCell ref="A16:H16"/>
    <mergeCell ref="B17:F17"/>
    <mergeCell ref="A18:H18"/>
    <mergeCell ref="B19:F19"/>
    <mergeCell ref="A20:H20"/>
    <mergeCell ref="B21:F21"/>
    <mergeCell ref="B34:F34"/>
    <mergeCell ref="B23:F23"/>
    <mergeCell ref="B24:F24"/>
    <mergeCell ref="B25:F25"/>
    <mergeCell ref="B26:F26"/>
    <mergeCell ref="B27:F27"/>
    <mergeCell ref="B28:F28"/>
    <mergeCell ref="B29:F29"/>
    <mergeCell ref="B30:F30"/>
    <mergeCell ref="B31:F31"/>
    <mergeCell ref="B32:F32"/>
    <mergeCell ref="A33:H33"/>
    <mergeCell ref="A49:H49"/>
    <mergeCell ref="B35:F35"/>
    <mergeCell ref="B36:F36"/>
    <mergeCell ref="B37:F37"/>
    <mergeCell ref="B38:F38"/>
    <mergeCell ref="B39:F39"/>
    <mergeCell ref="B40:F40"/>
    <mergeCell ref="B41:F41"/>
    <mergeCell ref="B42:F42"/>
    <mergeCell ref="B43:F43"/>
    <mergeCell ref="B44:F44"/>
    <mergeCell ref="A45:H4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6229F-F788-489D-A2FE-B5F5F7DCCBEE}">
  <dimension ref="A2:H47"/>
  <sheetViews>
    <sheetView workbookViewId="0">
      <selection activeCell="E16" sqref="A1:XFD1048576"/>
    </sheetView>
  </sheetViews>
  <sheetFormatPr baseColWidth="10" defaultRowHeight="15" x14ac:dyDescent="0.25"/>
  <cols>
    <col min="1" max="1" width="17.42578125" customWidth="1"/>
    <col min="2" max="2" width="15.5703125" customWidth="1"/>
    <col min="3" max="3" width="6.28515625" customWidth="1"/>
    <col min="4" max="4" width="16.28515625" customWidth="1"/>
    <col min="5" max="5" width="19.5703125" customWidth="1"/>
    <col min="6" max="6" width="18" customWidth="1"/>
    <col min="7" max="7" width="16.7109375" customWidth="1"/>
    <col min="8" max="8" width="6.42578125" customWidth="1"/>
    <col min="9" max="9" width="6.5703125" customWidth="1"/>
  </cols>
  <sheetData>
    <row r="2" spans="1:8" x14ac:dyDescent="0.25">
      <c r="A2" s="860" t="s">
        <v>466</v>
      </c>
      <c r="B2" s="860"/>
      <c r="C2" s="619">
        <v>4444444444</v>
      </c>
      <c r="D2" s="619"/>
      <c r="E2" s="619"/>
      <c r="F2" s="619"/>
      <c r="G2" s="619"/>
      <c r="H2" s="619"/>
    </row>
    <row r="3" spans="1:8" x14ac:dyDescent="0.25">
      <c r="A3" s="860"/>
      <c r="B3" s="860"/>
      <c r="C3" s="620">
        <v>56565665</v>
      </c>
      <c r="D3" s="620"/>
      <c r="E3" s="620"/>
      <c r="F3" s="620"/>
      <c r="G3" s="620"/>
      <c r="H3" s="620"/>
    </row>
    <row r="4" spans="1:8" x14ac:dyDescent="0.25">
      <c r="A4" s="198" t="s">
        <v>364</v>
      </c>
      <c r="B4" s="200"/>
      <c r="C4" s="620" t="s">
        <v>6</v>
      </c>
      <c r="D4" s="620"/>
      <c r="E4" s="620"/>
      <c r="F4" s="620"/>
      <c r="G4" s="620"/>
      <c r="H4" s="620"/>
    </row>
    <row r="5" spans="1:8" x14ac:dyDescent="0.25">
      <c r="A5" s="198" t="s">
        <v>365</v>
      </c>
      <c r="B5" s="200"/>
      <c r="C5" s="620" t="s">
        <v>699</v>
      </c>
      <c r="D5" s="620"/>
      <c r="E5" s="620"/>
      <c r="F5" s="620"/>
      <c r="G5" s="620"/>
      <c r="H5" s="620"/>
    </row>
    <row r="6" spans="1:8" x14ac:dyDescent="0.25">
      <c r="A6" s="198" t="s">
        <v>366</v>
      </c>
      <c r="B6" s="200"/>
      <c r="C6" s="620">
        <v>125545</v>
      </c>
      <c r="D6" s="620"/>
      <c r="E6" s="47" t="s">
        <v>367</v>
      </c>
      <c r="F6" s="240">
        <v>46022</v>
      </c>
      <c r="G6" s="200" t="s">
        <v>467</v>
      </c>
      <c r="H6" s="241">
        <v>12</v>
      </c>
    </row>
    <row r="7" spans="1:8" x14ac:dyDescent="0.25">
      <c r="A7" s="204" t="s">
        <v>369</v>
      </c>
      <c r="B7" s="205"/>
      <c r="C7" s="620" t="s">
        <v>8</v>
      </c>
      <c r="D7" s="620"/>
      <c r="E7" s="200"/>
      <c r="F7" s="200"/>
      <c r="G7" s="200"/>
      <c r="H7" s="200"/>
    </row>
    <row r="8" spans="1:8" x14ac:dyDescent="0.25">
      <c r="A8" s="200" t="s">
        <v>468</v>
      </c>
      <c r="B8" s="200"/>
      <c r="C8" s="619" t="s">
        <v>35</v>
      </c>
      <c r="D8" s="619"/>
      <c r="E8" s="619"/>
      <c r="F8" s="619"/>
      <c r="G8" s="619"/>
      <c r="H8" s="619"/>
    </row>
    <row r="9" spans="1:8" x14ac:dyDescent="0.25">
      <c r="A9" s="200"/>
      <c r="B9" s="200"/>
      <c r="C9" s="620" t="s">
        <v>36</v>
      </c>
      <c r="D9" s="620"/>
      <c r="E9" s="620"/>
      <c r="F9" s="620"/>
      <c r="G9" s="620"/>
      <c r="H9" s="620"/>
    </row>
    <row r="10" spans="1:8" x14ac:dyDescent="0.25">
      <c r="A10" s="200" t="s">
        <v>469</v>
      </c>
      <c r="B10" s="200"/>
      <c r="C10" s="620" t="s">
        <v>40</v>
      </c>
      <c r="D10" s="620"/>
      <c r="E10" s="611" t="s">
        <v>470</v>
      </c>
      <c r="F10" s="611"/>
      <c r="G10" s="620" t="s">
        <v>38</v>
      </c>
      <c r="H10" s="620"/>
    </row>
    <row r="11" spans="1:8" x14ac:dyDescent="0.25">
      <c r="A11" s="200" t="s">
        <v>471</v>
      </c>
      <c r="B11" s="200"/>
      <c r="C11" s="876">
        <v>44713</v>
      </c>
      <c r="D11" s="876"/>
      <c r="E11" s="610" t="s">
        <v>472</v>
      </c>
      <c r="F11" s="610"/>
      <c r="G11" s="876">
        <v>45991</v>
      </c>
      <c r="H11" s="876"/>
    </row>
    <row r="12" spans="1:8" ht="6" customHeight="1" x14ac:dyDescent="0.25">
      <c r="A12" s="246"/>
      <c r="B12" s="246"/>
      <c r="C12" s="246"/>
      <c r="D12" s="246"/>
      <c r="E12" s="246"/>
      <c r="F12" s="246"/>
      <c r="G12" s="246"/>
      <c r="H12" s="246"/>
    </row>
    <row r="13" spans="1:8" ht="15.75" x14ac:dyDescent="0.25">
      <c r="A13" s="678" t="s">
        <v>758</v>
      </c>
      <c r="B13" s="678"/>
      <c r="C13" s="678"/>
      <c r="D13" s="678"/>
      <c r="E13" s="678"/>
      <c r="F13" s="678"/>
      <c r="G13" s="678"/>
      <c r="H13" s="678"/>
    </row>
    <row r="14" spans="1:8" ht="15.75" x14ac:dyDescent="0.25">
      <c r="A14" s="678" t="s">
        <v>759</v>
      </c>
      <c r="B14" s="678"/>
      <c r="C14" s="678"/>
      <c r="D14" s="678"/>
      <c r="E14" s="678"/>
      <c r="F14" s="678"/>
      <c r="G14" s="678"/>
      <c r="H14" s="678"/>
    </row>
    <row r="15" spans="1:8" x14ac:dyDescent="0.25">
      <c r="A15" s="252"/>
      <c r="B15" s="252"/>
      <c r="C15" s="252"/>
      <c r="D15" s="252"/>
      <c r="E15" s="252"/>
      <c r="F15" s="252"/>
      <c r="G15" s="252"/>
      <c r="H15" s="252"/>
    </row>
    <row r="16" spans="1:8" x14ac:dyDescent="0.25">
      <c r="A16" s="934" t="s">
        <v>760</v>
      </c>
      <c r="B16" s="935"/>
      <c r="C16" s="935"/>
      <c r="D16" s="935"/>
      <c r="E16" s="935"/>
      <c r="F16" s="935"/>
      <c r="G16" s="935"/>
      <c r="H16" s="936"/>
    </row>
    <row r="17" spans="1:8" x14ac:dyDescent="0.25">
      <c r="A17" s="931" t="s">
        <v>761</v>
      </c>
      <c r="B17" s="932"/>
      <c r="C17" s="932"/>
      <c r="D17" s="932"/>
      <c r="E17" s="932"/>
      <c r="F17" s="932"/>
      <c r="G17" s="932"/>
      <c r="H17" s="933"/>
    </row>
    <row r="18" spans="1:8" x14ac:dyDescent="0.25">
      <c r="A18" s="931"/>
      <c r="B18" s="932"/>
      <c r="C18" s="932"/>
      <c r="D18" s="932"/>
      <c r="E18" s="932"/>
      <c r="F18" s="932"/>
      <c r="G18" s="932"/>
      <c r="H18" s="933"/>
    </row>
    <row r="19" spans="1:8" x14ac:dyDescent="0.25">
      <c r="A19" s="931"/>
      <c r="B19" s="932"/>
      <c r="C19" s="932"/>
      <c r="D19" s="932"/>
      <c r="E19" s="932"/>
      <c r="F19" s="932"/>
      <c r="G19" s="932"/>
      <c r="H19" s="933"/>
    </row>
    <row r="20" spans="1:8" x14ac:dyDescent="0.25">
      <c r="A20" s="931"/>
      <c r="B20" s="932"/>
      <c r="C20" s="932"/>
      <c r="D20" s="932"/>
      <c r="E20" s="932"/>
      <c r="F20" s="932"/>
      <c r="G20" s="932"/>
      <c r="H20" s="933"/>
    </row>
    <row r="21" spans="1:8" x14ac:dyDescent="0.25">
      <c r="A21" s="931"/>
      <c r="B21" s="932"/>
      <c r="C21" s="932"/>
      <c r="D21" s="932"/>
      <c r="E21" s="932"/>
      <c r="F21" s="932"/>
      <c r="G21" s="932"/>
      <c r="H21" s="933"/>
    </row>
    <row r="22" spans="1:8" x14ac:dyDescent="0.25">
      <c r="A22" s="931"/>
      <c r="B22" s="932"/>
      <c r="C22" s="932"/>
      <c r="D22" s="932"/>
      <c r="E22" s="932"/>
      <c r="F22" s="932"/>
      <c r="G22" s="932"/>
      <c r="H22" s="933"/>
    </row>
    <row r="23" spans="1:8" x14ac:dyDescent="0.25">
      <c r="A23" s="931"/>
      <c r="B23" s="932"/>
      <c r="C23" s="932"/>
      <c r="D23" s="932"/>
      <c r="E23" s="932"/>
      <c r="F23" s="932"/>
      <c r="G23" s="932"/>
      <c r="H23" s="933"/>
    </row>
    <row r="24" spans="1:8" x14ac:dyDescent="0.25">
      <c r="A24" s="931"/>
      <c r="B24" s="932"/>
      <c r="C24" s="932"/>
      <c r="D24" s="932"/>
      <c r="E24" s="932"/>
      <c r="F24" s="932"/>
      <c r="G24" s="932"/>
      <c r="H24" s="933"/>
    </row>
    <row r="25" spans="1:8" ht="32.450000000000003" customHeight="1" x14ac:dyDescent="0.25">
      <c r="A25" s="934" t="s">
        <v>762</v>
      </c>
      <c r="B25" s="935"/>
      <c r="C25" s="935"/>
      <c r="D25" s="935"/>
      <c r="E25" s="935"/>
      <c r="F25" s="935"/>
      <c r="G25" s="935"/>
      <c r="H25" s="936"/>
    </row>
    <row r="26" spans="1:8" x14ac:dyDescent="0.25">
      <c r="A26" s="931"/>
      <c r="B26" s="937"/>
      <c r="C26" s="937"/>
      <c r="D26" s="937"/>
      <c r="E26" s="937"/>
      <c r="F26" s="937"/>
      <c r="G26" s="937"/>
      <c r="H26" s="938"/>
    </row>
    <row r="27" spans="1:8" x14ac:dyDescent="0.25">
      <c r="A27" s="939"/>
      <c r="B27" s="937"/>
      <c r="C27" s="937"/>
      <c r="D27" s="937"/>
      <c r="E27" s="937"/>
      <c r="F27" s="937"/>
      <c r="G27" s="937"/>
      <c r="H27" s="938"/>
    </row>
    <row r="28" spans="1:8" x14ac:dyDescent="0.25">
      <c r="A28" s="939"/>
      <c r="B28" s="937"/>
      <c r="C28" s="937"/>
      <c r="D28" s="937"/>
      <c r="E28" s="937"/>
      <c r="F28" s="937"/>
      <c r="G28" s="937"/>
      <c r="H28" s="938"/>
    </row>
    <row r="29" spans="1:8" x14ac:dyDescent="0.25">
      <c r="A29" s="939"/>
      <c r="B29" s="937"/>
      <c r="C29" s="937"/>
      <c r="D29" s="937"/>
      <c r="E29" s="937"/>
      <c r="F29" s="937"/>
      <c r="G29" s="937"/>
      <c r="H29" s="938"/>
    </row>
    <row r="30" spans="1:8" x14ac:dyDescent="0.25">
      <c r="A30" s="939"/>
      <c r="B30" s="937"/>
      <c r="C30" s="937"/>
      <c r="D30" s="937"/>
      <c r="E30" s="937"/>
      <c r="F30" s="937"/>
      <c r="G30" s="937"/>
      <c r="H30" s="938"/>
    </row>
    <row r="31" spans="1:8" x14ac:dyDescent="0.25">
      <c r="A31" s="939"/>
      <c r="B31" s="937"/>
      <c r="C31" s="937"/>
      <c r="D31" s="937"/>
      <c r="E31" s="937"/>
      <c r="F31" s="937"/>
      <c r="G31" s="937"/>
      <c r="H31" s="938"/>
    </row>
    <row r="32" spans="1:8" x14ac:dyDescent="0.25">
      <c r="A32" s="939"/>
      <c r="B32" s="937"/>
      <c r="C32" s="937"/>
      <c r="D32" s="937"/>
      <c r="E32" s="937"/>
      <c r="F32" s="937"/>
      <c r="G32" s="937"/>
      <c r="H32" s="938"/>
    </row>
    <row r="33" spans="1:8" x14ac:dyDescent="0.25">
      <c r="A33" s="934" t="s">
        <v>763</v>
      </c>
      <c r="B33" s="935"/>
      <c r="C33" s="935"/>
      <c r="D33" s="935"/>
      <c r="E33" s="935"/>
      <c r="F33" s="935"/>
      <c r="G33" s="935"/>
      <c r="H33" s="936"/>
    </row>
    <row r="34" spans="1:8" x14ac:dyDescent="0.25">
      <c r="A34" s="940"/>
      <c r="B34" s="941"/>
      <c r="C34" s="941"/>
      <c r="D34" s="941"/>
      <c r="E34" s="941"/>
      <c r="F34" s="941"/>
      <c r="G34" s="941"/>
      <c r="H34" s="942"/>
    </row>
    <row r="35" spans="1:8" x14ac:dyDescent="0.25">
      <c r="A35" s="943"/>
      <c r="B35" s="944"/>
      <c r="C35" s="944"/>
      <c r="D35" s="944"/>
      <c r="E35" s="944"/>
      <c r="F35" s="944"/>
      <c r="G35" s="944"/>
      <c r="H35" s="945"/>
    </row>
    <row r="36" spans="1:8" x14ac:dyDescent="0.25">
      <c r="A36" s="943"/>
      <c r="B36" s="944"/>
      <c r="C36" s="944"/>
      <c r="D36" s="944"/>
      <c r="E36" s="944"/>
      <c r="F36" s="944"/>
      <c r="G36" s="944"/>
      <c r="H36" s="945"/>
    </row>
    <row r="37" spans="1:8" x14ac:dyDescent="0.25">
      <c r="A37" s="943"/>
      <c r="B37" s="944"/>
      <c r="C37" s="944"/>
      <c r="D37" s="944"/>
      <c r="E37" s="944"/>
      <c r="F37" s="944"/>
      <c r="G37" s="944"/>
      <c r="H37" s="945"/>
    </row>
    <row r="38" spans="1:8" x14ac:dyDescent="0.25">
      <c r="A38" s="943"/>
      <c r="B38" s="944"/>
      <c r="C38" s="944"/>
      <c r="D38" s="944"/>
      <c r="E38" s="944"/>
      <c r="F38" s="944"/>
      <c r="G38" s="944"/>
      <c r="H38" s="945"/>
    </row>
    <row r="39" spans="1:8" x14ac:dyDescent="0.25">
      <c r="A39" s="943"/>
      <c r="B39" s="944"/>
      <c r="C39" s="944"/>
      <c r="D39" s="944"/>
      <c r="E39" s="944"/>
      <c r="F39" s="944"/>
      <c r="G39" s="944"/>
      <c r="H39" s="945"/>
    </row>
    <row r="40" spans="1:8" x14ac:dyDescent="0.25">
      <c r="A40" s="946"/>
      <c r="B40" s="947"/>
      <c r="C40" s="947"/>
      <c r="D40" s="947"/>
      <c r="E40" s="947"/>
      <c r="F40" s="947"/>
      <c r="G40" s="947"/>
      <c r="H40" s="948"/>
    </row>
    <row r="41" spans="1:8" ht="39.6" customHeight="1" x14ac:dyDescent="0.25">
      <c r="A41" s="934" t="s">
        <v>764</v>
      </c>
      <c r="B41" s="935"/>
      <c r="C41" s="935"/>
      <c r="D41" s="935"/>
      <c r="E41" s="935"/>
      <c r="F41" s="935"/>
      <c r="G41" s="935"/>
      <c r="H41" s="936"/>
    </row>
    <row r="42" spans="1:8" x14ac:dyDescent="0.25">
      <c r="A42" s="922"/>
      <c r="B42" s="923"/>
      <c r="C42" s="923"/>
      <c r="D42" s="923"/>
      <c r="E42" s="923"/>
      <c r="F42" s="923"/>
      <c r="G42" s="923"/>
      <c r="H42" s="924"/>
    </row>
    <row r="43" spans="1:8" x14ac:dyDescent="0.25">
      <c r="A43" s="925"/>
      <c r="B43" s="926"/>
      <c r="C43" s="926"/>
      <c r="D43" s="926"/>
      <c r="E43" s="926"/>
      <c r="F43" s="926"/>
      <c r="G43" s="926"/>
      <c r="H43" s="927"/>
    </row>
    <row r="44" spans="1:8" x14ac:dyDescent="0.25">
      <c r="A44" s="925"/>
      <c r="B44" s="926"/>
      <c r="C44" s="926"/>
      <c r="D44" s="926"/>
      <c r="E44" s="926"/>
      <c r="F44" s="926"/>
      <c r="G44" s="926"/>
      <c r="H44" s="927"/>
    </row>
    <row r="45" spans="1:8" x14ac:dyDescent="0.25">
      <c r="A45" s="925"/>
      <c r="B45" s="926"/>
      <c r="C45" s="926"/>
      <c r="D45" s="926"/>
      <c r="E45" s="926"/>
      <c r="F45" s="926"/>
      <c r="G45" s="926"/>
      <c r="H45" s="927"/>
    </row>
    <row r="46" spans="1:8" x14ac:dyDescent="0.25">
      <c r="A46" s="925"/>
      <c r="B46" s="926"/>
      <c r="C46" s="926"/>
      <c r="D46" s="926"/>
      <c r="E46" s="926"/>
      <c r="F46" s="926"/>
      <c r="G46" s="926"/>
      <c r="H46" s="927"/>
    </row>
    <row r="47" spans="1:8" x14ac:dyDescent="0.25">
      <c r="A47" s="928"/>
      <c r="B47" s="929"/>
      <c r="C47" s="929"/>
      <c r="D47" s="929"/>
      <c r="E47" s="929"/>
      <c r="F47" s="929"/>
      <c r="G47" s="929"/>
      <c r="H47" s="930"/>
    </row>
  </sheetData>
  <mergeCells count="26">
    <mergeCell ref="C5:H5"/>
    <mergeCell ref="A2:B2"/>
    <mergeCell ref="C2:H2"/>
    <mergeCell ref="A3:B3"/>
    <mergeCell ref="C3:H3"/>
    <mergeCell ref="C4:H4"/>
    <mergeCell ref="A16:H16"/>
    <mergeCell ref="C6:D6"/>
    <mergeCell ref="C7:D7"/>
    <mergeCell ref="C8:H8"/>
    <mergeCell ref="C9:H9"/>
    <mergeCell ref="C10:D10"/>
    <mergeCell ref="E10:F10"/>
    <mergeCell ref="G10:H10"/>
    <mergeCell ref="C11:D11"/>
    <mergeCell ref="E11:F11"/>
    <mergeCell ref="G11:H11"/>
    <mergeCell ref="A13:H13"/>
    <mergeCell ref="A14:H14"/>
    <mergeCell ref="A42:H47"/>
    <mergeCell ref="A17:H24"/>
    <mergeCell ref="A25:H25"/>
    <mergeCell ref="A26:H32"/>
    <mergeCell ref="A33:H33"/>
    <mergeCell ref="A34:H40"/>
    <mergeCell ref="A41:H4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E38F-C531-4EC7-98C2-BB21C3DE1E14}">
  <dimension ref="A2:H47"/>
  <sheetViews>
    <sheetView workbookViewId="0">
      <selection activeCell="F16" sqref="A1:XFD1048576"/>
    </sheetView>
  </sheetViews>
  <sheetFormatPr baseColWidth="10" defaultRowHeight="15" x14ac:dyDescent="0.25"/>
  <cols>
    <col min="1" max="1" width="5.140625" customWidth="1"/>
    <col min="2" max="2" width="21.42578125" customWidth="1"/>
    <col min="3" max="3" width="18.140625" customWidth="1"/>
    <col min="4" max="4" width="10.140625" customWidth="1"/>
    <col min="5" max="5" width="16.140625" customWidth="1"/>
    <col min="6" max="6" width="12.7109375" customWidth="1"/>
    <col min="7" max="7" width="16.5703125" customWidth="1"/>
    <col min="8" max="8" width="7.85546875" customWidth="1"/>
  </cols>
  <sheetData>
    <row r="2" spans="1:8" x14ac:dyDescent="0.25">
      <c r="A2" s="860" t="s">
        <v>466</v>
      </c>
      <c r="B2" s="860"/>
      <c r="C2" s="619">
        <v>4444444444</v>
      </c>
      <c r="D2" s="619"/>
      <c r="E2" s="619"/>
      <c r="F2" s="619"/>
      <c r="G2" s="619"/>
      <c r="H2" s="619"/>
    </row>
    <row r="3" spans="1:8" x14ac:dyDescent="0.25">
      <c r="A3" s="860"/>
      <c r="B3" s="860"/>
      <c r="C3" s="620">
        <v>56565665</v>
      </c>
      <c r="D3" s="620"/>
      <c r="E3" s="620"/>
      <c r="F3" s="620"/>
      <c r="G3" s="620"/>
      <c r="H3" s="620"/>
    </row>
    <row r="4" spans="1:8" x14ac:dyDescent="0.25">
      <c r="A4" s="198" t="s">
        <v>364</v>
      </c>
      <c r="B4" s="200"/>
      <c r="C4" s="620" t="s">
        <v>6</v>
      </c>
      <c r="D4" s="620"/>
      <c r="E4" s="620"/>
      <c r="F4" s="620"/>
      <c r="G4" s="620"/>
      <c r="H4" s="620"/>
    </row>
    <row r="5" spans="1:8" x14ac:dyDescent="0.25">
      <c r="A5" s="198" t="s">
        <v>365</v>
      </c>
      <c r="B5" s="200"/>
      <c r="C5" s="620" t="s">
        <v>699</v>
      </c>
      <c r="D5" s="620"/>
      <c r="E5" s="620"/>
      <c r="F5" s="620"/>
      <c r="G5" s="620"/>
      <c r="H5" s="620"/>
    </row>
    <row r="6" spans="1:8" x14ac:dyDescent="0.25">
      <c r="A6" s="198" t="s">
        <v>366</v>
      </c>
      <c r="B6" s="200"/>
      <c r="C6" s="620">
        <v>125545</v>
      </c>
      <c r="D6" s="620"/>
      <c r="E6" s="47" t="s">
        <v>367</v>
      </c>
      <c r="F6" s="240">
        <v>46022</v>
      </c>
      <c r="G6" s="200" t="s">
        <v>467</v>
      </c>
      <c r="H6" s="241">
        <v>12</v>
      </c>
    </row>
    <row r="7" spans="1:8" x14ac:dyDescent="0.25">
      <c r="A7" s="204" t="s">
        <v>369</v>
      </c>
      <c r="B7" s="205"/>
      <c r="C7" s="620" t="s">
        <v>8</v>
      </c>
      <c r="D7" s="620"/>
      <c r="E7" s="200"/>
      <c r="F7" s="200"/>
      <c r="G7" s="200"/>
      <c r="H7" s="200"/>
    </row>
    <row r="8" spans="1:8" x14ac:dyDescent="0.25">
      <c r="A8" s="200" t="s">
        <v>468</v>
      </c>
      <c r="B8" s="200"/>
      <c r="C8" s="619" t="s">
        <v>35</v>
      </c>
      <c r="D8" s="619"/>
      <c r="E8" s="619"/>
      <c r="F8" s="619"/>
      <c r="G8" s="619"/>
      <c r="H8" s="619"/>
    </row>
    <row r="9" spans="1:8" x14ac:dyDescent="0.25">
      <c r="A9" s="200"/>
      <c r="B9" s="200"/>
      <c r="C9" s="620" t="s">
        <v>36</v>
      </c>
      <c r="D9" s="620"/>
      <c r="E9" s="620"/>
      <c r="F9" s="620"/>
      <c r="G9" s="620"/>
      <c r="H9" s="620"/>
    </row>
    <row r="10" spans="1:8" x14ac:dyDescent="0.25">
      <c r="A10" s="200" t="s">
        <v>469</v>
      </c>
      <c r="B10" s="200"/>
      <c r="C10" s="620" t="s">
        <v>40</v>
      </c>
      <c r="D10" s="620"/>
      <c r="E10" s="611" t="s">
        <v>470</v>
      </c>
      <c r="F10" s="611"/>
      <c r="G10" s="620" t="s">
        <v>38</v>
      </c>
      <c r="H10" s="620"/>
    </row>
    <row r="11" spans="1:8" x14ac:dyDescent="0.25">
      <c r="A11" s="200" t="s">
        <v>471</v>
      </c>
      <c r="B11" s="200"/>
      <c r="C11" s="876">
        <v>44713</v>
      </c>
      <c r="D11" s="876"/>
      <c r="E11" s="610" t="s">
        <v>472</v>
      </c>
      <c r="F11" s="610"/>
      <c r="G11" s="876">
        <v>45991</v>
      </c>
      <c r="H11" s="876"/>
    </row>
    <row r="13" spans="1:8" ht="15.75" x14ac:dyDescent="0.25">
      <c r="A13" s="678" t="s">
        <v>765</v>
      </c>
      <c r="B13" s="678"/>
      <c r="C13" s="678"/>
      <c r="D13" s="678"/>
      <c r="E13" s="678"/>
      <c r="F13" s="678"/>
      <c r="G13" s="678"/>
      <c r="H13" s="678"/>
    </row>
    <row r="14" spans="1:8" ht="15.75" x14ac:dyDescent="0.25">
      <c r="A14" s="678" t="s">
        <v>766</v>
      </c>
      <c r="B14" s="678"/>
      <c r="C14" s="678"/>
      <c r="D14" s="678"/>
      <c r="E14" s="678"/>
      <c r="F14" s="678"/>
      <c r="G14" s="678"/>
      <c r="H14" s="678"/>
    </row>
    <row r="15" spans="1:8" ht="8.4499999999999993" customHeight="1" x14ac:dyDescent="0.25">
      <c r="A15" s="252"/>
      <c r="B15" s="252"/>
      <c r="C15" s="252"/>
      <c r="D15" s="252"/>
      <c r="E15" s="252"/>
      <c r="F15" s="252"/>
      <c r="G15" s="252"/>
      <c r="H15" s="252"/>
    </row>
    <row r="16" spans="1:8" ht="21.6" customHeight="1" x14ac:dyDescent="0.25">
      <c r="A16" s="949" t="s">
        <v>767</v>
      </c>
      <c r="B16" s="950"/>
      <c r="C16" s="950"/>
      <c r="D16" s="950"/>
      <c r="E16" s="950"/>
      <c r="F16" s="950"/>
      <c r="G16" s="950"/>
      <c r="H16" s="951"/>
    </row>
    <row r="17" spans="1:8" x14ac:dyDescent="0.25">
      <c r="A17" s="940"/>
      <c r="B17" s="941"/>
      <c r="C17" s="941"/>
      <c r="D17" s="941"/>
      <c r="E17" s="941"/>
      <c r="F17" s="941"/>
      <c r="G17" s="941"/>
      <c r="H17" s="942"/>
    </row>
    <row r="18" spans="1:8" x14ac:dyDescent="0.25">
      <c r="A18" s="943"/>
      <c r="B18" s="944"/>
      <c r="C18" s="944"/>
      <c r="D18" s="944"/>
      <c r="E18" s="944"/>
      <c r="F18" s="944"/>
      <c r="G18" s="944"/>
      <c r="H18" s="945"/>
    </row>
    <row r="19" spans="1:8" x14ac:dyDescent="0.25">
      <c r="A19" s="943"/>
      <c r="B19" s="944"/>
      <c r="C19" s="944"/>
      <c r="D19" s="944"/>
      <c r="E19" s="944"/>
      <c r="F19" s="944"/>
      <c r="G19" s="944"/>
      <c r="H19" s="945"/>
    </row>
    <row r="20" spans="1:8" x14ac:dyDescent="0.25">
      <c r="A20" s="943"/>
      <c r="B20" s="944"/>
      <c r="C20" s="944"/>
      <c r="D20" s="944"/>
      <c r="E20" s="944"/>
      <c r="F20" s="944"/>
      <c r="G20" s="944"/>
      <c r="H20" s="945"/>
    </row>
    <row r="21" spans="1:8" x14ac:dyDescent="0.25">
      <c r="A21" s="943"/>
      <c r="B21" s="944"/>
      <c r="C21" s="944"/>
      <c r="D21" s="944"/>
      <c r="E21" s="944"/>
      <c r="F21" s="944"/>
      <c r="G21" s="944"/>
      <c r="H21" s="945"/>
    </row>
    <row r="22" spans="1:8" x14ac:dyDescent="0.25">
      <c r="A22" s="943"/>
      <c r="B22" s="944"/>
      <c r="C22" s="944"/>
      <c r="D22" s="944"/>
      <c r="E22" s="944"/>
      <c r="F22" s="944"/>
      <c r="G22" s="944"/>
      <c r="H22" s="945"/>
    </row>
    <row r="23" spans="1:8" x14ac:dyDescent="0.25">
      <c r="A23" s="943"/>
      <c r="B23" s="944"/>
      <c r="C23" s="944"/>
      <c r="D23" s="944"/>
      <c r="E23" s="944"/>
      <c r="F23" s="944"/>
      <c r="G23" s="944"/>
      <c r="H23" s="945"/>
    </row>
    <row r="24" spans="1:8" x14ac:dyDescent="0.25">
      <c r="A24" s="943"/>
      <c r="B24" s="944"/>
      <c r="C24" s="944"/>
      <c r="D24" s="944"/>
      <c r="E24" s="944"/>
      <c r="F24" s="944"/>
      <c r="G24" s="944"/>
      <c r="H24" s="945"/>
    </row>
    <row r="25" spans="1:8" x14ac:dyDescent="0.25">
      <c r="A25" s="943"/>
      <c r="B25" s="944"/>
      <c r="C25" s="944"/>
      <c r="D25" s="944"/>
      <c r="E25" s="944"/>
      <c r="F25" s="944"/>
      <c r="G25" s="944"/>
      <c r="H25" s="945"/>
    </row>
    <row r="26" spans="1:8" x14ac:dyDescent="0.25">
      <c r="A26" s="946"/>
      <c r="B26" s="947"/>
      <c r="C26" s="947"/>
      <c r="D26" s="947"/>
      <c r="E26" s="947"/>
      <c r="F26" s="947"/>
      <c r="G26" s="947"/>
      <c r="H26" s="948"/>
    </row>
    <row r="27" spans="1:8" x14ac:dyDescent="0.25">
      <c r="A27" s="949" t="s">
        <v>768</v>
      </c>
      <c r="B27" s="950"/>
      <c r="C27" s="950"/>
      <c r="D27" s="950"/>
      <c r="E27" s="950"/>
      <c r="F27" s="950"/>
      <c r="G27" s="950"/>
      <c r="H27" s="951"/>
    </row>
    <row r="28" spans="1:8" x14ac:dyDescent="0.25">
      <c r="A28" s="952"/>
      <c r="B28" s="953"/>
      <c r="C28" s="953"/>
      <c r="D28" s="953"/>
      <c r="E28" s="953"/>
      <c r="F28" s="953"/>
      <c r="G28" s="953"/>
      <c r="H28" s="954"/>
    </row>
    <row r="29" spans="1:8" x14ac:dyDescent="0.25">
      <c r="A29" s="955"/>
      <c r="B29" s="956"/>
      <c r="C29" s="956"/>
      <c r="D29" s="956"/>
      <c r="E29" s="956"/>
      <c r="F29" s="956"/>
      <c r="G29" s="956"/>
      <c r="H29" s="957"/>
    </row>
    <row r="30" spans="1:8" x14ac:dyDescent="0.25">
      <c r="A30" s="955"/>
      <c r="B30" s="956"/>
      <c r="C30" s="956"/>
      <c r="D30" s="956"/>
      <c r="E30" s="956"/>
      <c r="F30" s="956"/>
      <c r="G30" s="956"/>
      <c r="H30" s="957"/>
    </row>
    <row r="31" spans="1:8" x14ac:dyDescent="0.25">
      <c r="A31" s="955"/>
      <c r="B31" s="956"/>
      <c r="C31" s="956"/>
      <c r="D31" s="956"/>
      <c r="E31" s="956"/>
      <c r="F31" s="956"/>
      <c r="G31" s="956"/>
      <c r="H31" s="957"/>
    </row>
    <row r="32" spans="1:8" x14ac:dyDescent="0.25">
      <c r="A32" s="955"/>
      <c r="B32" s="956"/>
      <c r="C32" s="956"/>
      <c r="D32" s="956"/>
      <c r="E32" s="956"/>
      <c r="F32" s="956"/>
      <c r="G32" s="956"/>
      <c r="H32" s="957"/>
    </row>
    <row r="33" spans="1:8" x14ac:dyDescent="0.25">
      <c r="A33" s="955"/>
      <c r="B33" s="956"/>
      <c r="C33" s="956"/>
      <c r="D33" s="956"/>
      <c r="E33" s="956"/>
      <c r="F33" s="956"/>
      <c r="G33" s="956"/>
      <c r="H33" s="957"/>
    </row>
    <row r="34" spans="1:8" x14ac:dyDescent="0.25">
      <c r="A34" s="955"/>
      <c r="B34" s="956"/>
      <c r="C34" s="956"/>
      <c r="D34" s="956"/>
      <c r="E34" s="956"/>
      <c r="F34" s="956"/>
      <c r="G34" s="956"/>
      <c r="H34" s="957"/>
    </row>
    <row r="35" spans="1:8" x14ac:dyDescent="0.25">
      <c r="A35" s="955"/>
      <c r="B35" s="956"/>
      <c r="C35" s="956"/>
      <c r="D35" s="956"/>
      <c r="E35" s="956"/>
      <c r="F35" s="956"/>
      <c r="G35" s="956"/>
      <c r="H35" s="957"/>
    </row>
    <row r="36" spans="1:8" x14ac:dyDescent="0.25">
      <c r="A36" s="958"/>
      <c r="B36" s="959"/>
      <c r="C36" s="959"/>
      <c r="D36" s="959"/>
      <c r="E36" s="959"/>
      <c r="F36" s="959"/>
      <c r="G36" s="959"/>
      <c r="H36" s="960"/>
    </row>
    <row r="37" spans="1:8" x14ac:dyDescent="0.25">
      <c r="A37" s="949" t="s">
        <v>769</v>
      </c>
      <c r="B37" s="950"/>
      <c r="C37" s="950"/>
      <c r="D37" s="950"/>
      <c r="E37" s="950"/>
      <c r="F37" s="950"/>
      <c r="G37" s="950"/>
      <c r="H37" s="951"/>
    </row>
    <row r="38" spans="1:8" x14ac:dyDescent="0.25">
      <c r="A38" s="961"/>
      <c r="B38" s="962"/>
      <c r="C38" s="962"/>
      <c r="D38" s="962"/>
      <c r="E38" s="962"/>
      <c r="F38" s="962"/>
      <c r="G38" s="962"/>
      <c r="H38" s="963"/>
    </row>
    <row r="39" spans="1:8" x14ac:dyDescent="0.25">
      <c r="A39" s="964"/>
      <c r="B39" s="965"/>
      <c r="C39" s="965"/>
      <c r="D39" s="965"/>
      <c r="E39" s="965"/>
      <c r="F39" s="965"/>
      <c r="G39" s="965"/>
      <c r="H39" s="966"/>
    </row>
    <row r="40" spans="1:8" x14ac:dyDescent="0.25">
      <c r="A40" s="964"/>
      <c r="B40" s="965"/>
      <c r="C40" s="965"/>
      <c r="D40" s="965"/>
      <c r="E40" s="965"/>
      <c r="F40" s="965"/>
      <c r="G40" s="965"/>
      <c r="H40" s="966"/>
    </row>
    <row r="41" spans="1:8" x14ac:dyDescent="0.25">
      <c r="A41" s="964"/>
      <c r="B41" s="965"/>
      <c r="C41" s="965"/>
      <c r="D41" s="965"/>
      <c r="E41" s="965"/>
      <c r="F41" s="965"/>
      <c r="G41" s="965"/>
      <c r="H41" s="966"/>
    </row>
    <row r="42" spans="1:8" x14ac:dyDescent="0.25">
      <c r="A42" s="964"/>
      <c r="B42" s="965"/>
      <c r="C42" s="965"/>
      <c r="D42" s="965"/>
      <c r="E42" s="965"/>
      <c r="F42" s="965"/>
      <c r="G42" s="965"/>
      <c r="H42" s="966"/>
    </row>
    <row r="43" spans="1:8" x14ac:dyDescent="0.25">
      <c r="A43" s="964"/>
      <c r="B43" s="965"/>
      <c r="C43" s="965"/>
      <c r="D43" s="965"/>
      <c r="E43" s="965"/>
      <c r="F43" s="965"/>
      <c r="G43" s="965"/>
      <c r="H43" s="966"/>
    </row>
    <row r="44" spans="1:8" x14ac:dyDescent="0.25">
      <c r="A44" s="964"/>
      <c r="B44" s="965"/>
      <c r="C44" s="965"/>
      <c r="D44" s="965"/>
      <c r="E44" s="965"/>
      <c r="F44" s="965"/>
      <c r="G44" s="965"/>
      <c r="H44" s="966"/>
    </row>
    <row r="45" spans="1:8" x14ac:dyDescent="0.25">
      <c r="A45" s="964"/>
      <c r="B45" s="965"/>
      <c r="C45" s="965"/>
      <c r="D45" s="965"/>
      <c r="E45" s="965"/>
      <c r="F45" s="965"/>
      <c r="G45" s="965"/>
      <c r="H45" s="966"/>
    </row>
    <row r="46" spans="1:8" x14ac:dyDescent="0.25">
      <c r="A46" s="964"/>
      <c r="B46" s="965"/>
      <c r="C46" s="965"/>
      <c r="D46" s="965"/>
      <c r="E46" s="965"/>
      <c r="F46" s="965"/>
      <c r="G46" s="965"/>
      <c r="H46" s="966"/>
    </row>
    <row r="47" spans="1:8" x14ac:dyDescent="0.25">
      <c r="A47" s="967"/>
      <c r="B47" s="968"/>
      <c r="C47" s="968"/>
      <c r="D47" s="968"/>
      <c r="E47" s="968"/>
      <c r="F47" s="968"/>
      <c r="G47" s="968"/>
      <c r="H47" s="969"/>
    </row>
  </sheetData>
  <mergeCells count="24">
    <mergeCell ref="C5:H5"/>
    <mergeCell ref="A2:B2"/>
    <mergeCell ref="C2:H2"/>
    <mergeCell ref="A3:B3"/>
    <mergeCell ref="C3:H3"/>
    <mergeCell ref="C4:H4"/>
    <mergeCell ref="A16:H16"/>
    <mergeCell ref="C6:D6"/>
    <mergeCell ref="C7:D7"/>
    <mergeCell ref="C8:H8"/>
    <mergeCell ref="C9:H9"/>
    <mergeCell ref="C10:D10"/>
    <mergeCell ref="E10:F10"/>
    <mergeCell ref="G10:H10"/>
    <mergeCell ref="C11:D11"/>
    <mergeCell ref="E11:F11"/>
    <mergeCell ref="G11:H11"/>
    <mergeCell ref="A13:H13"/>
    <mergeCell ref="A14:H14"/>
    <mergeCell ref="A17:H26"/>
    <mergeCell ref="A27:H27"/>
    <mergeCell ref="A28:H36"/>
    <mergeCell ref="A37:H37"/>
    <mergeCell ref="A38:H47"/>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46996-7537-4A63-B121-E21E7A11DA5F}">
  <dimension ref="A2:I44"/>
  <sheetViews>
    <sheetView workbookViewId="0">
      <selection activeCell="G17" sqref="A1:XFD1048576"/>
    </sheetView>
  </sheetViews>
  <sheetFormatPr baseColWidth="10" defaultRowHeight="15" x14ac:dyDescent="0.25"/>
  <cols>
    <col min="1" max="1" width="45.5703125" customWidth="1"/>
    <col min="2" max="2" width="15.5703125" customWidth="1"/>
    <col min="3" max="3" width="13.85546875" customWidth="1"/>
    <col min="4" max="4" width="12.7109375" customWidth="1"/>
    <col min="5" max="5" width="15.28515625" customWidth="1"/>
    <col min="6" max="6" width="14" customWidth="1"/>
    <col min="7" max="7" width="19.85546875" customWidth="1"/>
    <col min="8" max="8" width="8.140625" customWidth="1"/>
    <col min="9" max="9" width="7.85546875" customWidth="1"/>
  </cols>
  <sheetData>
    <row r="2" spans="1:9" x14ac:dyDescent="0.25">
      <c r="A2" s="198" t="s">
        <v>466</v>
      </c>
      <c r="B2" s="619">
        <v>4444444444</v>
      </c>
      <c r="C2" s="619"/>
      <c r="D2" s="619"/>
      <c r="E2" s="619"/>
      <c r="F2" s="619"/>
      <c r="G2" s="619"/>
      <c r="H2" s="619"/>
      <c r="I2" s="619"/>
    </row>
    <row r="3" spans="1:9" x14ac:dyDescent="0.25">
      <c r="A3" s="198"/>
      <c r="B3" s="620">
        <v>56565665</v>
      </c>
      <c r="C3" s="620"/>
      <c r="D3" s="620"/>
      <c r="E3" s="620"/>
      <c r="F3" s="620"/>
      <c r="G3" s="620"/>
      <c r="H3" s="620"/>
      <c r="I3" s="620"/>
    </row>
    <row r="4" spans="1:9" x14ac:dyDescent="0.25">
      <c r="A4" s="198" t="s">
        <v>364</v>
      </c>
      <c r="B4" s="620" t="s">
        <v>6</v>
      </c>
      <c r="C4" s="620"/>
      <c r="D4" s="620"/>
      <c r="E4" s="620"/>
      <c r="F4" s="620"/>
      <c r="G4" s="620"/>
      <c r="H4" s="620"/>
      <c r="I4" s="620"/>
    </row>
    <row r="5" spans="1:9" x14ac:dyDescent="0.25">
      <c r="A5" s="198" t="s">
        <v>365</v>
      </c>
      <c r="B5" s="620" t="s">
        <v>699</v>
      </c>
      <c r="C5" s="620"/>
      <c r="D5" s="620"/>
      <c r="E5" s="620"/>
      <c r="F5" s="620"/>
      <c r="G5" s="620"/>
      <c r="H5" s="620"/>
      <c r="I5" s="620"/>
    </row>
    <row r="6" spans="1:9" x14ac:dyDescent="0.25">
      <c r="A6" s="198" t="s">
        <v>366</v>
      </c>
      <c r="B6" s="620">
        <v>125545</v>
      </c>
      <c r="C6" s="620"/>
      <c r="D6" s="616" t="s">
        <v>367</v>
      </c>
      <c r="E6" s="616"/>
      <c r="F6" s="209">
        <v>46022</v>
      </c>
      <c r="G6" s="47" t="s">
        <v>467</v>
      </c>
      <c r="H6" s="991">
        <v>12</v>
      </c>
      <c r="I6" s="991"/>
    </row>
    <row r="7" spans="1:9" x14ac:dyDescent="0.25">
      <c r="A7" s="204" t="s">
        <v>369</v>
      </c>
      <c r="B7" s="619" t="s">
        <v>8</v>
      </c>
      <c r="C7" s="619"/>
      <c r="D7" s="619"/>
      <c r="E7" s="200"/>
      <c r="F7" s="200"/>
      <c r="G7" s="200"/>
      <c r="H7" s="200"/>
      <c r="I7" s="197"/>
    </row>
    <row r="8" spans="1:9" x14ac:dyDescent="0.25">
      <c r="A8" s="200" t="s">
        <v>468</v>
      </c>
      <c r="B8" s="619" t="s">
        <v>35</v>
      </c>
      <c r="C8" s="619"/>
      <c r="D8" s="619"/>
      <c r="E8" s="619"/>
      <c r="F8" s="619"/>
      <c r="G8" s="619"/>
      <c r="H8" s="619"/>
      <c r="I8" s="619"/>
    </row>
    <row r="9" spans="1:9" x14ac:dyDescent="0.25">
      <c r="A9" s="200"/>
      <c r="B9" s="620" t="s">
        <v>36</v>
      </c>
      <c r="C9" s="620"/>
      <c r="D9" s="620"/>
      <c r="E9" s="620"/>
      <c r="F9" s="620"/>
      <c r="G9" s="620"/>
      <c r="H9" s="620"/>
      <c r="I9" s="620"/>
    </row>
    <row r="10" spans="1:9" x14ac:dyDescent="0.25">
      <c r="A10" s="200" t="s">
        <v>469</v>
      </c>
      <c r="B10" s="620" t="s">
        <v>40</v>
      </c>
      <c r="C10" s="620"/>
      <c r="D10" s="207"/>
      <c r="E10" s="611" t="s">
        <v>470</v>
      </c>
      <c r="F10" s="611"/>
      <c r="G10" s="619" t="s">
        <v>38</v>
      </c>
      <c r="H10" s="619"/>
      <c r="I10" s="619"/>
    </row>
    <row r="11" spans="1:9" x14ac:dyDescent="0.25">
      <c r="A11" s="200" t="s">
        <v>471</v>
      </c>
      <c r="B11" s="876">
        <v>44713</v>
      </c>
      <c r="C11" s="876"/>
      <c r="D11" s="242"/>
      <c r="E11" s="610" t="s">
        <v>472</v>
      </c>
      <c r="F11" s="610"/>
      <c r="G11" s="858">
        <v>45991</v>
      </c>
      <c r="H11" s="858"/>
      <c r="I11" s="858"/>
    </row>
    <row r="12" spans="1:9" ht="8.4499999999999993" customHeight="1" x14ac:dyDescent="0.25">
      <c r="A12" s="285"/>
      <c r="B12" s="285"/>
      <c r="C12" s="285"/>
      <c r="D12" s="285"/>
      <c r="E12" s="285"/>
      <c r="F12" s="285"/>
      <c r="G12" s="285"/>
      <c r="H12" s="285"/>
    </row>
    <row r="13" spans="1:9" x14ac:dyDescent="0.25">
      <c r="A13" s="985" t="s">
        <v>770</v>
      </c>
      <c r="B13" s="985"/>
      <c r="C13" s="985"/>
      <c r="D13" s="985"/>
      <c r="E13" s="985"/>
      <c r="F13" s="985"/>
      <c r="G13" s="985"/>
      <c r="H13" s="985"/>
      <c r="I13" s="985"/>
    </row>
    <row r="14" spans="1:9" x14ac:dyDescent="0.25">
      <c r="A14" s="986" t="s">
        <v>771</v>
      </c>
      <c r="B14" s="986"/>
      <c r="C14" s="986"/>
      <c r="D14" s="986"/>
      <c r="E14" s="986"/>
      <c r="F14" s="986"/>
      <c r="G14" s="986"/>
      <c r="H14" s="986"/>
      <c r="I14" s="986"/>
    </row>
    <row r="15" spans="1:9" ht="8.4499999999999993" customHeight="1" x14ac:dyDescent="0.25">
      <c r="A15" s="286"/>
      <c r="B15" s="286"/>
      <c r="C15" s="286"/>
      <c r="D15" s="286"/>
      <c r="E15" s="286"/>
      <c r="F15" s="287"/>
      <c r="G15" s="287"/>
      <c r="H15" s="287"/>
      <c r="I15" s="266"/>
    </row>
    <row r="16" spans="1:9" x14ac:dyDescent="0.25">
      <c r="A16" s="987" t="s">
        <v>772</v>
      </c>
      <c r="B16" s="288" t="s">
        <v>682</v>
      </c>
      <c r="C16" s="990" t="s">
        <v>773</v>
      </c>
      <c r="D16" s="990"/>
      <c r="E16" s="990"/>
      <c r="F16" s="990" t="s">
        <v>774</v>
      </c>
      <c r="G16" s="990"/>
      <c r="H16" s="990" t="s">
        <v>775</v>
      </c>
      <c r="I16" s="990"/>
    </row>
    <row r="17" spans="1:9" ht="22.15" customHeight="1" x14ac:dyDescent="0.25">
      <c r="A17" s="988"/>
      <c r="B17" s="984" t="s">
        <v>776</v>
      </c>
      <c r="C17" s="982" t="s">
        <v>777</v>
      </c>
      <c r="D17" s="982" t="s">
        <v>778</v>
      </c>
      <c r="E17" s="982" t="s">
        <v>779</v>
      </c>
      <c r="F17" s="982" t="s">
        <v>780</v>
      </c>
      <c r="G17" s="982" t="s">
        <v>778</v>
      </c>
      <c r="H17" s="984" t="s">
        <v>781</v>
      </c>
      <c r="I17" s="984"/>
    </row>
    <row r="18" spans="1:9" ht="22.15" customHeight="1" x14ac:dyDescent="0.25">
      <c r="A18" s="988"/>
      <c r="B18" s="984"/>
      <c r="C18" s="982"/>
      <c r="D18" s="982"/>
      <c r="E18" s="982"/>
      <c r="F18" s="983"/>
      <c r="G18" s="982"/>
      <c r="H18" s="984"/>
      <c r="I18" s="984"/>
    </row>
    <row r="19" spans="1:9" ht="22.15" customHeight="1" x14ac:dyDescent="0.25">
      <c r="A19" s="988"/>
      <c r="B19" s="984"/>
      <c r="C19" s="982"/>
      <c r="D19" s="982"/>
      <c r="E19" s="982"/>
      <c r="F19" s="983"/>
      <c r="G19" s="982"/>
      <c r="H19" s="984"/>
      <c r="I19" s="984"/>
    </row>
    <row r="20" spans="1:9" ht="13.15" customHeight="1" x14ac:dyDescent="0.25">
      <c r="A20" s="989"/>
      <c r="B20" s="984"/>
      <c r="C20" s="982"/>
      <c r="D20" s="982"/>
      <c r="E20" s="982"/>
      <c r="F20" s="983"/>
      <c r="G20" s="982"/>
      <c r="H20" s="984"/>
      <c r="I20" s="984"/>
    </row>
    <row r="21" spans="1:9" x14ac:dyDescent="0.25">
      <c r="A21" s="289" t="s">
        <v>782</v>
      </c>
      <c r="B21" s="290">
        <v>0</v>
      </c>
      <c r="C21" s="290">
        <v>0</v>
      </c>
      <c r="D21" s="290">
        <v>0</v>
      </c>
      <c r="E21" s="290">
        <v>0</v>
      </c>
      <c r="F21" s="290">
        <v>0</v>
      </c>
      <c r="G21" s="290">
        <v>0</v>
      </c>
      <c r="H21" s="971">
        <v>0</v>
      </c>
      <c r="I21" s="971"/>
    </row>
    <row r="22" spans="1:9" x14ac:dyDescent="0.25">
      <c r="A22" s="291" t="s">
        <v>783</v>
      </c>
      <c r="B22" s="292">
        <v>0</v>
      </c>
      <c r="C22" s="293"/>
      <c r="D22" s="293"/>
      <c r="E22" s="293"/>
      <c r="F22" s="293"/>
      <c r="G22" s="294"/>
      <c r="H22" s="970">
        <v>0</v>
      </c>
      <c r="I22" s="970"/>
    </row>
    <row r="23" spans="1:9" x14ac:dyDescent="0.25">
      <c r="A23" s="291" t="s">
        <v>784</v>
      </c>
      <c r="B23" s="295">
        <v>0</v>
      </c>
      <c r="C23" s="296"/>
      <c r="D23" s="296"/>
      <c r="E23" s="296"/>
      <c r="F23" s="296"/>
      <c r="G23" s="297"/>
      <c r="H23" s="970">
        <v>0</v>
      </c>
      <c r="I23" s="970"/>
    </row>
    <row r="24" spans="1:9" x14ac:dyDescent="0.25">
      <c r="A24" s="291" t="s">
        <v>785</v>
      </c>
      <c r="B24" s="298">
        <v>0</v>
      </c>
      <c r="C24" s="299"/>
      <c r="D24" s="299"/>
      <c r="E24" s="299"/>
      <c r="F24" s="299"/>
      <c r="G24" s="300"/>
      <c r="H24" s="970">
        <v>0</v>
      </c>
      <c r="I24" s="970"/>
    </row>
    <row r="25" spans="1:9" x14ac:dyDescent="0.25">
      <c r="A25" s="289" t="s">
        <v>786</v>
      </c>
      <c r="B25" s="290">
        <v>0</v>
      </c>
      <c r="C25" s="290">
        <v>0</v>
      </c>
      <c r="D25" s="290">
        <v>0</v>
      </c>
      <c r="E25" s="290">
        <v>0</v>
      </c>
      <c r="F25" s="290">
        <v>0</v>
      </c>
      <c r="G25" s="290">
        <v>0</v>
      </c>
      <c r="H25" s="971">
        <v>0</v>
      </c>
      <c r="I25" s="971"/>
    </row>
    <row r="26" spans="1:9" x14ac:dyDescent="0.25">
      <c r="A26" s="291" t="s">
        <v>787</v>
      </c>
      <c r="B26" s="292">
        <v>0</v>
      </c>
      <c r="C26" s="293"/>
      <c r="D26" s="293"/>
      <c r="E26" s="293"/>
      <c r="F26" s="293"/>
      <c r="G26" s="294"/>
      <c r="H26" s="970">
        <v>0</v>
      </c>
      <c r="I26" s="970"/>
    </row>
    <row r="27" spans="1:9" x14ac:dyDescent="0.25">
      <c r="A27" s="291" t="s">
        <v>788</v>
      </c>
      <c r="B27" s="295">
        <v>0</v>
      </c>
      <c r="C27" s="296"/>
      <c r="D27" s="296"/>
      <c r="E27" s="296"/>
      <c r="F27" s="296"/>
      <c r="G27" s="297"/>
      <c r="H27" s="970">
        <v>0</v>
      </c>
      <c r="I27" s="970"/>
    </row>
    <row r="28" spans="1:9" x14ac:dyDescent="0.25">
      <c r="A28" s="291" t="s">
        <v>789</v>
      </c>
      <c r="B28" s="295">
        <v>0</v>
      </c>
      <c r="C28" s="296"/>
      <c r="D28" s="296"/>
      <c r="E28" s="296"/>
      <c r="F28" s="296"/>
      <c r="G28" s="297"/>
      <c r="H28" s="970">
        <v>0</v>
      </c>
      <c r="I28" s="970"/>
    </row>
    <row r="29" spans="1:9" x14ac:dyDescent="0.25">
      <c r="A29" s="291" t="s">
        <v>790</v>
      </c>
      <c r="B29" s="295">
        <v>0</v>
      </c>
      <c r="C29" s="296"/>
      <c r="D29" s="296"/>
      <c r="E29" s="296"/>
      <c r="F29" s="296"/>
      <c r="G29" s="297"/>
      <c r="H29" s="970">
        <v>0</v>
      </c>
      <c r="I29" s="970"/>
    </row>
    <row r="30" spans="1:9" x14ac:dyDescent="0.25">
      <c r="A30" s="291" t="s">
        <v>488</v>
      </c>
      <c r="B30" s="295">
        <v>0</v>
      </c>
      <c r="C30" s="296"/>
      <c r="D30" s="296"/>
      <c r="E30" s="296"/>
      <c r="F30" s="296"/>
      <c r="G30" s="297"/>
      <c r="H30" s="970">
        <v>0</v>
      </c>
      <c r="I30" s="970"/>
    </row>
    <row r="31" spans="1:9" x14ac:dyDescent="0.25">
      <c r="A31" s="291" t="s">
        <v>492</v>
      </c>
      <c r="B31" s="295">
        <v>0</v>
      </c>
      <c r="C31" s="296"/>
      <c r="D31" s="296"/>
      <c r="E31" s="296"/>
      <c r="F31" s="296"/>
      <c r="G31" s="297"/>
      <c r="H31" s="970">
        <v>0</v>
      </c>
      <c r="I31" s="970"/>
    </row>
    <row r="32" spans="1:9" x14ac:dyDescent="0.25">
      <c r="A32" s="291" t="s">
        <v>496</v>
      </c>
      <c r="B32" s="295">
        <v>0</v>
      </c>
      <c r="C32" s="296"/>
      <c r="D32" s="296"/>
      <c r="E32" s="296"/>
      <c r="F32" s="296"/>
      <c r="G32" s="297"/>
      <c r="H32" s="970">
        <v>0</v>
      </c>
      <c r="I32" s="970"/>
    </row>
    <row r="33" spans="1:9" x14ac:dyDescent="0.25">
      <c r="A33" s="291" t="s">
        <v>791</v>
      </c>
      <c r="B33" s="298">
        <v>0</v>
      </c>
      <c r="C33" s="299"/>
      <c r="D33" s="299"/>
      <c r="E33" s="299"/>
      <c r="F33" s="299"/>
      <c r="G33" s="300"/>
      <c r="H33" s="970">
        <v>0</v>
      </c>
      <c r="I33" s="970"/>
    </row>
    <row r="34" spans="1:9" x14ac:dyDescent="0.25">
      <c r="A34" s="289" t="s">
        <v>792</v>
      </c>
      <c r="B34" s="290">
        <v>0</v>
      </c>
      <c r="C34" s="290">
        <v>0</v>
      </c>
      <c r="D34" s="290">
        <v>0</v>
      </c>
      <c r="E34" s="290">
        <v>0</v>
      </c>
      <c r="F34" s="290">
        <v>0</v>
      </c>
      <c r="G34" s="290">
        <v>0</v>
      </c>
      <c r="H34" s="971">
        <v>0</v>
      </c>
      <c r="I34" s="971"/>
    </row>
    <row r="35" spans="1:9" x14ac:dyDescent="0.25">
      <c r="A35" s="301" t="s">
        <v>793</v>
      </c>
      <c r="B35" s="292">
        <v>0</v>
      </c>
      <c r="C35" s="293"/>
      <c r="D35" s="293"/>
      <c r="E35" s="293"/>
      <c r="F35" s="293"/>
      <c r="G35" s="294"/>
      <c r="H35" s="970">
        <v>0</v>
      </c>
      <c r="I35" s="970"/>
    </row>
    <row r="36" spans="1:9" x14ac:dyDescent="0.25">
      <c r="A36" s="302" t="s">
        <v>794</v>
      </c>
      <c r="B36" s="298">
        <v>0</v>
      </c>
      <c r="C36" s="299"/>
      <c r="D36" s="299"/>
      <c r="E36" s="299"/>
      <c r="F36" s="299"/>
      <c r="G36" s="300"/>
      <c r="H36" s="970">
        <v>0</v>
      </c>
      <c r="I36" s="970"/>
    </row>
    <row r="37" spans="1:9" x14ac:dyDescent="0.25">
      <c r="A37" s="303" t="s">
        <v>795</v>
      </c>
      <c r="B37" s="304">
        <v>0</v>
      </c>
      <c r="C37" s="304">
        <v>0</v>
      </c>
      <c r="D37" s="304">
        <v>0</v>
      </c>
      <c r="E37" s="304">
        <v>0</v>
      </c>
      <c r="F37" s="304">
        <v>0</v>
      </c>
      <c r="G37" s="304">
        <v>0</v>
      </c>
      <c r="H37" s="972">
        <v>0</v>
      </c>
      <c r="I37" s="972"/>
    </row>
    <row r="38" spans="1:9" ht="7.9" customHeight="1" x14ac:dyDescent="0.25">
      <c r="A38" s="305"/>
      <c r="B38" s="306"/>
      <c r="C38" s="306"/>
      <c r="D38" s="306"/>
      <c r="E38" s="306"/>
      <c r="F38" s="306"/>
      <c r="G38" s="306"/>
      <c r="H38" s="306"/>
      <c r="I38" s="245"/>
    </row>
    <row r="39" spans="1:9" x14ac:dyDescent="0.25">
      <c r="A39" s="307" t="s">
        <v>796</v>
      </c>
      <c r="B39" s="305"/>
      <c r="C39" s="305"/>
      <c r="D39" s="305"/>
      <c r="E39" s="305"/>
      <c r="F39" s="305"/>
      <c r="G39" s="305"/>
      <c r="H39" s="305"/>
      <c r="I39" s="245"/>
    </row>
    <row r="40" spans="1:9" x14ac:dyDescent="0.25">
      <c r="A40" s="973"/>
      <c r="B40" s="974"/>
      <c r="C40" s="974"/>
      <c r="D40" s="974"/>
      <c r="E40" s="974"/>
      <c r="F40" s="974"/>
      <c r="G40" s="974"/>
      <c r="H40" s="974"/>
      <c r="I40" s="975"/>
    </row>
    <row r="41" spans="1:9" x14ac:dyDescent="0.25">
      <c r="A41" s="976"/>
      <c r="B41" s="977"/>
      <c r="C41" s="977"/>
      <c r="D41" s="977"/>
      <c r="E41" s="977"/>
      <c r="F41" s="977"/>
      <c r="G41" s="977"/>
      <c r="H41" s="977"/>
      <c r="I41" s="978"/>
    </row>
    <row r="42" spans="1:9" x14ac:dyDescent="0.25">
      <c r="A42" s="976"/>
      <c r="B42" s="977"/>
      <c r="C42" s="977"/>
      <c r="D42" s="977"/>
      <c r="E42" s="977"/>
      <c r="F42" s="977"/>
      <c r="G42" s="977"/>
      <c r="H42" s="977"/>
      <c r="I42" s="978"/>
    </row>
    <row r="43" spans="1:9" x14ac:dyDescent="0.25">
      <c r="A43" s="976"/>
      <c r="B43" s="977"/>
      <c r="C43" s="977"/>
      <c r="D43" s="977"/>
      <c r="E43" s="977"/>
      <c r="F43" s="977"/>
      <c r="G43" s="977"/>
      <c r="H43" s="977"/>
      <c r="I43" s="978"/>
    </row>
    <row r="44" spans="1:9" x14ac:dyDescent="0.25">
      <c r="A44" s="979"/>
      <c r="B44" s="980"/>
      <c r="C44" s="980"/>
      <c r="D44" s="980"/>
      <c r="E44" s="980"/>
      <c r="F44" s="980"/>
      <c r="G44" s="980"/>
      <c r="H44" s="980"/>
      <c r="I44" s="981"/>
    </row>
  </sheetData>
  <mergeCells count="47">
    <mergeCell ref="B2:I2"/>
    <mergeCell ref="B3:I3"/>
    <mergeCell ref="B4:I4"/>
    <mergeCell ref="B5:I5"/>
    <mergeCell ref="B6:C6"/>
    <mergeCell ref="D6:E6"/>
    <mergeCell ref="H6:I6"/>
    <mergeCell ref="B7:D7"/>
    <mergeCell ref="B8:I8"/>
    <mergeCell ref="B9:I9"/>
    <mergeCell ref="B10:C10"/>
    <mergeCell ref="E10:F10"/>
    <mergeCell ref="G10:I10"/>
    <mergeCell ref="A16:A20"/>
    <mergeCell ref="C16:E16"/>
    <mergeCell ref="F16:G16"/>
    <mergeCell ref="H16:I16"/>
    <mergeCell ref="B17:B20"/>
    <mergeCell ref="B11:C11"/>
    <mergeCell ref="E11:F11"/>
    <mergeCell ref="G11:I11"/>
    <mergeCell ref="A13:I13"/>
    <mergeCell ref="A14:I14"/>
    <mergeCell ref="H26:I26"/>
    <mergeCell ref="C17:C20"/>
    <mergeCell ref="D17:D20"/>
    <mergeCell ref="E17:E20"/>
    <mergeCell ref="F17:F20"/>
    <mergeCell ref="G17:G20"/>
    <mergeCell ref="H17:I20"/>
    <mergeCell ref="H21:I21"/>
    <mergeCell ref="H22:I22"/>
    <mergeCell ref="H23:I23"/>
    <mergeCell ref="H24:I24"/>
    <mergeCell ref="H25:I25"/>
    <mergeCell ref="A40:I44"/>
    <mergeCell ref="H27:I27"/>
    <mergeCell ref="H28:I28"/>
    <mergeCell ref="H29:I29"/>
    <mergeCell ref="H30:I30"/>
    <mergeCell ref="H31:I31"/>
    <mergeCell ref="H32:I32"/>
    <mergeCell ref="H33:I33"/>
    <mergeCell ref="H34:I34"/>
    <mergeCell ref="H35:I35"/>
    <mergeCell ref="H36:I36"/>
    <mergeCell ref="H37:I3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4433A-AB18-4FD9-B5E6-AD547BA6CAF7}">
  <dimension ref="A2:I36"/>
  <sheetViews>
    <sheetView workbookViewId="0">
      <selection activeCell="F15" sqref="A1:XFD1048576"/>
    </sheetView>
  </sheetViews>
  <sheetFormatPr baseColWidth="10" defaultRowHeight="15" x14ac:dyDescent="0.25"/>
  <cols>
    <col min="1" max="1" width="36.85546875" customWidth="1"/>
    <col min="2" max="3" width="13.85546875" customWidth="1"/>
    <col min="4" max="4" width="12.7109375" customWidth="1"/>
    <col min="5" max="5" width="15.28515625" customWidth="1"/>
    <col min="6" max="6" width="14" customWidth="1"/>
    <col min="7" max="7" width="19.42578125" customWidth="1"/>
    <col min="8" max="8" width="15.28515625" customWidth="1"/>
    <col min="9" max="9" width="15" customWidth="1"/>
  </cols>
  <sheetData>
    <row r="2" spans="1:9" x14ac:dyDescent="0.25">
      <c r="A2" s="198" t="s">
        <v>466</v>
      </c>
      <c r="B2" s="619">
        <v>4444444444</v>
      </c>
      <c r="C2" s="619"/>
      <c r="D2" s="619"/>
      <c r="E2" s="619"/>
      <c r="F2" s="619"/>
      <c r="G2" s="619"/>
      <c r="H2" s="619"/>
      <c r="I2" s="619"/>
    </row>
    <row r="3" spans="1:9" x14ac:dyDescent="0.25">
      <c r="A3" s="198"/>
      <c r="B3" s="620">
        <v>56565665</v>
      </c>
      <c r="C3" s="620"/>
      <c r="D3" s="620"/>
      <c r="E3" s="620"/>
      <c r="F3" s="620"/>
      <c r="G3" s="620"/>
      <c r="H3" s="620"/>
      <c r="I3" s="620"/>
    </row>
    <row r="4" spans="1:9" x14ac:dyDescent="0.25">
      <c r="A4" s="198" t="s">
        <v>364</v>
      </c>
      <c r="B4" s="620" t="s">
        <v>6</v>
      </c>
      <c r="C4" s="620"/>
      <c r="D4" s="620"/>
      <c r="E4" s="620"/>
      <c r="F4" s="620"/>
      <c r="G4" s="620"/>
      <c r="H4" s="620"/>
      <c r="I4" s="620"/>
    </row>
    <row r="5" spans="1:9" x14ac:dyDescent="0.25">
      <c r="A5" s="198" t="s">
        <v>365</v>
      </c>
      <c r="B5" s="620" t="s">
        <v>699</v>
      </c>
      <c r="C5" s="620"/>
      <c r="D5" s="620"/>
      <c r="E5" s="620"/>
      <c r="F5" s="620"/>
      <c r="G5" s="620"/>
      <c r="H5" s="620"/>
      <c r="I5" s="620"/>
    </row>
    <row r="6" spans="1:9" x14ac:dyDescent="0.25">
      <c r="A6" s="198" t="s">
        <v>366</v>
      </c>
      <c r="B6" s="620">
        <v>125545</v>
      </c>
      <c r="C6" s="620"/>
      <c r="D6" s="616" t="s">
        <v>367</v>
      </c>
      <c r="E6" s="616"/>
      <c r="F6" s="209">
        <v>46022</v>
      </c>
      <c r="G6" s="616" t="s">
        <v>467</v>
      </c>
      <c r="H6" s="616"/>
      <c r="I6" s="284">
        <v>12</v>
      </c>
    </row>
    <row r="7" spans="1:9" x14ac:dyDescent="0.25">
      <c r="A7" s="204" t="s">
        <v>369</v>
      </c>
      <c r="B7" s="619" t="s">
        <v>8</v>
      </c>
      <c r="C7" s="619"/>
      <c r="D7" s="619"/>
      <c r="E7" s="200"/>
      <c r="F7" s="200"/>
      <c r="G7" s="200"/>
      <c r="H7" s="200"/>
      <c r="I7" s="197"/>
    </row>
    <row r="8" spans="1:9" x14ac:dyDescent="0.25">
      <c r="A8" s="200" t="s">
        <v>468</v>
      </c>
      <c r="B8" s="619" t="s">
        <v>35</v>
      </c>
      <c r="C8" s="619"/>
      <c r="D8" s="619"/>
      <c r="E8" s="619"/>
      <c r="F8" s="619"/>
      <c r="G8" s="619"/>
      <c r="H8" s="619"/>
      <c r="I8" s="619"/>
    </row>
    <row r="9" spans="1:9" x14ac:dyDescent="0.25">
      <c r="A9" s="200"/>
      <c r="B9" s="620" t="s">
        <v>36</v>
      </c>
      <c r="C9" s="620"/>
      <c r="D9" s="620"/>
      <c r="E9" s="620"/>
      <c r="F9" s="620"/>
      <c r="G9" s="620"/>
      <c r="H9" s="620"/>
      <c r="I9" s="620"/>
    </row>
    <row r="10" spans="1:9" x14ac:dyDescent="0.25">
      <c r="A10" s="200" t="s">
        <v>469</v>
      </c>
      <c r="B10" s="620" t="s">
        <v>40</v>
      </c>
      <c r="C10" s="620"/>
      <c r="D10" s="207"/>
      <c r="E10" s="611" t="s">
        <v>470</v>
      </c>
      <c r="F10" s="611"/>
      <c r="G10" s="619" t="s">
        <v>38</v>
      </c>
      <c r="H10" s="619"/>
      <c r="I10" s="619"/>
    </row>
    <row r="11" spans="1:9" x14ac:dyDescent="0.25">
      <c r="A11" s="200" t="s">
        <v>471</v>
      </c>
      <c r="B11" s="876">
        <v>44713</v>
      </c>
      <c r="C11" s="876"/>
      <c r="D11" s="242"/>
      <c r="E11" s="610" t="s">
        <v>472</v>
      </c>
      <c r="F11" s="610"/>
      <c r="G11" s="858">
        <v>45991</v>
      </c>
      <c r="H11" s="858"/>
      <c r="I11" s="858"/>
    </row>
    <row r="12" spans="1:9" ht="9" customHeight="1" x14ac:dyDescent="0.25"/>
    <row r="13" spans="1:9" x14ac:dyDescent="0.25">
      <c r="A13" s="985" t="s">
        <v>797</v>
      </c>
      <c r="B13" s="985"/>
      <c r="C13" s="985"/>
      <c r="D13" s="985"/>
      <c r="E13" s="985"/>
      <c r="F13" s="985"/>
      <c r="G13" s="985"/>
      <c r="H13" s="985"/>
      <c r="I13" s="985"/>
    </row>
    <row r="14" spans="1:9" x14ac:dyDescent="0.25">
      <c r="A14" s="986" t="s">
        <v>798</v>
      </c>
      <c r="B14" s="986"/>
      <c r="C14" s="986"/>
      <c r="D14" s="986"/>
      <c r="E14" s="986"/>
      <c r="F14" s="986"/>
      <c r="G14" s="986"/>
      <c r="H14" s="986"/>
      <c r="I14" s="986"/>
    </row>
    <row r="15" spans="1:9" ht="9" customHeight="1" x14ac:dyDescent="0.25">
      <c r="A15" s="287"/>
      <c r="B15" s="287"/>
      <c r="C15" s="287"/>
      <c r="D15" s="287"/>
      <c r="E15" s="287"/>
      <c r="F15" s="287"/>
      <c r="G15" s="287"/>
      <c r="H15" s="287"/>
      <c r="I15" s="287"/>
    </row>
    <row r="16" spans="1:9" x14ac:dyDescent="0.25">
      <c r="A16" s="987" t="s">
        <v>799</v>
      </c>
      <c r="B16" s="1001" t="s">
        <v>800</v>
      </c>
      <c r="C16" s="308" t="s">
        <v>682</v>
      </c>
      <c r="D16" s="1012" t="s">
        <v>801</v>
      </c>
      <c r="E16" s="1013"/>
      <c r="F16" s="1014"/>
      <c r="G16" s="1012" t="s">
        <v>802</v>
      </c>
      <c r="H16" s="1014"/>
      <c r="I16" s="309" t="s">
        <v>775</v>
      </c>
    </row>
    <row r="17" spans="1:9" x14ac:dyDescent="0.25">
      <c r="A17" s="988"/>
      <c r="B17" s="1002"/>
      <c r="C17" s="1001" t="s">
        <v>776</v>
      </c>
      <c r="D17" s="1001" t="s">
        <v>777</v>
      </c>
      <c r="E17" s="1001" t="s">
        <v>778</v>
      </c>
      <c r="F17" s="1001" t="s">
        <v>779</v>
      </c>
      <c r="G17" s="1001" t="s">
        <v>780</v>
      </c>
      <c r="H17" s="1006" t="s">
        <v>778</v>
      </c>
      <c r="I17" s="1009" t="s">
        <v>781</v>
      </c>
    </row>
    <row r="18" spans="1:9" x14ac:dyDescent="0.25">
      <c r="A18" s="988"/>
      <c r="B18" s="1002"/>
      <c r="C18" s="1002"/>
      <c r="D18" s="1002"/>
      <c r="E18" s="1002"/>
      <c r="F18" s="1002"/>
      <c r="G18" s="1004"/>
      <c r="H18" s="1007"/>
      <c r="I18" s="1010"/>
    </row>
    <row r="19" spans="1:9" x14ac:dyDescent="0.25">
      <c r="A19" s="988"/>
      <c r="B19" s="1002"/>
      <c r="C19" s="1002"/>
      <c r="D19" s="1002"/>
      <c r="E19" s="1002"/>
      <c r="F19" s="1002"/>
      <c r="G19" s="1004"/>
      <c r="H19" s="1007"/>
      <c r="I19" s="1010"/>
    </row>
    <row r="20" spans="1:9" x14ac:dyDescent="0.25">
      <c r="A20" s="988"/>
      <c r="B20" s="1002"/>
      <c r="C20" s="1002"/>
      <c r="D20" s="1002"/>
      <c r="E20" s="1002"/>
      <c r="F20" s="1002"/>
      <c r="G20" s="1004"/>
      <c r="H20" s="1007"/>
      <c r="I20" s="1010"/>
    </row>
    <row r="21" spans="1:9" ht="22.15" customHeight="1" x14ac:dyDescent="0.25">
      <c r="A21" s="989"/>
      <c r="B21" s="1003"/>
      <c r="C21" s="1003"/>
      <c r="D21" s="1003"/>
      <c r="E21" s="1003"/>
      <c r="F21" s="1003"/>
      <c r="G21" s="1005"/>
      <c r="H21" s="1008"/>
      <c r="I21" s="1011"/>
    </row>
    <row r="22" spans="1:9" x14ac:dyDescent="0.25">
      <c r="A22" s="310" t="s">
        <v>803</v>
      </c>
      <c r="B22" s="311"/>
      <c r="C22" s="312">
        <v>0</v>
      </c>
      <c r="D22" s="313"/>
      <c r="E22" s="314"/>
      <c r="F22" s="313"/>
      <c r="G22" s="315"/>
      <c r="H22" s="316"/>
      <c r="I22" s="317">
        <v>0</v>
      </c>
    </row>
    <row r="23" spans="1:9" x14ac:dyDescent="0.25">
      <c r="A23" s="310" t="s">
        <v>804</v>
      </c>
      <c r="B23" s="311"/>
      <c r="C23" s="312">
        <v>0</v>
      </c>
      <c r="D23" s="313"/>
      <c r="E23" s="314"/>
      <c r="F23" s="313"/>
      <c r="G23" s="315"/>
      <c r="H23" s="318"/>
      <c r="I23" s="317">
        <v>0</v>
      </c>
    </row>
    <row r="24" spans="1:9" x14ac:dyDescent="0.25">
      <c r="A24" s="310" t="s">
        <v>805</v>
      </c>
      <c r="B24" s="311"/>
      <c r="C24" s="312">
        <v>0</v>
      </c>
      <c r="D24" s="313"/>
      <c r="E24" s="314"/>
      <c r="F24" s="313"/>
      <c r="G24" s="315"/>
      <c r="H24" s="318"/>
      <c r="I24" s="317">
        <v>0</v>
      </c>
    </row>
    <row r="25" spans="1:9" x14ac:dyDescent="0.25">
      <c r="A25" s="310" t="s">
        <v>806</v>
      </c>
      <c r="B25" s="319"/>
      <c r="C25" s="320">
        <v>0</v>
      </c>
      <c r="D25" s="321"/>
      <c r="E25" s="322"/>
      <c r="F25" s="321"/>
      <c r="G25" s="323"/>
      <c r="H25" s="324"/>
      <c r="I25" s="317">
        <v>0</v>
      </c>
    </row>
    <row r="26" spans="1:9" ht="25.5" x14ac:dyDescent="0.25">
      <c r="A26" s="325" t="s">
        <v>807</v>
      </c>
      <c r="B26" s="326"/>
      <c r="C26" s="327">
        <v>0</v>
      </c>
      <c r="D26" s="328">
        <v>0</v>
      </c>
      <c r="E26" s="328">
        <v>0</v>
      </c>
      <c r="F26" s="328">
        <v>0</v>
      </c>
      <c r="G26" s="329">
        <v>0</v>
      </c>
      <c r="H26" s="330">
        <v>0</v>
      </c>
      <c r="I26" s="328">
        <v>0</v>
      </c>
    </row>
    <row r="27" spans="1:9" ht="9.6" customHeight="1" x14ac:dyDescent="0.25">
      <c r="A27" s="331"/>
      <c r="B27" s="305"/>
      <c r="C27" s="305"/>
      <c r="D27" s="332"/>
      <c r="E27" s="332"/>
      <c r="F27" s="332"/>
      <c r="G27" s="332"/>
      <c r="H27" s="332"/>
      <c r="I27" s="332"/>
    </row>
    <row r="28" spans="1:9" x14ac:dyDescent="0.25">
      <c r="A28" s="333" t="s">
        <v>808</v>
      </c>
      <c r="B28" s="305"/>
      <c r="C28" s="305"/>
      <c r="D28" s="305"/>
      <c r="E28" s="305"/>
      <c r="F28" s="305"/>
      <c r="G28" s="305"/>
      <c r="H28" s="305"/>
      <c r="I28" s="305"/>
    </row>
    <row r="29" spans="1:9" x14ac:dyDescent="0.25">
      <c r="A29" s="305" t="s">
        <v>796</v>
      </c>
      <c r="B29" s="305"/>
      <c r="C29" s="305"/>
      <c r="D29" s="305"/>
      <c r="E29" s="305"/>
      <c r="F29" s="305"/>
      <c r="G29" s="305"/>
      <c r="H29" s="305"/>
      <c r="I29" s="305"/>
    </row>
    <row r="30" spans="1:9" x14ac:dyDescent="0.25">
      <c r="A30" s="992"/>
      <c r="B30" s="993"/>
      <c r="C30" s="993"/>
      <c r="D30" s="993"/>
      <c r="E30" s="993"/>
      <c r="F30" s="993"/>
      <c r="G30" s="993"/>
      <c r="H30" s="993"/>
      <c r="I30" s="994"/>
    </row>
    <row r="31" spans="1:9" x14ac:dyDescent="0.25">
      <c r="A31" s="995"/>
      <c r="B31" s="996"/>
      <c r="C31" s="996"/>
      <c r="D31" s="996"/>
      <c r="E31" s="996"/>
      <c r="F31" s="996"/>
      <c r="G31" s="996"/>
      <c r="H31" s="996"/>
      <c r="I31" s="997"/>
    </row>
    <row r="32" spans="1:9" x14ac:dyDescent="0.25">
      <c r="A32" s="995"/>
      <c r="B32" s="996"/>
      <c r="C32" s="996"/>
      <c r="D32" s="996"/>
      <c r="E32" s="996"/>
      <c r="F32" s="996"/>
      <c r="G32" s="996"/>
      <c r="H32" s="996"/>
      <c r="I32" s="997"/>
    </row>
    <row r="33" spans="1:9" x14ac:dyDescent="0.25">
      <c r="A33" s="995"/>
      <c r="B33" s="996"/>
      <c r="C33" s="996"/>
      <c r="D33" s="996"/>
      <c r="E33" s="996"/>
      <c r="F33" s="996"/>
      <c r="G33" s="996"/>
      <c r="H33" s="996"/>
      <c r="I33" s="997"/>
    </row>
    <row r="34" spans="1:9" x14ac:dyDescent="0.25">
      <c r="A34" s="995"/>
      <c r="B34" s="996"/>
      <c r="C34" s="996"/>
      <c r="D34" s="996"/>
      <c r="E34" s="996"/>
      <c r="F34" s="996"/>
      <c r="G34" s="996"/>
      <c r="H34" s="996"/>
      <c r="I34" s="997"/>
    </row>
    <row r="35" spans="1:9" x14ac:dyDescent="0.25">
      <c r="A35" s="995"/>
      <c r="B35" s="996"/>
      <c r="C35" s="996"/>
      <c r="D35" s="996"/>
      <c r="E35" s="996"/>
      <c r="F35" s="996"/>
      <c r="G35" s="996"/>
      <c r="H35" s="996"/>
      <c r="I35" s="997"/>
    </row>
    <row r="36" spans="1:9" x14ac:dyDescent="0.25">
      <c r="A36" s="998"/>
      <c r="B36" s="999"/>
      <c r="C36" s="999"/>
      <c r="D36" s="999"/>
      <c r="E36" s="999"/>
      <c r="F36" s="999"/>
      <c r="G36" s="999"/>
      <c r="H36" s="999"/>
      <c r="I36" s="1000"/>
    </row>
  </sheetData>
  <mergeCells count="30">
    <mergeCell ref="B2:I2"/>
    <mergeCell ref="B3:I3"/>
    <mergeCell ref="B4:I4"/>
    <mergeCell ref="B5:I5"/>
    <mergeCell ref="B6:C6"/>
    <mergeCell ref="D6:E6"/>
    <mergeCell ref="G6:H6"/>
    <mergeCell ref="B7:D7"/>
    <mergeCell ref="B8:I8"/>
    <mergeCell ref="B9:I9"/>
    <mergeCell ref="B10:C10"/>
    <mergeCell ref="E10:F10"/>
    <mergeCell ref="G10:I10"/>
    <mergeCell ref="B11:C11"/>
    <mergeCell ref="E11:F11"/>
    <mergeCell ref="G11:I11"/>
    <mergeCell ref="A13:I13"/>
    <mergeCell ref="A14:I14"/>
    <mergeCell ref="A30:I36"/>
    <mergeCell ref="D17:D21"/>
    <mergeCell ref="E17:E21"/>
    <mergeCell ref="F17:F21"/>
    <mergeCell ref="G17:G21"/>
    <mergeCell ref="H17:H21"/>
    <mergeCell ref="I17:I21"/>
    <mergeCell ref="A16:A21"/>
    <mergeCell ref="B16:B21"/>
    <mergeCell ref="D16:F16"/>
    <mergeCell ref="G16:H16"/>
    <mergeCell ref="C17:C21"/>
  </mergeCells>
  <dataValidations count="1">
    <dataValidation type="list" allowBlank="1" showInputMessage="1" showErrorMessage="1" sqref="B22:B25" xr:uid="{F81C7863-589E-4521-BFF4-98BC23F1FBD4}">
      <formula1>"i,m,a"</formula1>
    </dataValidation>
  </dataValidation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D3A6D-9419-4F71-8B62-B51B63519D16}">
  <dimension ref="A2:I44"/>
  <sheetViews>
    <sheetView workbookViewId="0">
      <selection activeCell="G15" sqref="G15"/>
    </sheetView>
  </sheetViews>
  <sheetFormatPr baseColWidth="10" defaultRowHeight="15" x14ac:dyDescent="0.25"/>
  <cols>
    <col min="1" max="1" width="27.5703125" customWidth="1"/>
    <col min="2" max="2" width="8.7109375" customWidth="1"/>
    <col min="3" max="3" width="6.5703125" customWidth="1"/>
    <col min="4" max="4" width="16.5703125" customWidth="1"/>
    <col min="5" max="5" width="14.5703125" customWidth="1"/>
    <col min="6" max="6" width="14" customWidth="1"/>
    <col min="7" max="7" width="18.5703125" customWidth="1"/>
    <col min="8" max="8" width="17.140625" customWidth="1"/>
    <col min="9" max="9" width="6.140625" customWidth="1"/>
  </cols>
  <sheetData>
    <row r="2" spans="1:9" x14ac:dyDescent="0.25">
      <c r="A2" s="198" t="s">
        <v>466</v>
      </c>
      <c r="B2" s="619">
        <v>4444444444</v>
      </c>
      <c r="C2" s="619"/>
      <c r="D2" s="619"/>
      <c r="E2" s="619"/>
      <c r="F2" s="619"/>
      <c r="G2" s="619"/>
      <c r="H2" s="619"/>
      <c r="I2" s="619"/>
    </row>
    <row r="3" spans="1:9" x14ac:dyDescent="0.25">
      <c r="A3" s="198"/>
      <c r="B3" s="620">
        <v>56565665</v>
      </c>
      <c r="C3" s="620"/>
      <c r="D3" s="620"/>
      <c r="E3" s="620"/>
      <c r="F3" s="620"/>
      <c r="G3" s="620"/>
      <c r="H3" s="620"/>
      <c r="I3" s="620"/>
    </row>
    <row r="4" spans="1:9" x14ac:dyDescent="0.25">
      <c r="A4" s="198" t="s">
        <v>364</v>
      </c>
      <c r="B4" s="620" t="s">
        <v>6</v>
      </c>
      <c r="C4" s="620"/>
      <c r="D4" s="620"/>
      <c r="E4" s="620"/>
      <c r="F4" s="620"/>
      <c r="G4" s="620"/>
      <c r="H4" s="620"/>
      <c r="I4" s="620"/>
    </row>
    <row r="5" spans="1:9" x14ac:dyDescent="0.25">
      <c r="A5" s="198" t="s">
        <v>365</v>
      </c>
      <c r="B5" s="620" t="s">
        <v>699</v>
      </c>
      <c r="C5" s="620"/>
      <c r="D5" s="620"/>
      <c r="E5" s="620"/>
      <c r="F5" s="620"/>
      <c r="G5" s="620"/>
      <c r="H5" s="620"/>
      <c r="I5" s="620"/>
    </row>
    <row r="6" spans="1:9" x14ac:dyDescent="0.25">
      <c r="A6" s="198" t="s">
        <v>366</v>
      </c>
      <c r="B6" s="619">
        <v>125545</v>
      </c>
      <c r="C6" s="619"/>
      <c r="D6" s="619"/>
      <c r="E6" s="47" t="s">
        <v>367</v>
      </c>
      <c r="F6" s="209">
        <v>46022</v>
      </c>
      <c r="G6" s="611" t="s">
        <v>467</v>
      </c>
      <c r="H6" s="611"/>
      <c r="I6" s="334">
        <v>12</v>
      </c>
    </row>
    <row r="7" spans="1:9" x14ac:dyDescent="0.25">
      <c r="A7" s="204" t="s">
        <v>369</v>
      </c>
      <c r="B7" s="620" t="s">
        <v>8</v>
      </c>
      <c r="C7" s="620"/>
      <c r="D7" s="620"/>
      <c r="E7" s="200"/>
      <c r="F7" s="200"/>
      <c r="G7" s="200"/>
      <c r="H7" s="200"/>
      <c r="I7" s="197"/>
    </row>
    <row r="8" spans="1:9" x14ac:dyDescent="0.25">
      <c r="A8" s="200" t="s">
        <v>468</v>
      </c>
      <c r="B8" s="619" t="s">
        <v>35</v>
      </c>
      <c r="C8" s="619"/>
      <c r="D8" s="619"/>
      <c r="E8" s="619"/>
      <c r="F8" s="619"/>
      <c r="G8" s="619"/>
      <c r="H8" s="619"/>
      <c r="I8" s="619"/>
    </row>
    <row r="9" spans="1:9" x14ac:dyDescent="0.25">
      <c r="A9" s="200"/>
      <c r="B9" s="1037" t="s">
        <v>36</v>
      </c>
      <c r="C9" s="1037"/>
      <c r="D9" s="1037"/>
      <c r="E9" s="1037"/>
      <c r="F9" s="1037"/>
      <c r="G9" s="1037"/>
      <c r="H9" s="1037"/>
      <c r="I9" s="1037"/>
    </row>
    <row r="10" spans="1:9" x14ac:dyDescent="0.25">
      <c r="A10" s="200" t="s">
        <v>469</v>
      </c>
      <c r="B10" s="619" t="s">
        <v>40</v>
      </c>
      <c r="C10" s="619"/>
      <c r="D10" s="619"/>
      <c r="E10" s="611" t="s">
        <v>470</v>
      </c>
      <c r="F10" s="611"/>
      <c r="G10" s="1038" t="s">
        <v>38</v>
      </c>
      <c r="H10" s="1038"/>
      <c r="I10" s="1038"/>
    </row>
    <row r="11" spans="1:9" x14ac:dyDescent="0.25">
      <c r="A11" s="200" t="s">
        <v>471</v>
      </c>
      <c r="B11" s="876">
        <v>44713</v>
      </c>
      <c r="C11" s="876"/>
      <c r="D11" s="876"/>
      <c r="E11" s="610" t="s">
        <v>472</v>
      </c>
      <c r="F11" s="610"/>
      <c r="G11" s="1036">
        <v>45991</v>
      </c>
      <c r="H11" s="1036"/>
      <c r="I11" s="1036"/>
    </row>
    <row r="12" spans="1:9" ht="9" customHeight="1" x14ac:dyDescent="0.25"/>
    <row r="13" spans="1:9" x14ac:dyDescent="0.25">
      <c r="A13" s="691" t="s">
        <v>809</v>
      </c>
      <c r="B13" s="691"/>
      <c r="C13" s="691"/>
      <c r="D13" s="691"/>
      <c r="E13" s="691"/>
      <c r="F13" s="691"/>
      <c r="G13" s="691"/>
      <c r="H13" s="691"/>
      <c r="I13" s="691"/>
    </row>
    <row r="14" spans="1:9" x14ac:dyDescent="0.25">
      <c r="A14" s="691" t="s">
        <v>810</v>
      </c>
      <c r="B14" s="691"/>
      <c r="C14" s="691"/>
      <c r="D14" s="691"/>
      <c r="E14" s="691"/>
      <c r="F14" s="691"/>
      <c r="G14" s="691"/>
      <c r="H14" s="691"/>
      <c r="I14" s="691"/>
    </row>
    <row r="15" spans="1:9" x14ac:dyDescent="0.25">
      <c r="A15" s="31"/>
      <c r="B15" s="31"/>
      <c r="C15" s="31"/>
      <c r="D15" s="31"/>
      <c r="E15" s="31"/>
      <c r="F15" s="31"/>
      <c r="G15" s="31"/>
      <c r="H15" s="31"/>
      <c r="I15" s="31"/>
    </row>
    <row r="16" spans="1:9" x14ac:dyDescent="0.25">
      <c r="A16" s="691" t="s">
        <v>811</v>
      </c>
      <c r="B16" s="691"/>
      <c r="C16" s="691"/>
      <c r="D16" s="691"/>
      <c r="E16" s="691"/>
      <c r="F16" s="691"/>
      <c r="G16" s="691"/>
      <c r="H16" s="691"/>
      <c r="I16" s="691"/>
    </row>
    <row r="17" spans="1:9" x14ac:dyDescent="0.25">
      <c r="A17" s="1025" t="s">
        <v>812</v>
      </c>
      <c r="B17" s="1026"/>
      <c r="C17" s="1027"/>
      <c r="D17" s="1031" t="s">
        <v>813</v>
      </c>
      <c r="E17" s="1032"/>
      <c r="F17" s="1031" t="s">
        <v>813</v>
      </c>
      <c r="G17" s="1033"/>
      <c r="H17" s="1034" t="s">
        <v>814</v>
      </c>
      <c r="I17" s="1034"/>
    </row>
    <row r="18" spans="1:9" x14ac:dyDescent="0.25">
      <c r="A18" s="1028"/>
      <c r="B18" s="1029"/>
      <c r="C18" s="1030"/>
      <c r="D18" s="1017">
        <f>IF(ISBLANK([1]IDENTIFICATION!F11),"",[1]IDENTIFICATION!F11)</f>
        <v>46022</v>
      </c>
      <c r="E18" s="1035"/>
      <c r="F18" s="1017">
        <f>IF(ISBLANK([1]IDENTIFICATION!B10),"",[1]IDENTIFICATION!B10)</f>
        <v>46022</v>
      </c>
      <c r="G18" s="1018"/>
      <c r="H18" s="335" t="s">
        <v>815</v>
      </c>
      <c r="I18" s="335" t="s">
        <v>816</v>
      </c>
    </row>
    <row r="19" spans="1:9" x14ac:dyDescent="0.25">
      <c r="A19" s="880" t="s">
        <v>817</v>
      </c>
      <c r="B19" s="880"/>
      <c r="C19" s="880"/>
      <c r="D19" s="1019">
        <v>0</v>
      </c>
      <c r="E19" s="1019"/>
      <c r="F19" s="1020">
        <v>0</v>
      </c>
      <c r="G19" s="1021"/>
      <c r="H19" s="336">
        <v>0</v>
      </c>
      <c r="I19" s="337">
        <v>0</v>
      </c>
    </row>
    <row r="20" spans="1:9" x14ac:dyDescent="0.25">
      <c r="A20" s="880" t="s">
        <v>818</v>
      </c>
      <c r="B20" s="880"/>
      <c r="C20" s="880"/>
      <c r="D20" s="1019">
        <v>0</v>
      </c>
      <c r="E20" s="1019"/>
      <c r="F20" s="1020">
        <v>0</v>
      </c>
      <c r="G20" s="1021"/>
      <c r="H20" s="336">
        <v>0</v>
      </c>
      <c r="I20" s="337">
        <v>0</v>
      </c>
    </row>
    <row r="21" spans="1:9" x14ac:dyDescent="0.25">
      <c r="A21" s="1015" t="s">
        <v>819</v>
      </c>
      <c r="B21" s="1015"/>
      <c r="C21" s="1015"/>
      <c r="D21" s="1022">
        <v>0</v>
      </c>
      <c r="E21" s="1022"/>
      <c r="F21" s="1023">
        <v>0</v>
      </c>
      <c r="G21" s="1024"/>
      <c r="H21" s="340">
        <v>0</v>
      </c>
      <c r="I21" s="341">
        <v>0</v>
      </c>
    </row>
    <row r="22" spans="1:9" x14ac:dyDescent="0.25">
      <c r="A22" s="880" t="s">
        <v>820</v>
      </c>
      <c r="B22" s="880"/>
      <c r="C22" s="880"/>
      <c r="D22" s="1019">
        <v>0</v>
      </c>
      <c r="E22" s="1019"/>
      <c r="F22" s="1020">
        <v>0</v>
      </c>
      <c r="G22" s="1021"/>
      <c r="H22" s="336">
        <v>0</v>
      </c>
      <c r="I22" s="337">
        <v>0</v>
      </c>
    </row>
    <row r="23" spans="1:9" x14ac:dyDescent="0.25">
      <c r="A23" s="1015" t="s">
        <v>821</v>
      </c>
      <c r="B23" s="1015"/>
      <c r="C23" s="1015"/>
      <c r="D23" s="1022">
        <v>0</v>
      </c>
      <c r="E23" s="1022"/>
      <c r="F23" s="1023">
        <v>0</v>
      </c>
      <c r="G23" s="1024"/>
      <c r="H23" s="340">
        <v>0</v>
      </c>
      <c r="I23" s="341">
        <v>0</v>
      </c>
    </row>
    <row r="24" spans="1:9" x14ac:dyDescent="0.25">
      <c r="A24" s="245"/>
      <c r="B24" s="245"/>
      <c r="C24" s="245"/>
      <c r="D24" s="245"/>
      <c r="E24" s="245"/>
      <c r="F24" s="245"/>
      <c r="G24" s="245"/>
      <c r="H24" s="245"/>
      <c r="I24" s="245"/>
    </row>
    <row r="25" spans="1:9" x14ac:dyDescent="0.25">
      <c r="A25" s="245" t="s">
        <v>796</v>
      </c>
      <c r="B25" s="245"/>
      <c r="C25" s="245"/>
      <c r="D25" s="245"/>
      <c r="E25" s="245"/>
      <c r="F25" s="245"/>
      <c r="G25" s="245"/>
      <c r="H25" s="245"/>
      <c r="I25" s="245"/>
    </row>
    <row r="26" spans="1:9" x14ac:dyDescent="0.25">
      <c r="A26" s="940"/>
      <c r="B26" s="941"/>
      <c r="C26" s="941"/>
      <c r="D26" s="941"/>
      <c r="E26" s="941"/>
      <c r="F26" s="941"/>
      <c r="G26" s="941"/>
      <c r="H26" s="941"/>
      <c r="I26" s="942"/>
    </row>
    <row r="27" spans="1:9" x14ac:dyDescent="0.25">
      <c r="A27" s="943"/>
      <c r="B27" s="944"/>
      <c r="C27" s="944"/>
      <c r="D27" s="944"/>
      <c r="E27" s="944"/>
      <c r="F27" s="944"/>
      <c r="G27" s="944"/>
      <c r="H27" s="944"/>
      <c r="I27" s="945"/>
    </row>
    <row r="28" spans="1:9" x14ac:dyDescent="0.25">
      <c r="A28" s="943"/>
      <c r="B28" s="944"/>
      <c r="C28" s="944"/>
      <c r="D28" s="944"/>
      <c r="E28" s="944"/>
      <c r="F28" s="944"/>
      <c r="G28" s="944"/>
      <c r="H28" s="944"/>
      <c r="I28" s="945"/>
    </row>
    <row r="29" spans="1:9" x14ac:dyDescent="0.25">
      <c r="A29" s="943"/>
      <c r="B29" s="944"/>
      <c r="C29" s="944"/>
      <c r="D29" s="944"/>
      <c r="E29" s="944"/>
      <c r="F29" s="944"/>
      <c r="G29" s="944"/>
      <c r="H29" s="944"/>
      <c r="I29" s="945"/>
    </row>
    <row r="30" spans="1:9" x14ac:dyDescent="0.25">
      <c r="A30" s="946"/>
      <c r="B30" s="947"/>
      <c r="C30" s="947"/>
      <c r="D30" s="947"/>
      <c r="E30" s="947"/>
      <c r="F30" s="947"/>
      <c r="G30" s="947"/>
      <c r="H30" s="947"/>
      <c r="I30" s="948"/>
    </row>
    <row r="31" spans="1:9" x14ac:dyDescent="0.25">
      <c r="A31" s="245"/>
      <c r="B31" s="245"/>
      <c r="C31" s="245"/>
      <c r="D31" s="245"/>
      <c r="E31" s="245"/>
      <c r="F31" s="245"/>
      <c r="G31" s="245"/>
      <c r="H31" s="245"/>
      <c r="I31" s="245"/>
    </row>
    <row r="32" spans="1:9" x14ac:dyDescent="0.25">
      <c r="A32" s="691" t="s">
        <v>822</v>
      </c>
      <c r="B32" s="691"/>
      <c r="C32" s="691"/>
      <c r="D32" s="691"/>
      <c r="E32" s="691"/>
      <c r="F32" s="691"/>
      <c r="G32" s="691"/>
      <c r="H32" s="691"/>
      <c r="I32" s="691"/>
    </row>
    <row r="33" spans="1:9" x14ac:dyDescent="0.25">
      <c r="A33" s="1025" t="s">
        <v>812</v>
      </c>
      <c r="B33" s="1026"/>
      <c r="C33" s="1027"/>
      <c r="D33" s="1031" t="s">
        <v>813</v>
      </c>
      <c r="E33" s="1032"/>
      <c r="F33" s="1031" t="s">
        <v>813</v>
      </c>
      <c r="G33" s="1033"/>
      <c r="H33" s="1034" t="s">
        <v>814</v>
      </c>
      <c r="I33" s="1034"/>
    </row>
    <row r="34" spans="1:9" x14ac:dyDescent="0.25">
      <c r="A34" s="1028"/>
      <c r="B34" s="1029"/>
      <c r="C34" s="1030"/>
      <c r="D34" s="1017">
        <f>IF(ISBLANK([1]IDENTIFICATION!F11),"",[1]IDENTIFICATION!F11)</f>
        <v>46022</v>
      </c>
      <c r="E34" s="1035"/>
      <c r="F34" s="1017">
        <f>IF(ISBLANK([1]IDENTIFICATION!B10),"",[1]IDENTIFICATION!B10)</f>
        <v>46022</v>
      </c>
      <c r="G34" s="1018"/>
      <c r="H34" s="335" t="s">
        <v>815</v>
      </c>
      <c r="I34" s="335" t="s">
        <v>816</v>
      </c>
    </row>
    <row r="35" spans="1:9" x14ac:dyDescent="0.25">
      <c r="A35" s="880" t="s">
        <v>823</v>
      </c>
      <c r="B35" s="880"/>
      <c r="C35" s="880"/>
      <c r="D35" s="1019">
        <v>0</v>
      </c>
      <c r="E35" s="1019"/>
      <c r="F35" s="1020">
        <v>0</v>
      </c>
      <c r="G35" s="1021"/>
      <c r="H35" s="336">
        <v>0</v>
      </c>
      <c r="I35" s="337">
        <v>0</v>
      </c>
    </row>
    <row r="36" spans="1:9" x14ac:dyDescent="0.25">
      <c r="A36" s="880" t="s">
        <v>824</v>
      </c>
      <c r="B36" s="880"/>
      <c r="C36" s="880"/>
      <c r="D36" s="1019">
        <v>0</v>
      </c>
      <c r="E36" s="1019"/>
      <c r="F36" s="1019">
        <v>0</v>
      </c>
      <c r="G36" s="1019"/>
      <c r="H36" s="336">
        <v>0</v>
      </c>
      <c r="I36" s="337">
        <v>0</v>
      </c>
    </row>
    <row r="37" spans="1:9" x14ac:dyDescent="0.25">
      <c r="A37" s="1015" t="s">
        <v>825</v>
      </c>
      <c r="B37" s="1015"/>
      <c r="C37" s="1015"/>
      <c r="D37" s="1016">
        <v>0</v>
      </c>
      <c r="E37" s="1016"/>
      <c r="F37" s="1016">
        <v>0</v>
      </c>
      <c r="G37" s="1016"/>
      <c r="H37" s="340">
        <v>0</v>
      </c>
      <c r="I37" s="342">
        <v>0</v>
      </c>
    </row>
    <row r="38" spans="1:9" x14ac:dyDescent="0.25">
      <c r="A38" s="245"/>
      <c r="B38" s="245"/>
      <c r="C38" s="245"/>
      <c r="D38" s="245"/>
      <c r="E38" s="245"/>
      <c r="F38" s="245"/>
      <c r="G38" s="245"/>
      <c r="H38" s="245"/>
      <c r="I38" s="245"/>
    </row>
    <row r="39" spans="1:9" x14ac:dyDescent="0.25">
      <c r="A39" s="245" t="s">
        <v>796</v>
      </c>
      <c r="B39" s="245"/>
      <c r="C39" s="245"/>
      <c r="D39" s="245"/>
      <c r="E39" s="245"/>
      <c r="F39" s="245"/>
      <c r="G39" s="245"/>
      <c r="H39" s="245"/>
      <c r="I39" s="245"/>
    </row>
    <row r="40" spans="1:9" x14ac:dyDescent="0.25">
      <c r="A40" s="940"/>
      <c r="B40" s="941"/>
      <c r="C40" s="941"/>
      <c r="D40" s="941"/>
      <c r="E40" s="941"/>
      <c r="F40" s="941"/>
      <c r="G40" s="941"/>
      <c r="H40" s="941"/>
      <c r="I40" s="942"/>
    </row>
    <row r="41" spans="1:9" x14ac:dyDescent="0.25">
      <c r="A41" s="943"/>
      <c r="B41" s="944"/>
      <c r="C41" s="944"/>
      <c r="D41" s="944"/>
      <c r="E41" s="944"/>
      <c r="F41" s="944"/>
      <c r="G41" s="944"/>
      <c r="H41" s="944"/>
      <c r="I41" s="945"/>
    </row>
    <row r="42" spans="1:9" x14ac:dyDescent="0.25">
      <c r="A42" s="943"/>
      <c r="B42" s="944"/>
      <c r="C42" s="944"/>
      <c r="D42" s="944"/>
      <c r="E42" s="944"/>
      <c r="F42" s="944"/>
      <c r="G42" s="944"/>
      <c r="H42" s="944"/>
      <c r="I42" s="945"/>
    </row>
    <row r="43" spans="1:9" x14ac:dyDescent="0.25">
      <c r="A43" s="943"/>
      <c r="B43" s="944"/>
      <c r="C43" s="944"/>
      <c r="D43" s="944"/>
      <c r="E43" s="944"/>
      <c r="F43" s="944"/>
      <c r="G43" s="944"/>
      <c r="H43" s="944"/>
      <c r="I43" s="945"/>
    </row>
    <row r="44" spans="1:9" x14ac:dyDescent="0.25">
      <c r="A44" s="946"/>
      <c r="B44" s="947"/>
      <c r="C44" s="947"/>
      <c r="D44" s="947"/>
      <c r="E44" s="947"/>
      <c r="F44" s="947"/>
      <c r="G44" s="947"/>
      <c r="H44" s="947"/>
      <c r="I44" s="948"/>
    </row>
  </sheetData>
  <mergeCells count="57">
    <mergeCell ref="B2:I2"/>
    <mergeCell ref="B3:I3"/>
    <mergeCell ref="B4:I4"/>
    <mergeCell ref="B5:I5"/>
    <mergeCell ref="B6:D6"/>
    <mergeCell ref="G6:H6"/>
    <mergeCell ref="A16:I16"/>
    <mergeCell ref="B7:D7"/>
    <mergeCell ref="B8:I8"/>
    <mergeCell ref="B9:I9"/>
    <mergeCell ref="B10:D10"/>
    <mergeCell ref="E10:F10"/>
    <mergeCell ref="G10:I10"/>
    <mergeCell ref="B11:D11"/>
    <mergeCell ref="E11:F11"/>
    <mergeCell ref="G11:I11"/>
    <mergeCell ref="A13:I13"/>
    <mergeCell ref="A14:I14"/>
    <mergeCell ref="A17:C18"/>
    <mergeCell ref="D17:E17"/>
    <mergeCell ref="F17:G17"/>
    <mergeCell ref="H17:I17"/>
    <mergeCell ref="D18:E18"/>
    <mergeCell ref="F18:G18"/>
    <mergeCell ref="A19:C19"/>
    <mergeCell ref="D19:E19"/>
    <mergeCell ref="F19:G19"/>
    <mergeCell ref="A20:C20"/>
    <mergeCell ref="D20:E20"/>
    <mergeCell ref="F20:G20"/>
    <mergeCell ref="A21:C21"/>
    <mergeCell ref="D21:E21"/>
    <mergeCell ref="F21:G21"/>
    <mergeCell ref="A22:C22"/>
    <mergeCell ref="D22:E22"/>
    <mergeCell ref="F22:G22"/>
    <mergeCell ref="A23:C23"/>
    <mergeCell ref="D23:E23"/>
    <mergeCell ref="F23:G23"/>
    <mergeCell ref="A26:I30"/>
    <mergeCell ref="A32:I32"/>
    <mergeCell ref="A37:C37"/>
    <mergeCell ref="D37:E37"/>
    <mergeCell ref="F37:G37"/>
    <mergeCell ref="A40:I44"/>
    <mergeCell ref="F34:G34"/>
    <mergeCell ref="A35:C35"/>
    <mergeCell ref="D35:E35"/>
    <mergeCell ref="F35:G35"/>
    <mergeCell ref="A36:C36"/>
    <mergeCell ref="D36:E36"/>
    <mergeCell ref="F36:G36"/>
    <mergeCell ref="A33:C34"/>
    <mergeCell ref="D33:E33"/>
    <mergeCell ref="F33:G33"/>
    <mergeCell ref="H33:I33"/>
    <mergeCell ref="D34:E3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4280E-46C0-40D6-96F7-766ACEC43873}">
  <dimension ref="A2:I36"/>
  <sheetViews>
    <sheetView workbookViewId="0">
      <selection activeCell="F15" sqref="A1:XFD1048576"/>
    </sheetView>
  </sheetViews>
  <sheetFormatPr baseColWidth="10" defaultRowHeight="15" x14ac:dyDescent="0.25"/>
  <cols>
    <col min="1" max="1" width="44.7109375" customWidth="1"/>
    <col min="2" max="2" width="12.28515625" customWidth="1"/>
    <col min="3" max="3" width="6.7109375" customWidth="1"/>
    <col min="4" max="4" width="4.7109375" customWidth="1"/>
    <col min="5" max="5" width="19.140625" customWidth="1"/>
    <col min="6" max="6" width="13.7109375" customWidth="1"/>
    <col min="7" max="7" width="18.28515625" customWidth="1"/>
    <col min="8" max="8" width="20.5703125" customWidth="1"/>
    <col min="9" max="9" width="6.5703125" customWidth="1"/>
  </cols>
  <sheetData>
    <row r="2" spans="1:9" x14ac:dyDescent="0.25">
      <c r="A2" s="198" t="s">
        <v>466</v>
      </c>
      <c r="B2" s="619">
        <v>4444444444</v>
      </c>
      <c r="C2" s="619"/>
      <c r="D2" s="619"/>
      <c r="E2" s="619"/>
      <c r="F2" s="619"/>
      <c r="G2" s="619"/>
      <c r="H2" s="619"/>
      <c r="I2" s="619"/>
    </row>
    <row r="3" spans="1:9" x14ac:dyDescent="0.25">
      <c r="A3" s="198"/>
      <c r="B3" s="620">
        <v>56565665</v>
      </c>
      <c r="C3" s="620"/>
      <c r="D3" s="620"/>
      <c r="E3" s="620"/>
      <c r="F3" s="620"/>
      <c r="G3" s="620"/>
      <c r="H3" s="620"/>
      <c r="I3" s="620"/>
    </row>
    <row r="4" spans="1:9" x14ac:dyDescent="0.25">
      <c r="A4" s="198" t="s">
        <v>364</v>
      </c>
      <c r="B4" s="620" t="s">
        <v>6</v>
      </c>
      <c r="C4" s="620"/>
      <c r="D4" s="620"/>
      <c r="E4" s="620"/>
      <c r="F4" s="620"/>
      <c r="G4" s="620"/>
      <c r="H4" s="620"/>
      <c r="I4" s="620"/>
    </row>
    <row r="5" spans="1:9" x14ac:dyDescent="0.25">
      <c r="A5" s="198" t="s">
        <v>365</v>
      </c>
      <c r="B5" s="1037" t="s">
        <v>699</v>
      </c>
      <c r="C5" s="1037"/>
      <c r="D5" s="1037"/>
      <c r="E5" s="1037"/>
      <c r="F5" s="1037"/>
      <c r="G5" s="1037"/>
      <c r="H5" s="1037"/>
      <c r="I5" s="1037"/>
    </row>
    <row r="6" spans="1:9" x14ac:dyDescent="0.25">
      <c r="A6" s="198" t="s">
        <v>366</v>
      </c>
      <c r="B6" s="619">
        <v>125545</v>
      </c>
      <c r="C6" s="619"/>
      <c r="D6" s="619"/>
      <c r="E6" s="47" t="s">
        <v>367</v>
      </c>
      <c r="F6" s="209">
        <v>46022</v>
      </c>
      <c r="G6" s="1053" t="s">
        <v>467</v>
      </c>
      <c r="H6" s="1053"/>
      <c r="I6" s="343">
        <v>12</v>
      </c>
    </row>
    <row r="7" spans="1:9" x14ac:dyDescent="0.25">
      <c r="A7" s="204" t="s">
        <v>369</v>
      </c>
      <c r="B7" s="620" t="s">
        <v>8</v>
      </c>
      <c r="C7" s="620"/>
      <c r="D7" s="620"/>
      <c r="E7" s="200"/>
      <c r="F7" s="200"/>
      <c r="G7" s="200"/>
      <c r="H7" s="200"/>
      <c r="I7" s="197"/>
    </row>
    <row r="8" spans="1:9" x14ac:dyDescent="0.25">
      <c r="A8" s="200" t="s">
        <v>468</v>
      </c>
      <c r="B8" s="619" t="s">
        <v>35</v>
      </c>
      <c r="C8" s="619"/>
      <c r="D8" s="619"/>
      <c r="E8" s="619"/>
      <c r="F8" s="619"/>
      <c r="G8" s="619"/>
      <c r="H8" s="619"/>
      <c r="I8" s="619"/>
    </row>
    <row r="9" spans="1:9" x14ac:dyDescent="0.25">
      <c r="A9" s="200"/>
      <c r="B9" s="620" t="s">
        <v>36</v>
      </c>
      <c r="C9" s="620"/>
      <c r="D9" s="620"/>
      <c r="E9" s="620"/>
      <c r="F9" s="620"/>
      <c r="G9" s="620"/>
      <c r="H9" s="620"/>
      <c r="I9" s="620"/>
    </row>
    <row r="10" spans="1:9" x14ac:dyDescent="0.25">
      <c r="A10" s="200" t="s">
        <v>469</v>
      </c>
      <c r="B10" s="619" t="s">
        <v>40</v>
      </c>
      <c r="C10" s="619"/>
      <c r="D10" s="619"/>
      <c r="E10" s="611" t="s">
        <v>470</v>
      </c>
      <c r="F10" s="611"/>
      <c r="G10" s="611" t="s">
        <v>38</v>
      </c>
      <c r="H10" s="611"/>
      <c r="I10" s="611"/>
    </row>
    <row r="11" spans="1:9" x14ac:dyDescent="0.25">
      <c r="A11" s="200" t="s">
        <v>471</v>
      </c>
      <c r="B11" s="876">
        <v>44713</v>
      </c>
      <c r="C11" s="876"/>
      <c r="D11" s="876"/>
      <c r="E11" s="610" t="s">
        <v>472</v>
      </c>
      <c r="F11" s="610"/>
      <c r="G11" s="1036">
        <v>45991</v>
      </c>
      <c r="H11" s="1036"/>
      <c r="I11" s="1036"/>
    </row>
    <row r="12" spans="1:9" ht="7.9" customHeight="1" x14ac:dyDescent="0.25"/>
    <row r="13" spans="1:9" x14ac:dyDescent="0.25">
      <c r="A13" s="691" t="s">
        <v>826</v>
      </c>
      <c r="B13" s="691"/>
      <c r="C13" s="691"/>
      <c r="D13" s="691"/>
      <c r="E13" s="691"/>
      <c r="F13" s="691"/>
      <c r="G13" s="691"/>
      <c r="H13" s="691"/>
      <c r="I13" s="691"/>
    </row>
    <row r="14" spans="1:9" x14ac:dyDescent="0.25">
      <c r="A14" s="691" t="s">
        <v>827</v>
      </c>
      <c r="B14" s="691"/>
      <c r="C14" s="691"/>
      <c r="D14" s="691"/>
      <c r="E14" s="691"/>
      <c r="F14" s="691"/>
      <c r="G14" s="691"/>
      <c r="H14" s="691"/>
      <c r="I14" s="691"/>
    </row>
    <row r="15" spans="1:9" ht="14.45" customHeight="1" x14ac:dyDescent="0.25">
      <c r="A15" s="1034" t="s">
        <v>812</v>
      </c>
      <c r="B15" s="1026" t="s">
        <v>813</v>
      </c>
      <c r="C15" s="1027"/>
      <c r="D15" s="1025" t="s">
        <v>813</v>
      </c>
      <c r="E15" s="1027"/>
      <c r="F15" s="1051" t="s">
        <v>828</v>
      </c>
      <c r="G15" s="1027"/>
      <c r="H15" s="1052" t="s">
        <v>814</v>
      </c>
      <c r="I15" s="1052"/>
    </row>
    <row r="16" spans="1:9" x14ac:dyDescent="0.25">
      <c r="A16" s="1034"/>
      <c r="B16" s="1018">
        <f>IF(ISBLANK([1]IDENTIFICATION!F11),"",[1]IDENTIFICATION!F11)</f>
        <v>46022</v>
      </c>
      <c r="C16" s="1035"/>
      <c r="D16" s="1017">
        <f>IF(ISBLANK([1]IDENTIFICATION!B10),"",[1]IDENTIFICATION!B10)</f>
        <v>46022</v>
      </c>
      <c r="E16" s="1035"/>
      <c r="F16" s="1028"/>
      <c r="G16" s="1030"/>
      <c r="H16" s="344" t="s">
        <v>815</v>
      </c>
      <c r="I16" s="344" t="s">
        <v>816</v>
      </c>
    </row>
    <row r="17" spans="1:9" x14ac:dyDescent="0.25">
      <c r="A17" s="345" t="s">
        <v>829</v>
      </c>
      <c r="B17" s="1050">
        <v>0</v>
      </c>
      <c r="C17" s="1050"/>
      <c r="D17" s="1047">
        <v>0</v>
      </c>
      <c r="E17" s="1047"/>
      <c r="F17" s="1048">
        <v>0</v>
      </c>
      <c r="G17" s="1049"/>
      <c r="H17" s="348">
        <v>0</v>
      </c>
      <c r="I17" s="349">
        <v>0</v>
      </c>
    </row>
    <row r="18" spans="1:9" x14ac:dyDescent="0.25">
      <c r="A18" s="345" t="s">
        <v>830</v>
      </c>
      <c r="B18" s="1050">
        <v>0</v>
      </c>
      <c r="C18" s="1050"/>
      <c r="D18" s="1047">
        <v>0</v>
      </c>
      <c r="E18" s="1047"/>
      <c r="F18" s="1048">
        <v>0</v>
      </c>
      <c r="G18" s="1049"/>
      <c r="H18" s="348">
        <v>0</v>
      </c>
      <c r="I18" s="349">
        <v>0</v>
      </c>
    </row>
    <row r="19" spans="1:9" x14ac:dyDescent="0.25">
      <c r="A19" s="345" t="s">
        <v>831</v>
      </c>
      <c r="B19" s="1045">
        <v>0</v>
      </c>
      <c r="C19" s="1046"/>
      <c r="D19" s="1048">
        <v>0</v>
      </c>
      <c r="E19" s="1049"/>
      <c r="F19" s="1048">
        <v>0</v>
      </c>
      <c r="G19" s="1049"/>
      <c r="H19" s="348">
        <v>0</v>
      </c>
      <c r="I19" s="349">
        <v>0</v>
      </c>
    </row>
    <row r="20" spans="1:9" x14ac:dyDescent="0.25">
      <c r="A20" s="345" t="s">
        <v>832</v>
      </c>
      <c r="B20" s="1050">
        <v>0</v>
      </c>
      <c r="C20" s="1050"/>
      <c r="D20" s="1048">
        <v>0</v>
      </c>
      <c r="E20" s="1049"/>
      <c r="F20" s="1048">
        <v>0</v>
      </c>
      <c r="G20" s="1049"/>
      <c r="H20" s="348">
        <v>0</v>
      </c>
      <c r="I20" s="349">
        <v>0</v>
      </c>
    </row>
    <row r="21" spans="1:9" x14ac:dyDescent="0.25">
      <c r="A21" s="345" t="s">
        <v>833</v>
      </c>
      <c r="B21" s="1050">
        <v>0</v>
      </c>
      <c r="C21" s="1050"/>
      <c r="D21" s="1048">
        <v>0</v>
      </c>
      <c r="E21" s="1049"/>
      <c r="F21" s="1048">
        <v>0</v>
      </c>
      <c r="G21" s="1049"/>
      <c r="H21" s="348">
        <v>0</v>
      </c>
      <c r="I21" s="349">
        <v>0</v>
      </c>
    </row>
    <row r="22" spans="1:9" x14ac:dyDescent="0.25">
      <c r="A22" s="345" t="s">
        <v>834</v>
      </c>
      <c r="B22" s="1050">
        <v>0</v>
      </c>
      <c r="C22" s="1050"/>
      <c r="D22" s="1048">
        <v>0</v>
      </c>
      <c r="E22" s="1049"/>
      <c r="F22" s="1048">
        <v>0</v>
      </c>
      <c r="G22" s="1049"/>
      <c r="H22" s="348">
        <v>0</v>
      </c>
      <c r="I22" s="349">
        <v>0</v>
      </c>
    </row>
    <row r="23" spans="1:9" x14ac:dyDescent="0.25">
      <c r="A23" s="345" t="s">
        <v>835</v>
      </c>
      <c r="B23" s="1045">
        <v>0</v>
      </c>
      <c r="C23" s="1046"/>
      <c r="D23" s="1048">
        <v>0</v>
      </c>
      <c r="E23" s="1049"/>
      <c r="F23" s="1048">
        <v>0</v>
      </c>
      <c r="G23" s="1049"/>
      <c r="H23" s="348">
        <v>0</v>
      </c>
      <c r="I23" s="349">
        <v>0</v>
      </c>
    </row>
    <row r="24" spans="1:9" x14ac:dyDescent="0.25">
      <c r="A24" s="345" t="s">
        <v>836</v>
      </c>
      <c r="B24" s="1050">
        <v>0</v>
      </c>
      <c r="C24" s="1050"/>
      <c r="D24" s="1048">
        <v>0</v>
      </c>
      <c r="E24" s="1049"/>
      <c r="F24" s="1048">
        <v>0</v>
      </c>
      <c r="G24" s="1049"/>
      <c r="H24" s="348">
        <v>0</v>
      </c>
      <c r="I24" s="349">
        <v>0</v>
      </c>
    </row>
    <row r="25" spans="1:9" x14ac:dyDescent="0.25">
      <c r="A25" s="338" t="s">
        <v>837</v>
      </c>
      <c r="B25" s="1039">
        <v>0</v>
      </c>
      <c r="C25" s="1040"/>
      <c r="D25" s="1041">
        <v>0</v>
      </c>
      <c r="E25" s="1041"/>
      <c r="F25" s="1042">
        <v>0</v>
      </c>
      <c r="G25" s="1043"/>
      <c r="H25" s="351">
        <v>0</v>
      </c>
      <c r="I25" s="352">
        <v>0</v>
      </c>
    </row>
    <row r="26" spans="1:9" x14ac:dyDescent="0.25">
      <c r="A26" s="256" t="s">
        <v>838</v>
      </c>
      <c r="B26" s="1045">
        <v>0</v>
      </c>
      <c r="C26" s="1046"/>
      <c r="D26" s="1047">
        <v>0</v>
      </c>
      <c r="E26" s="1047"/>
      <c r="F26" s="1048">
        <v>0</v>
      </c>
      <c r="G26" s="1049"/>
      <c r="H26" s="348">
        <v>0</v>
      </c>
      <c r="I26" s="349">
        <v>0</v>
      </c>
    </row>
    <row r="27" spans="1:9" x14ac:dyDescent="0.25">
      <c r="A27" s="338" t="s">
        <v>839</v>
      </c>
      <c r="B27" s="1039">
        <v>0</v>
      </c>
      <c r="C27" s="1040"/>
      <c r="D27" s="1041">
        <v>0</v>
      </c>
      <c r="E27" s="1041"/>
      <c r="F27" s="1042">
        <v>0</v>
      </c>
      <c r="G27" s="1043"/>
      <c r="H27" s="351">
        <v>0</v>
      </c>
      <c r="I27" s="352">
        <v>0</v>
      </c>
    </row>
    <row r="28" spans="1:9" x14ac:dyDescent="0.25">
      <c r="A28" s="245"/>
      <c r="B28" s="245"/>
      <c r="C28" s="245"/>
      <c r="D28" s="245"/>
      <c r="E28" s="245"/>
      <c r="F28" s="245"/>
      <c r="G28" s="245"/>
      <c r="H28" s="245"/>
      <c r="I28" s="245"/>
    </row>
    <row r="29" spans="1:9" ht="14.45" customHeight="1" x14ac:dyDescent="0.25">
      <c r="A29" s="1044" t="s">
        <v>840</v>
      </c>
      <c r="B29" s="1044"/>
      <c r="C29" s="1044"/>
      <c r="D29" s="1044"/>
      <c r="E29" s="1044"/>
      <c r="F29" s="1044"/>
      <c r="G29" s="1044"/>
      <c r="H29" s="1044"/>
      <c r="I29" s="1044"/>
    </row>
    <row r="30" spans="1:9" x14ac:dyDescent="0.25">
      <c r="A30" s="245" t="s">
        <v>796</v>
      </c>
      <c r="B30" s="245"/>
      <c r="C30" s="245"/>
      <c r="D30" s="245"/>
      <c r="E30" s="245"/>
      <c r="F30" s="245"/>
      <c r="G30" s="245"/>
      <c r="H30" s="245"/>
      <c r="I30" s="245"/>
    </row>
    <row r="31" spans="1:9" x14ac:dyDescent="0.25">
      <c r="A31" s="922"/>
      <c r="B31" s="923"/>
      <c r="C31" s="923"/>
      <c r="D31" s="923"/>
      <c r="E31" s="923"/>
      <c r="F31" s="923"/>
      <c r="G31" s="923"/>
      <c r="H31" s="923"/>
      <c r="I31" s="924"/>
    </row>
    <row r="32" spans="1:9" x14ac:dyDescent="0.25">
      <c r="A32" s="925"/>
      <c r="B32" s="926"/>
      <c r="C32" s="926"/>
      <c r="D32" s="926"/>
      <c r="E32" s="926"/>
      <c r="F32" s="926"/>
      <c r="G32" s="926"/>
      <c r="H32" s="926"/>
      <c r="I32" s="927"/>
    </row>
    <row r="33" spans="1:9" x14ac:dyDescent="0.25">
      <c r="A33" s="925"/>
      <c r="B33" s="926"/>
      <c r="C33" s="926"/>
      <c r="D33" s="926"/>
      <c r="E33" s="926"/>
      <c r="F33" s="926"/>
      <c r="G33" s="926"/>
      <c r="H33" s="926"/>
      <c r="I33" s="927"/>
    </row>
    <row r="34" spans="1:9" x14ac:dyDescent="0.25">
      <c r="A34" s="925"/>
      <c r="B34" s="926"/>
      <c r="C34" s="926"/>
      <c r="D34" s="926"/>
      <c r="E34" s="926"/>
      <c r="F34" s="926"/>
      <c r="G34" s="926"/>
      <c r="H34" s="926"/>
      <c r="I34" s="927"/>
    </row>
    <row r="35" spans="1:9" x14ac:dyDescent="0.25">
      <c r="A35" s="925"/>
      <c r="B35" s="926"/>
      <c r="C35" s="926"/>
      <c r="D35" s="926"/>
      <c r="E35" s="926"/>
      <c r="F35" s="926"/>
      <c r="G35" s="926"/>
      <c r="H35" s="926"/>
      <c r="I35" s="927"/>
    </row>
    <row r="36" spans="1:9" x14ac:dyDescent="0.25">
      <c r="A36" s="928"/>
      <c r="B36" s="929"/>
      <c r="C36" s="929"/>
      <c r="D36" s="929"/>
      <c r="E36" s="929"/>
      <c r="F36" s="929"/>
      <c r="G36" s="929"/>
      <c r="H36" s="929"/>
      <c r="I36" s="930"/>
    </row>
  </sheetData>
  <mergeCells count="59">
    <mergeCell ref="B2:I2"/>
    <mergeCell ref="B3:I3"/>
    <mergeCell ref="B4:I4"/>
    <mergeCell ref="B5:I5"/>
    <mergeCell ref="B6:D6"/>
    <mergeCell ref="G6:H6"/>
    <mergeCell ref="B7:D7"/>
    <mergeCell ref="B8:I8"/>
    <mergeCell ref="B9:I9"/>
    <mergeCell ref="B10:D10"/>
    <mergeCell ref="E10:F10"/>
    <mergeCell ref="G10:I10"/>
    <mergeCell ref="B18:C18"/>
    <mergeCell ref="D18:E18"/>
    <mergeCell ref="F18:G18"/>
    <mergeCell ref="B11:D11"/>
    <mergeCell ref="E11:F11"/>
    <mergeCell ref="G11:I11"/>
    <mergeCell ref="A13:I13"/>
    <mergeCell ref="A14:I14"/>
    <mergeCell ref="A15:A16"/>
    <mergeCell ref="B15:C15"/>
    <mergeCell ref="D15:E15"/>
    <mergeCell ref="F15:G16"/>
    <mergeCell ref="H15:I15"/>
    <mergeCell ref="B16:C16"/>
    <mergeCell ref="D16:E16"/>
    <mergeCell ref="B17:C17"/>
    <mergeCell ref="D17:E17"/>
    <mergeCell ref="F17:G17"/>
    <mergeCell ref="B19:C19"/>
    <mergeCell ref="D19:E19"/>
    <mergeCell ref="F19:G19"/>
    <mergeCell ref="B20:C20"/>
    <mergeCell ref="D20:E20"/>
    <mergeCell ref="F20:G20"/>
    <mergeCell ref="B21:C21"/>
    <mergeCell ref="D21:E21"/>
    <mergeCell ref="F21:G21"/>
    <mergeCell ref="B22:C22"/>
    <mergeCell ref="D22:E22"/>
    <mergeCell ref="F22:G22"/>
    <mergeCell ref="B23:C23"/>
    <mergeCell ref="D23:E23"/>
    <mergeCell ref="F23:G23"/>
    <mergeCell ref="B24:C24"/>
    <mergeCell ref="D24:E24"/>
    <mergeCell ref="F24:G24"/>
    <mergeCell ref="B25:C25"/>
    <mergeCell ref="D25:E25"/>
    <mergeCell ref="F25:G25"/>
    <mergeCell ref="B26:C26"/>
    <mergeCell ref="D26:E26"/>
    <mergeCell ref="F26:G26"/>
    <mergeCell ref="B27:C27"/>
    <mergeCell ref="D27:E27"/>
    <mergeCell ref="F27:G27"/>
    <mergeCell ref="A29:I29"/>
    <mergeCell ref="A31:I3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C75A-3A1F-4ECC-8075-571F43BE1280}">
  <dimension ref="A2:I34"/>
  <sheetViews>
    <sheetView workbookViewId="0">
      <selection activeCell="B5" sqref="B5:I5"/>
    </sheetView>
  </sheetViews>
  <sheetFormatPr baseColWidth="10" defaultRowHeight="15" x14ac:dyDescent="0.25"/>
  <cols>
    <col min="1" max="1" width="33.140625" customWidth="1"/>
    <col min="2" max="3" width="9.5703125" customWidth="1"/>
    <col min="4" max="4" width="20.5703125" customWidth="1"/>
    <col min="5" max="5" width="15.42578125" customWidth="1"/>
    <col min="6" max="6" width="14" customWidth="1"/>
    <col min="7" max="7" width="19.42578125" customWidth="1"/>
    <col min="8" max="8" width="15.28515625" customWidth="1"/>
    <col min="9" max="9" width="18.5703125" customWidth="1"/>
  </cols>
  <sheetData>
    <row r="2" spans="1:9" x14ac:dyDescent="0.25">
      <c r="A2" s="198" t="s">
        <v>466</v>
      </c>
      <c r="B2" s="619">
        <v>4444444444</v>
      </c>
      <c r="C2" s="619"/>
      <c r="D2" s="619"/>
      <c r="E2" s="619"/>
      <c r="F2" s="619"/>
      <c r="G2" s="619"/>
      <c r="H2" s="619"/>
      <c r="I2" s="619"/>
    </row>
    <row r="3" spans="1:9" x14ac:dyDescent="0.25">
      <c r="A3" s="198"/>
      <c r="B3" s="620">
        <v>56565665</v>
      </c>
      <c r="C3" s="620"/>
      <c r="D3" s="620"/>
      <c r="E3" s="620"/>
      <c r="F3" s="620"/>
      <c r="G3" s="620"/>
      <c r="H3" s="620"/>
      <c r="I3" s="620"/>
    </row>
    <row r="4" spans="1:9" x14ac:dyDescent="0.25">
      <c r="A4" s="198" t="s">
        <v>364</v>
      </c>
      <c r="B4" s="620" t="s">
        <v>6</v>
      </c>
      <c r="C4" s="620"/>
      <c r="D4" s="620"/>
      <c r="E4" s="620"/>
      <c r="F4" s="620"/>
      <c r="G4" s="620"/>
      <c r="H4" s="620"/>
      <c r="I4" s="620"/>
    </row>
    <row r="5" spans="1:9" x14ac:dyDescent="0.25">
      <c r="A5" s="198" t="s">
        <v>365</v>
      </c>
      <c r="B5" s="611" t="s">
        <v>699</v>
      </c>
      <c r="C5" s="611"/>
      <c r="D5" s="611"/>
      <c r="E5" s="611"/>
      <c r="F5" s="611"/>
      <c r="G5" s="611"/>
      <c r="H5" s="611"/>
      <c r="I5" s="611"/>
    </row>
    <row r="6" spans="1:9" x14ac:dyDescent="0.25">
      <c r="A6" s="198" t="s">
        <v>366</v>
      </c>
      <c r="B6" s="620">
        <v>125545</v>
      </c>
      <c r="C6" s="620"/>
      <c r="D6" s="620"/>
      <c r="E6" s="47" t="s">
        <v>367</v>
      </c>
      <c r="F6" s="209">
        <v>46022</v>
      </c>
      <c r="G6" s="611" t="s">
        <v>467</v>
      </c>
      <c r="H6" s="611"/>
      <c r="I6" s="284">
        <v>12</v>
      </c>
    </row>
    <row r="7" spans="1:9" x14ac:dyDescent="0.25">
      <c r="A7" s="204" t="s">
        <v>369</v>
      </c>
      <c r="B7" s="620" t="s">
        <v>8</v>
      </c>
      <c r="C7" s="620"/>
      <c r="D7" s="620"/>
      <c r="E7" s="200"/>
      <c r="F7" s="200"/>
      <c r="G7" s="200"/>
      <c r="H7" s="200"/>
      <c r="I7" s="197"/>
    </row>
    <row r="8" spans="1:9" x14ac:dyDescent="0.25">
      <c r="A8" s="200" t="s">
        <v>468</v>
      </c>
      <c r="B8" s="619" t="s">
        <v>35</v>
      </c>
      <c r="C8" s="619"/>
      <c r="D8" s="619"/>
      <c r="E8" s="619"/>
      <c r="F8" s="619"/>
      <c r="G8" s="619"/>
      <c r="H8" s="619"/>
      <c r="I8" s="619"/>
    </row>
    <row r="9" spans="1:9" x14ac:dyDescent="0.25">
      <c r="A9" s="200"/>
      <c r="B9" s="620" t="s">
        <v>36</v>
      </c>
      <c r="C9" s="620"/>
      <c r="D9" s="620"/>
      <c r="E9" s="620"/>
      <c r="F9" s="620"/>
      <c r="G9" s="620"/>
      <c r="H9" s="620"/>
      <c r="I9" s="620"/>
    </row>
    <row r="10" spans="1:9" x14ac:dyDescent="0.25">
      <c r="A10" s="200" t="s">
        <v>469</v>
      </c>
      <c r="B10" s="619" t="s">
        <v>40</v>
      </c>
      <c r="C10" s="619"/>
      <c r="D10" s="200"/>
      <c r="E10" s="611" t="s">
        <v>470</v>
      </c>
      <c r="F10" s="611"/>
      <c r="G10" s="620" t="s">
        <v>38</v>
      </c>
      <c r="H10" s="620"/>
      <c r="I10" s="620"/>
    </row>
    <row r="11" spans="1:9" x14ac:dyDescent="0.25">
      <c r="A11" s="200" t="s">
        <v>471</v>
      </c>
      <c r="B11" s="876">
        <v>44713</v>
      </c>
      <c r="C11" s="876"/>
      <c r="D11" s="242"/>
      <c r="E11" s="610" t="s">
        <v>472</v>
      </c>
      <c r="F11" s="610"/>
      <c r="G11" s="876">
        <v>45991</v>
      </c>
      <c r="H11" s="876"/>
      <c r="I11" s="876"/>
    </row>
    <row r="12" spans="1:9" ht="6.6" customHeight="1" x14ac:dyDescent="0.25"/>
    <row r="13" spans="1:9" x14ac:dyDescent="0.25">
      <c r="A13" s="691" t="s">
        <v>841</v>
      </c>
      <c r="B13" s="691"/>
      <c r="C13" s="691"/>
      <c r="D13" s="691"/>
      <c r="E13" s="691"/>
      <c r="F13" s="691"/>
      <c r="G13" s="691"/>
      <c r="H13" s="691"/>
      <c r="I13" s="691"/>
    </row>
    <row r="14" spans="1:9" x14ac:dyDescent="0.25">
      <c r="A14" s="691" t="s">
        <v>842</v>
      </c>
      <c r="B14" s="691"/>
      <c r="C14" s="691"/>
      <c r="D14" s="691"/>
      <c r="E14" s="691"/>
      <c r="F14" s="691"/>
      <c r="G14" s="691"/>
      <c r="H14" s="691"/>
      <c r="I14" s="691"/>
    </row>
    <row r="15" spans="1:9" x14ac:dyDescent="0.25">
      <c r="A15" s="266"/>
      <c r="B15" s="266"/>
      <c r="C15" s="266"/>
      <c r="D15" s="266"/>
      <c r="E15" s="266"/>
      <c r="F15" s="266"/>
      <c r="G15" s="266"/>
      <c r="H15" s="266"/>
      <c r="I15" s="266"/>
    </row>
    <row r="16" spans="1:9" x14ac:dyDescent="0.25">
      <c r="A16" s="1058" t="s">
        <v>812</v>
      </c>
      <c r="B16" s="1025" t="s">
        <v>813</v>
      </c>
      <c r="C16" s="1026"/>
      <c r="D16" s="353" t="s">
        <v>813</v>
      </c>
      <c r="E16" s="934" t="s">
        <v>814</v>
      </c>
      <c r="F16" s="936"/>
      <c r="G16" s="1060" t="s">
        <v>843</v>
      </c>
      <c r="H16" s="1060" t="s">
        <v>844</v>
      </c>
      <c r="I16" s="1054" t="s">
        <v>845</v>
      </c>
    </row>
    <row r="17" spans="1:9" ht="31.15" customHeight="1" x14ac:dyDescent="0.25">
      <c r="A17" s="1059"/>
      <c r="B17" s="1056">
        <v>46022</v>
      </c>
      <c r="C17" s="1057"/>
      <c r="D17" s="356">
        <v>46022</v>
      </c>
      <c r="E17" s="357" t="s">
        <v>815</v>
      </c>
      <c r="F17" s="357" t="s">
        <v>846</v>
      </c>
      <c r="G17" s="1060"/>
      <c r="H17" s="1060"/>
      <c r="I17" s="1055"/>
    </row>
    <row r="18" spans="1:9" x14ac:dyDescent="0.25">
      <c r="A18" s="255" t="s">
        <v>847</v>
      </c>
      <c r="B18" s="1019">
        <v>0</v>
      </c>
      <c r="C18" s="1019"/>
      <c r="D18" s="336">
        <v>0</v>
      </c>
      <c r="E18" s="358">
        <v>0</v>
      </c>
      <c r="F18" s="349">
        <v>0</v>
      </c>
      <c r="G18" s="359"/>
      <c r="H18" s="359"/>
      <c r="I18" s="359"/>
    </row>
    <row r="19" spans="1:9" x14ac:dyDescent="0.25">
      <c r="A19" s="259" t="s">
        <v>528</v>
      </c>
      <c r="B19" s="1019">
        <v>0</v>
      </c>
      <c r="C19" s="1019"/>
      <c r="D19" s="336">
        <v>0</v>
      </c>
      <c r="E19" s="358">
        <v>0</v>
      </c>
      <c r="F19" s="349">
        <v>0</v>
      </c>
      <c r="G19" s="359"/>
      <c r="H19" s="359"/>
      <c r="I19" s="359"/>
    </row>
    <row r="20" spans="1:9" x14ac:dyDescent="0.25">
      <c r="A20" s="259" t="s">
        <v>848</v>
      </c>
      <c r="B20" s="1019">
        <v>0</v>
      </c>
      <c r="C20" s="1019"/>
      <c r="D20" s="336">
        <v>0</v>
      </c>
      <c r="E20" s="358">
        <v>0</v>
      </c>
      <c r="F20" s="349">
        <v>0</v>
      </c>
      <c r="G20" s="359"/>
      <c r="H20" s="359"/>
      <c r="I20" s="359"/>
    </row>
    <row r="21" spans="1:9" x14ac:dyDescent="0.25">
      <c r="A21" s="259" t="s">
        <v>849</v>
      </c>
      <c r="B21" s="1019">
        <v>0</v>
      </c>
      <c r="C21" s="1019"/>
      <c r="D21" s="336">
        <v>0</v>
      </c>
      <c r="E21" s="358">
        <v>0</v>
      </c>
      <c r="F21" s="349">
        <v>0</v>
      </c>
      <c r="G21" s="359"/>
      <c r="H21" s="359"/>
      <c r="I21" s="359"/>
    </row>
    <row r="22" spans="1:9" x14ac:dyDescent="0.25">
      <c r="A22" s="259" t="s">
        <v>850</v>
      </c>
      <c r="B22" s="1019">
        <v>0</v>
      </c>
      <c r="C22" s="1019"/>
      <c r="D22" s="336">
        <v>0</v>
      </c>
      <c r="E22" s="358">
        <v>0</v>
      </c>
      <c r="F22" s="349">
        <v>0</v>
      </c>
      <c r="G22" s="359"/>
      <c r="H22" s="359"/>
      <c r="I22" s="359"/>
    </row>
    <row r="23" spans="1:9" x14ac:dyDescent="0.25">
      <c r="A23" s="259" t="s">
        <v>851</v>
      </c>
      <c r="B23" s="1019">
        <v>0</v>
      </c>
      <c r="C23" s="1019"/>
      <c r="D23" s="336">
        <v>0</v>
      </c>
      <c r="E23" s="358">
        <v>0</v>
      </c>
      <c r="F23" s="349">
        <v>0</v>
      </c>
      <c r="G23" s="359"/>
      <c r="H23" s="359"/>
      <c r="I23" s="359"/>
    </row>
    <row r="24" spans="1:9" x14ac:dyDescent="0.25">
      <c r="A24" s="257" t="s">
        <v>819</v>
      </c>
      <c r="B24" s="1022">
        <v>0</v>
      </c>
      <c r="C24" s="1022"/>
      <c r="D24" s="339">
        <v>0</v>
      </c>
      <c r="E24" s="360">
        <v>0</v>
      </c>
      <c r="F24" s="352">
        <v>0</v>
      </c>
      <c r="G24" s="361">
        <v>0</v>
      </c>
      <c r="H24" s="361">
        <v>0</v>
      </c>
      <c r="I24" s="361">
        <v>0</v>
      </c>
    </row>
    <row r="25" spans="1:9" x14ac:dyDescent="0.25">
      <c r="A25" s="255" t="s">
        <v>852</v>
      </c>
      <c r="B25" s="1020">
        <v>0</v>
      </c>
      <c r="C25" s="1021"/>
      <c r="D25" s="336">
        <v>0</v>
      </c>
      <c r="E25" s="358">
        <v>0</v>
      </c>
      <c r="F25" s="349">
        <v>0</v>
      </c>
      <c r="G25" s="359"/>
      <c r="H25" s="359"/>
      <c r="I25" s="359"/>
    </row>
    <row r="26" spans="1:9" x14ac:dyDescent="0.25">
      <c r="A26" s="362" t="s">
        <v>839</v>
      </c>
      <c r="B26" s="1022">
        <v>0</v>
      </c>
      <c r="C26" s="1022"/>
      <c r="D26" s="339">
        <v>0</v>
      </c>
      <c r="E26" s="360">
        <v>0</v>
      </c>
      <c r="F26" s="352">
        <v>0</v>
      </c>
      <c r="G26" s="361">
        <v>0</v>
      </c>
      <c r="H26" s="361">
        <v>0</v>
      </c>
      <c r="I26" s="361">
        <v>0</v>
      </c>
    </row>
    <row r="27" spans="1:9" x14ac:dyDescent="0.25">
      <c r="A27" s="245"/>
      <c r="B27" s="245"/>
      <c r="C27" s="245"/>
      <c r="D27" s="245"/>
      <c r="E27" s="245"/>
      <c r="F27" s="245"/>
      <c r="G27" s="245"/>
      <c r="H27" s="245"/>
      <c r="I27" s="245"/>
    </row>
    <row r="28" spans="1:9" x14ac:dyDescent="0.25">
      <c r="A28" s="245" t="s">
        <v>796</v>
      </c>
      <c r="B28" s="245"/>
      <c r="C28" s="245"/>
      <c r="D28" s="245"/>
      <c r="E28" s="245"/>
      <c r="F28" s="245"/>
      <c r="G28" s="245"/>
      <c r="H28" s="245"/>
      <c r="I28" s="245"/>
    </row>
    <row r="29" spans="1:9" x14ac:dyDescent="0.25">
      <c r="A29" s="940"/>
      <c r="B29" s="941"/>
      <c r="C29" s="941"/>
      <c r="D29" s="941"/>
      <c r="E29" s="941"/>
      <c r="F29" s="941"/>
      <c r="G29" s="941"/>
      <c r="H29" s="941"/>
      <c r="I29" s="942"/>
    </row>
    <row r="30" spans="1:9" x14ac:dyDescent="0.25">
      <c r="A30" s="943"/>
      <c r="B30" s="944"/>
      <c r="C30" s="944"/>
      <c r="D30" s="944"/>
      <c r="E30" s="944"/>
      <c r="F30" s="944"/>
      <c r="G30" s="944"/>
      <c r="H30" s="944"/>
      <c r="I30" s="945"/>
    </row>
    <row r="31" spans="1:9" x14ac:dyDescent="0.25">
      <c r="A31" s="943"/>
      <c r="B31" s="944"/>
      <c r="C31" s="944"/>
      <c r="D31" s="944"/>
      <c r="E31" s="944"/>
      <c r="F31" s="944"/>
      <c r="G31" s="944"/>
      <c r="H31" s="944"/>
      <c r="I31" s="945"/>
    </row>
    <row r="32" spans="1:9" x14ac:dyDescent="0.25">
      <c r="A32" s="943"/>
      <c r="B32" s="944"/>
      <c r="C32" s="944"/>
      <c r="D32" s="944"/>
      <c r="E32" s="944"/>
      <c r="F32" s="944"/>
      <c r="G32" s="944"/>
      <c r="H32" s="944"/>
      <c r="I32" s="945"/>
    </row>
    <row r="33" spans="1:9" x14ac:dyDescent="0.25">
      <c r="A33" s="943"/>
      <c r="B33" s="944"/>
      <c r="C33" s="944"/>
      <c r="D33" s="944"/>
      <c r="E33" s="944"/>
      <c r="F33" s="944"/>
      <c r="G33" s="944"/>
      <c r="H33" s="944"/>
      <c r="I33" s="945"/>
    </row>
    <row r="34" spans="1:9" x14ac:dyDescent="0.25">
      <c r="A34" s="946"/>
      <c r="B34" s="947"/>
      <c r="C34" s="947"/>
      <c r="D34" s="947"/>
      <c r="E34" s="947"/>
      <c r="F34" s="947"/>
      <c r="G34" s="947"/>
      <c r="H34" s="947"/>
      <c r="I34" s="948"/>
    </row>
  </sheetData>
  <mergeCells count="34">
    <mergeCell ref="B2:I2"/>
    <mergeCell ref="B3:I3"/>
    <mergeCell ref="B4:I4"/>
    <mergeCell ref="B5:I5"/>
    <mergeCell ref="B6:D6"/>
    <mergeCell ref="G6:H6"/>
    <mergeCell ref="B7:D7"/>
    <mergeCell ref="B8:I8"/>
    <mergeCell ref="B9:I9"/>
    <mergeCell ref="B10:C10"/>
    <mergeCell ref="E10:F10"/>
    <mergeCell ref="G10:I10"/>
    <mergeCell ref="B11:C11"/>
    <mergeCell ref="E11:F11"/>
    <mergeCell ref="G11:I11"/>
    <mergeCell ref="A13:I13"/>
    <mergeCell ref="A14:I14"/>
    <mergeCell ref="A29:I34"/>
    <mergeCell ref="I16:I17"/>
    <mergeCell ref="B17:C17"/>
    <mergeCell ref="B18:C18"/>
    <mergeCell ref="B19:C19"/>
    <mergeCell ref="B20:C20"/>
    <mergeCell ref="B21:C21"/>
    <mergeCell ref="A16:A17"/>
    <mergeCell ref="B16:C16"/>
    <mergeCell ref="E16:F16"/>
    <mergeCell ref="G16:G17"/>
    <mergeCell ref="H16:H17"/>
    <mergeCell ref="B22:C22"/>
    <mergeCell ref="B23:C23"/>
    <mergeCell ref="B24:C24"/>
    <mergeCell ref="B25:C25"/>
    <mergeCell ref="B26:C2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BA5C8-15A7-4E9D-897E-138EBAF72E3D}">
  <dimension ref="A2:I44"/>
  <sheetViews>
    <sheetView workbookViewId="0">
      <selection sqref="A1:XFD1048576"/>
    </sheetView>
  </sheetViews>
  <sheetFormatPr baseColWidth="10" defaultRowHeight="15" x14ac:dyDescent="0.25"/>
  <cols>
    <col min="1" max="1" width="32.7109375" customWidth="1"/>
    <col min="2" max="3" width="9.5703125" customWidth="1"/>
    <col min="4" max="4" width="15.28515625" customWidth="1"/>
    <col min="5" max="5" width="16.140625" customWidth="1"/>
    <col min="6" max="6" width="14" customWidth="1"/>
    <col min="7" max="7" width="19" customWidth="1"/>
    <col min="8" max="8" width="18.28515625" customWidth="1"/>
    <col min="9" max="9" width="9.42578125" customWidth="1"/>
  </cols>
  <sheetData>
    <row r="2" spans="1:9" x14ac:dyDescent="0.25">
      <c r="A2" s="198" t="s">
        <v>466</v>
      </c>
      <c r="B2" s="619">
        <v>4444444444</v>
      </c>
      <c r="C2" s="619"/>
      <c r="D2" s="619"/>
      <c r="E2" s="619"/>
      <c r="F2" s="619"/>
      <c r="G2" s="619"/>
      <c r="H2" s="619"/>
      <c r="I2" s="619"/>
    </row>
    <row r="3" spans="1:9" x14ac:dyDescent="0.25">
      <c r="A3" s="198"/>
      <c r="B3" s="620">
        <v>56565665</v>
      </c>
      <c r="C3" s="620"/>
      <c r="D3" s="620"/>
      <c r="E3" s="620"/>
      <c r="F3" s="620"/>
      <c r="G3" s="620"/>
      <c r="H3" s="620"/>
      <c r="I3" s="620"/>
    </row>
    <row r="4" spans="1:9" x14ac:dyDescent="0.25">
      <c r="A4" s="198" t="s">
        <v>364</v>
      </c>
      <c r="B4" s="620" t="s">
        <v>6</v>
      </c>
      <c r="C4" s="620"/>
      <c r="D4" s="620"/>
      <c r="E4" s="620"/>
      <c r="F4" s="620"/>
      <c r="G4" s="620"/>
      <c r="H4" s="620"/>
      <c r="I4" s="620"/>
    </row>
    <row r="5" spans="1:9" x14ac:dyDescent="0.25">
      <c r="A5" s="198" t="s">
        <v>365</v>
      </c>
      <c r="B5" s="620" t="s">
        <v>699</v>
      </c>
      <c r="C5" s="620"/>
      <c r="D5" s="620"/>
      <c r="E5" s="620"/>
      <c r="F5" s="620"/>
      <c r="G5" s="620"/>
      <c r="H5" s="620"/>
      <c r="I5" s="620"/>
    </row>
    <row r="6" spans="1:9" x14ac:dyDescent="0.25">
      <c r="A6" s="198" t="s">
        <v>366</v>
      </c>
      <c r="B6" s="619">
        <v>125545</v>
      </c>
      <c r="C6" s="619"/>
      <c r="D6" s="619"/>
      <c r="E6" s="47" t="s">
        <v>367</v>
      </c>
      <c r="F6" s="209">
        <v>46022</v>
      </c>
      <c r="G6" s="611" t="s">
        <v>368</v>
      </c>
      <c r="H6" s="611"/>
      <c r="I6" s="241">
        <v>12</v>
      </c>
    </row>
    <row r="7" spans="1:9" x14ac:dyDescent="0.25">
      <c r="A7" s="204" t="s">
        <v>369</v>
      </c>
      <c r="B7" s="620" t="s">
        <v>8</v>
      </c>
      <c r="C7" s="620"/>
      <c r="D7" s="620"/>
      <c r="E7" s="200"/>
      <c r="F7" s="200"/>
      <c r="G7" s="200"/>
      <c r="H7" s="200"/>
      <c r="I7" s="197"/>
    </row>
    <row r="8" spans="1:9" x14ac:dyDescent="0.25">
      <c r="A8" s="200" t="s">
        <v>468</v>
      </c>
      <c r="B8" s="619" t="s">
        <v>35</v>
      </c>
      <c r="C8" s="619"/>
      <c r="D8" s="619"/>
      <c r="E8" s="619"/>
      <c r="F8" s="619"/>
      <c r="G8" s="619"/>
      <c r="H8" s="619"/>
      <c r="I8" s="619"/>
    </row>
    <row r="9" spans="1:9" x14ac:dyDescent="0.25">
      <c r="A9" s="200"/>
      <c r="B9" s="620" t="s">
        <v>36</v>
      </c>
      <c r="C9" s="620"/>
      <c r="D9" s="620"/>
      <c r="E9" s="620"/>
      <c r="F9" s="620"/>
      <c r="G9" s="620"/>
      <c r="H9" s="620"/>
      <c r="I9" s="620"/>
    </row>
    <row r="10" spans="1:9" x14ac:dyDescent="0.25">
      <c r="A10" s="200" t="s">
        <v>469</v>
      </c>
      <c r="B10" s="619" t="s">
        <v>40</v>
      </c>
      <c r="C10" s="619"/>
      <c r="D10" s="200"/>
      <c r="E10" s="611" t="s">
        <v>470</v>
      </c>
      <c r="F10" s="611"/>
      <c r="G10" s="620" t="s">
        <v>38</v>
      </c>
      <c r="H10" s="620"/>
      <c r="I10" s="620"/>
    </row>
    <row r="11" spans="1:9" x14ac:dyDescent="0.25">
      <c r="A11" s="200" t="s">
        <v>471</v>
      </c>
      <c r="B11" s="876">
        <v>44713</v>
      </c>
      <c r="C11" s="876"/>
      <c r="D11" s="242"/>
      <c r="E11" s="610" t="s">
        <v>472</v>
      </c>
      <c r="F11" s="610"/>
      <c r="G11" s="876">
        <v>45991</v>
      </c>
      <c r="H11" s="876"/>
      <c r="I11" s="876"/>
    </row>
    <row r="12" spans="1:9" ht="8.4499999999999993" customHeight="1" x14ac:dyDescent="0.25"/>
    <row r="13" spans="1:9" x14ac:dyDescent="0.25">
      <c r="A13" s="691" t="s">
        <v>853</v>
      </c>
      <c r="B13" s="691"/>
      <c r="C13" s="691"/>
      <c r="D13" s="691"/>
      <c r="E13" s="691"/>
      <c r="F13" s="691"/>
      <c r="G13" s="691"/>
      <c r="H13" s="691"/>
      <c r="I13" s="691"/>
    </row>
    <row r="14" spans="1:9" x14ac:dyDescent="0.25">
      <c r="A14" s="691" t="s">
        <v>854</v>
      </c>
      <c r="B14" s="691"/>
      <c r="C14" s="691"/>
      <c r="D14" s="691"/>
      <c r="E14" s="691"/>
      <c r="F14" s="691"/>
      <c r="G14" s="691"/>
      <c r="H14" s="691"/>
      <c r="I14" s="691"/>
    </row>
    <row r="15" spans="1:9" x14ac:dyDescent="0.25">
      <c r="A15" s="1025" t="s">
        <v>812</v>
      </c>
      <c r="B15" s="1026"/>
      <c r="C15" s="1027"/>
      <c r="D15" s="1031" t="s">
        <v>813</v>
      </c>
      <c r="E15" s="1032"/>
      <c r="F15" s="1031" t="s">
        <v>813</v>
      </c>
      <c r="G15" s="1033"/>
      <c r="H15" s="1034" t="s">
        <v>855</v>
      </c>
      <c r="I15" s="1034"/>
    </row>
    <row r="16" spans="1:9" x14ac:dyDescent="0.25">
      <c r="A16" s="1028"/>
      <c r="B16" s="1029"/>
      <c r="C16" s="1030"/>
      <c r="D16" s="1017">
        <f>IF(ISBLANK([1]IDENTIFICATION!F11),"",[1]IDENTIFICATION!F11)</f>
        <v>46022</v>
      </c>
      <c r="E16" s="1035"/>
      <c r="F16" s="1017">
        <f>IF(ISBLANK([1]IDENTIFICATION!B10),"",[1]IDENTIFICATION!B10)</f>
        <v>46022</v>
      </c>
      <c r="G16" s="1018"/>
      <c r="H16" s="363" t="s">
        <v>815</v>
      </c>
      <c r="I16" s="363" t="s">
        <v>846</v>
      </c>
    </row>
    <row r="17" spans="1:9" x14ac:dyDescent="0.25">
      <c r="A17" s="905" t="s">
        <v>856</v>
      </c>
      <c r="B17" s="906"/>
      <c r="C17" s="907"/>
      <c r="D17" s="1047">
        <v>0</v>
      </c>
      <c r="E17" s="1047"/>
      <c r="F17" s="1048">
        <v>0</v>
      </c>
      <c r="G17" s="1049"/>
      <c r="H17" s="346">
        <v>0</v>
      </c>
      <c r="I17" s="364">
        <v>0</v>
      </c>
    </row>
    <row r="18" spans="1:9" x14ac:dyDescent="0.25">
      <c r="A18" s="905" t="s">
        <v>857</v>
      </c>
      <c r="B18" s="906"/>
      <c r="C18" s="907"/>
      <c r="D18" s="1067">
        <v>0</v>
      </c>
      <c r="E18" s="1068"/>
      <c r="F18" s="1067">
        <v>0</v>
      </c>
      <c r="G18" s="1068"/>
      <c r="H18" s="346">
        <v>0</v>
      </c>
      <c r="I18" s="364">
        <v>0</v>
      </c>
    </row>
    <row r="19" spans="1:9" x14ac:dyDescent="0.25">
      <c r="A19" s="905" t="s">
        <v>858</v>
      </c>
      <c r="B19" s="906"/>
      <c r="C19" s="907"/>
      <c r="D19" s="1067">
        <v>0</v>
      </c>
      <c r="E19" s="1068"/>
      <c r="F19" s="1067">
        <v>0</v>
      </c>
      <c r="G19" s="1068"/>
      <c r="H19" s="346">
        <v>0</v>
      </c>
      <c r="I19" s="364">
        <v>0</v>
      </c>
    </row>
    <row r="20" spans="1:9" x14ac:dyDescent="0.25">
      <c r="A20" s="905" t="s">
        <v>859</v>
      </c>
      <c r="B20" s="906"/>
      <c r="C20" s="907"/>
      <c r="D20" s="1067">
        <v>0</v>
      </c>
      <c r="E20" s="1068"/>
      <c r="F20" s="1067">
        <v>0</v>
      </c>
      <c r="G20" s="1068"/>
      <c r="H20" s="346">
        <v>0</v>
      </c>
      <c r="I20" s="364">
        <v>0</v>
      </c>
    </row>
    <row r="21" spans="1:9" x14ac:dyDescent="0.25">
      <c r="A21" s="1063" t="s">
        <v>860</v>
      </c>
      <c r="B21" s="1063"/>
      <c r="C21" s="1063"/>
      <c r="D21" s="1041">
        <v>0</v>
      </c>
      <c r="E21" s="1041"/>
      <c r="F21" s="1042">
        <v>0</v>
      </c>
      <c r="G21" s="1043"/>
      <c r="H21" s="365">
        <v>0</v>
      </c>
      <c r="I21" s="366">
        <v>0</v>
      </c>
    </row>
    <row r="22" spans="1:9" x14ac:dyDescent="0.25">
      <c r="A22" s="1062" t="s">
        <v>861</v>
      </c>
      <c r="B22" s="1062"/>
      <c r="C22" s="1062"/>
      <c r="D22" s="1047">
        <v>0</v>
      </c>
      <c r="E22" s="1047"/>
      <c r="F22" s="1048">
        <v>0</v>
      </c>
      <c r="G22" s="1049"/>
      <c r="H22" s="346">
        <v>0</v>
      </c>
      <c r="I22" s="364">
        <v>0</v>
      </c>
    </row>
    <row r="23" spans="1:9" x14ac:dyDescent="0.25">
      <c r="A23" s="1062" t="s">
        <v>862</v>
      </c>
      <c r="B23" s="1062"/>
      <c r="C23" s="1062"/>
      <c r="D23" s="1047">
        <v>0</v>
      </c>
      <c r="E23" s="1047"/>
      <c r="F23" s="1048">
        <v>0</v>
      </c>
      <c r="G23" s="1049"/>
      <c r="H23" s="346">
        <v>0</v>
      </c>
      <c r="I23" s="364">
        <v>0</v>
      </c>
    </row>
    <row r="24" spans="1:9" x14ac:dyDescent="0.25">
      <c r="A24" s="905" t="s">
        <v>863</v>
      </c>
      <c r="B24" s="906"/>
      <c r="C24" s="907"/>
      <c r="D24" s="1048">
        <v>0</v>
      </c>
      <c r="E24" s="1049"/>
      <c r="F24" s="1048">
        <v>0</v>
      </c>
      <c r="G24" s="1049"/>
      <c r="H24" s="346">
        <v>0</v>
      </c>
      <c r="I24" s="364">
        <v>0</v>
      </c>
    </row>
    <row r="25" spans="1:9" x14ac:dyDescent="0.25">
      <c r="A25" s="1064" t="s">
        <v>864</v>
      </c>
      <c r="B25" s="1065"/>
      <c r="C25" s="1066"/>
      <c r="D25" s="1067">
        <v>0</v>
      </c>
      <c r="E25" s="1068"/>
      <c r="F25" s="1067">
        <v>0</v>
      </c>
      <c r="G25" s="1068"/>
      <c r="H25" s="346">
        <v>0</v>
      </c>
      <c r="I25" s="364">
        <v>0</v>
      </c>
    </row>
    <row r="26" spans="1:9" x14ac:dyDescent="0.25">
      <c r="A26" s="905" t="s">
        <v>865</v>
      </c>
      <c r="B26" s="906"/>
      <c r="C26" s="907"/>
      <c r="D26" s="1048">
        <v>0</v>
      </c>
      <c r="E26" s="1049"/>
      <c r="F26" s="1048">
        <v>0</v>
      </c>
      <c r="G26" s="1049"/>
      <c r="H26" s="346">
        <v>0</v>
      </c>
      <c r="I26" s="364">
        <v>0</v>
      </c>
    </row>
    <row r="27" spans="1:9" x14ac:dyDescent="0.25">
      <c r="A27" s="905" t="s">
        <v>866</v>
      </c>
      <c r="B27" s="906"/>
      <c r="C27" s="907"/>
      <c r="D27" s="1048">
        <v>0</v>
      </c>
      <c r="E27" s="1049"/>
      <c r="F27" s="1048">
        <v>0</v>
      </c>
      <c r="G27" s="1049"/>
      <c r="H27" s="346">
        <v>0</v>
      </c>
      <c r="I27" s="364">
        <v>0</v>
      </c>
    </row>
    <row r="28" spans="1:9" x14ac:dyDescent="0.25">
      <c r="A28" s="905" t="s">
        <v>867</v>
      </c>
      <c r="B28" s="906"/>
      <c r="C28" s="907"/>
      <c r="D28" s="1048">
        <v>0</v>
      </c>
      <c r="E28" s="1049"/>
      <c r="F28" s="1048">
        <v>0</v>
      </c>
      <c r="G28" s="1049"/>
      <c r="H28" s="346">
        <v>0</v>
      </c>
      <c r="I28" s="364">
        <v>0</v>
      </c>
    </row>
    <row r="29" spans="1:9" x14ac:dyDescent="0.25">
      <c r="A29" s="905" t="s">
        <v>868</v>
      </c>
      <c r="B29" s="906"/>
      <c r="C29" s="907"/>
      <c r="D29" s="1048">
        <v>0</v>
      </c>
      <c r="E29" s="1049"/>
      <c r="F29" s="1048">
        <v>0</v>
      </c>
      <c r="G29" s="1049"/>
      <c r="H29" s="346">
        <v>0</v>
      </c>
      <c r="I29" s="364">
        <v>0</v>
      </c>
    </row>
    <row r="30" spans="1:9" x14ac:dyDescent="0.25">
      <c r="A30" s="905" t="s">
        <v>869</v>
      </c>
      <c r="B30" s="906"/>
      <c r="C30" s="907"/>
      <c r="D30" s="1048">
        <v>0</v>
      </c>
      <c r="E30" s="1049"/>
      <c r="F30" s="1048">
        <v>0</v>
      </c>
      <c r="G30" s="1049"/>
      <c r="H30" s="346">
        <v>0</v>
      </c>
      <c r="I30" s="364">
        <v>0</v>
      </c>
    </row>
    <row r="31" spans="1:9" x14ac:dyDescent="0.25">
      <c r="A31" s="905" t="s">
        <v>870</v>
      </c>
      <c r="B31" s="906"/>
      <c r="C31" s="907"/>
      <c r="D31" s="1048">
        <v>0</v>
      </c>
      <c r="E31" s="1049"/>
      <c r="F31" s="1048">
        <v>0</v>
      </c>
      <c r="G31" s="1049"/>
      <c r="H31" s="346">
        <v>0</v>
      </c>
      <c r="I31" s="364">
        <v>0</v>
      </c>
    </row>
    <row r="32" spans="1:9" x14ac:dyDescent="0.25">
      <c r="A32" s="1063" t="s">
        <v>871</v>
      </c>
      <c r="B32" s="1063"/>
      <c r="C32" s="1063"/>
      <c r="D32" s="1041">
        <v>0</v>
      </c>
      <c r="E32" s="1041"/>
      <c r="F32" s="1042">
        <v>0</v>
      </c>
      <c r="G32" s="1043"/>
      <c r="H32" s="365">
        <v>0</v>
      </c>
      <c r="I32" s="366">
        <v>0</v>
      </c>
    </row>
    <row r="33" spans="1:9" x14ac:dyDescent="0.25">
      <c r="A33" s="1062" t="s">
        <v>872</v>
      </c>
      <c r="B33" s="1062"/>
      <c r="C33" s="1062"/>
      <c r="D33" s="1047">
        <v>0</v>
      </c>
      <c r="E33" s="1047"/>
      <c r="F33" s="1048">
        <v>0</v>
      </c>
      <c r="G33" s="1049"/>
      <c r="H33" s="346">
        <v>0</v>
      </c>
      <c r="I33" s="364">
        <v>0</v>
      </c>
    </row>
    <row r="34" spans="1:9" x14ac:dyDescent="0.25">
      <c r="A34" s="1063" t="s">
        <v>839</v>
      </c>
      <c r="B34" s="1063"/>
      <c r="C34" s="1063"/>
      <c r="D34" s="1041">
        <v>0</v>
      </c>
      <c r="E34" s="1041"/>
      <c r="F34" s="1042">
        <v>0</v>
      </c>
      <c r="G34" s="1043"/>
      <c r="H34" s="365">
        <v>0</v>
      </c>
      <c r="I34" s="366">
        <v>0</v>
      </c>
    </row>
    <row r="35" spans="1:9" x14ac:dyDescent="0.25">
      <c r="A35" s="245"/>
      <c r="B35" s="245"/>
      <c r="C35" s="245"/>
      <c r="D35" s="245"/>
      <c r="E35" s="245"/>
      <c r="F35" s="245"/>
      <c r="G35" s="245"/>
      <c r="H35" s="245"/>
      <c r="I35" s="245"/>
    </row>
    <row r="36" spans="1:9" x14ac:dyDescent="0.25">
      <c r="A36" s="245" t="s">
        <v>796</v>
      </c>
      <c r="B36" s="245"/>
      <c r="C36" s="245"/>
      <c r="D36" s="245"/>
      <c r="E36" s="245"/>
      <c r="F36" s="245"/>
      <c r="G36" s="245"/>
      <c r="H36" s="245"/>
      <c r="I36" s="245"/>
    </row>
    <row r="37" spans="1:9" x14ac:dyDescent="0.25">
      <c r="A37" s="940"/>
      <c r="B37" s="941"/>
      <c r="C37" s="941"/>
      <c r="D37" s="941"/>
      <c r="E37" s="941"/>
      <c r="F37" s="941"/>
      <c r="G37" s="941"/>
      <c r="H37" s="941"/>
      <c r="I37" s="942"/>
    </row>
    <row r="38" spans="1:9" x14ac:dyDescent="0.25">
      <c r="A38" s="943"/>
      <c r="B38" s="944"/>
      <c r="C38" s="944"/>
      <c r="D38" s="944"/>
      <c r="E38" s="944"/>
      <c r="F38" s="944"/>
      <c r="G38" s="944"/>
      <c r="H38" s="944"/>
      <c r="I38" s="945"/>
    </row>
    <row r="39" spans="1:9" x14ac:dyDescent="0.25">
      <c r="A39" s="943"/>
      <c r="B39" s="944"/>
      <c r="C39" s="944"/>
      <c r="D39" s="944"/>
      <c r="E39" s="944"/>
      <c r="F39" s="944"/>
      <c r="G39" s="944"/>
      <c r="H39" s="944"/>
      <c r="I39" s="945"/>
    </row>
    <row r="40" spans="1:9" x14ac:dyDescent="0.25">
      <c r="A40" s="943"/>
      <c r="B40" s="944"/>
      <c r="C40" s="944"/>
      <c r="D40" s="944"/>
      <c r="E40" s="944"/>
      <c r="F40" s="944"/>
      <c r="G40" s="944"/>
      <c r="H40" s="944"/>
      <c r="I40" s="945"/>
    </row>
    <row r="41" spans="1:9" x14ac:dyDescent="0.25">
      <c r="A41" s="943"/>
      <c r="B41" s="944"/>
      <c r="C41" s="944"/>
      <c r="D41" s="944"/>
      <c r="E41" s="944"/>
      <c r="F41" s="944"/>
      <c r="G41" s="944"/>
      <c r="H41" s="944"/>
      <c r="I41" s="945"/>
    </row>
    <row r="42" spans="1:9" x14ac:dyDescent="0.25">
      <c r="A42" s="946"/>
      <c r="B42" s="947"/>
      <c r="C42" s="947"/>
      <c r="D42" s="947"/>
      <c r="E42" s="947"/>
      <c r="F42" s="947"/>
      <c r="G42" s="947"/>
      <c r="H42" s="947"/>
      <c r="I42" s="948"/>
    </row>
    <row r="43" spans="1:9" x14ac:dyDescent="0.25">
      <c r="A43" s="245"/>
      <c r="B43" s="245"/>
      <c r="C43" s="245"/>
      <c r="D43" s="245"/>
      <c r="E43" s="245"/>
      <c r="F43" s="245"/>
      <c r="G43" s="245"/>
      <c r="H43" s="245"/>
      <c r="I43" s="245"/>
    </row>
    <row r="44" spans="1:9" x14ac:dyDescent="0.25">
      <c r="A44" s="1061" t="s">
        <v>873</v>
      </c>
      <c r="B44" s="1061"/>
      <c r="C44" s="1061"/>
      <c r="D44" s="1061"/>
      <c r="E44" s="1061"/>
      <c r="F44" s="1061"/>
      <c r="G44" s="1061"/>
      <c r="H44" s="1061"/>
      <c r="I44" s="1061"/>
    </row>
  </sheetData>
  <mergeCells count="79">
    <mergeCell ref="B2:I2"/>
    <mergeCell ref="B3:I3"/>
    <mergeCell ref="B4:I4"/>
    <mergeCell ref="B5:I5"/>
    <mergeCell ref="B6:D6"/>
    <mergeCell ref="G6:H6"/>
    <mergeCell ref="H15:I15"/>
    <mergeCell ref="D16:E16"/>
    <mergeCell ref="B7:D7"/>
    <mergeCell ref="B8:I8"/>
    <mergeCell ref="B9:I9"/>
    <mergeCell ref="B10:C10"/>
    <mergeCell ref="E10:F10"/>
    <mergeCell ref="G10:I10"/>
    <mergeCell ref="B11:C11"/>
    <mergeCell ref="E11:F11"/>
    <mergeCell ref="G11:I11"/>
    <mergeCell ref="A13:I13"/>
    <mergeCell ref="A14:I14"/>
    <mergeCell ref="F16:G16"/>
    <mergeCell ref="A17:C17"/>
    <mergeCell ref="D17:E17"/>
    <mergeCell ref="F17:G17"/>
    <mergeCell ref="A18:C18"/>
    <mergeCell ref="D18:E18"/>
    <mergeCell ref="F18:G18"/>
    <mergeCell ref="A15:C16"/>
    <mergeCell ref="D15:E15"/>
    <mergeCell ref="F15:G15"/>
    <mergeCell ref="A19:C19"/>
    <mergeCell ref="D19:E19"/>
    <mergeCell ref="F19:G19"/>
    <mergeCell ref="A20:C20"/>
    <mergeCell ref="D20:E20"/>
    <mergeCell ref="F20:G20"/>
    <mergeCell ref="A21:C21"/>
    <mergeCell ref="D21:E21"/>
    <mergeCell ref="F21:G21"/>
    <mergeCell ref="A22:C22"/>
    <mergeCell ref="D22:E22"/>
    <mergeCell ref="F22:G22"/>
    <mergeCell ref="A23:C23"/>
    <mergeCell ref="D23:E23"/>
    <mergeCell ref="F23:G23"/>
    <mergeCell ref="A24:C24"/>
    <mergeCell ref="D24:E24"/>
    <mergeCell ref="F24:G24"/>
    <mergeCell ref="A25:C25"/>
    <mergeCell ref="D25:E25"/>
    <mergeCell ref="F25:G25"/>
    <mergeCell ref="A26:C26"/>
    <mergeCell ref="D26:E26"/>
    <mergeCell ref="F26:G26"/>
    <mergeCell ref="A27:C27"/>
    <mergeCell ref="D27:E27"/>
    <mergeCell ref="F27:G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7:I42"/>
    <mergeCell ref="A44:I44"/>
    <mergeCell ref="A33:C33"/>
    <mergeCell ref="D33:E33"/>
    <mergeCell ref="F33:G33"/>
    <mergeCell ref="A34:C34"/>
    <mergeCell ref="D34:E34"/>
    <mergeCell ref="F34:G3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A918A-2606-4BFA-9F4B-8AA9AFE627FA}">
  <dimension ref="A2:I48"/>
  <sheetViews>
    <sheetView workbookViewId="0">
      <selection sqref="A1:XFD1048576"/>
    </sheetView>
  </sheetViews>
  <sheetFormatPr baseColWidth="10" defaultRowHeight="15" x14ac:dyDescent="0.25"/>
  <cols>
    <col min="1" max="1" width="28.7109375" customWidth="1"/>
    <col min="2" max="2" width="5.85546875" customWidth="1"/>
    <col min="3" max="4" width="9.5703125" customWidth="1"/>
    <col min="5" max="5" width="17.28515625" customWidth="1"/>
    <col min="6" max="6" width="14" customWidth="1"/>
    <col min="7" max="7" width="17.140625" customWidth="1"/>
    <col min="8" max="8" width="8.140625" customWidth="1"/>
    <col min="9" max="9" width="8.7109375" customWidth="1"/>
  </cols>
  <sheetData>
    <row r="2" spans="1:9" x14ac:dyDescent="0.25">
      <c r="A2" s="198" t="s">
        <v>466</v>
      </c>
      <c r="B2" s="619">
        <v>4444444444</v>
      </c>
      <c r="C2" s="619"/>
      <c r="D2" s="619"/>
      <c r="E2" s="619"/>
      <c r="F2" s="619"/>
      <c r="G2" s="619"/>
      <c r="H2" s="619"/>
      <c r="I2" s="619"/>
    </row>
    <row r="3" spans="1:9" x14ac:dyDescent="0.25">
      <c r="A3" s="198"/>
      <c r="B3" s="620">
        <v>56565665</v>
      </c>
      <c r="C3" s="620"/>
      <c r="D3" s="620"/>
      <c r="E3" s="620"/>
      <c r="F3" s="620"/>
      <c r="G3" s="620"/>
      <c r="H3" s="620"/>
      <c r="I3" s="620"/>
    </row>
    <row r="4" spans="1:9" x14ac:dyDescent="0.25">
      <c r="A4" s="198" t="s">
        <v>364</v>
      </c>
      <c r="B4" s="620" t="s">
        <v>6</v>
      </c>
      <c r="C4" s="620"/>
      <c r="D4" s="620"/>
      <c r="E4" s="620"/>
      <c r="F4" s="620"/>
      <c r="G4" s="620"/>
      <c r="H4" s="620"/>
      <c r="I4" s="620"/>
    </row>
    <row r="5" spans="1:9" x14ac:dyDescent="0.25">
      <c r="A5" s="198" t="s">
        <v>365</v>
      </c>
      <c r="B5" s="620" t="s">
        <v>699</v>
      </c>
      <c r="C5" s="620"/>
      <c r="D5" s="620"/>
      <c r="E5" s="620"/>
      <c r="F5" s="620"/>
      <c r="G5" s="620"/>
      <c r="H5" s="620"/>
      <c r="I5" s="620"/>
    </row>
    <row r="6" spans="1:9" x14ac:dyDescent="0.25">
      <c r="A6" s="198" t="s">
        <v>366</v>
      </c>
      <c r="B6" s="620">
        <v>125545</v>
      </c>
      <c r="C6" s="620"/>
      <c r="D6" s="620"/>
      <c r="E6" s="47" t="s">
        <v>367</v>
      </c>
      <c r="F6" s="240">
        <v>46022</v>
      </c>
      <c r="G6" s="200" t="s">
        <v>467</v>
      </c>
      <c r="H6" s="620">
        <v>12</v>
      </c>
      <c r="I6" s="620"/>
    </row>
    <row r="7" spans="1:9" x14ac:dyDescent="0.25">
      <c r="A7" s="204" t="s">
        <v>369</v>
      </c>
      <c r="B7" s="619" t="s">
        <v>8</v>
      </c>
      <c r="C7" s="619"/>
      <c r="D7" s="619"/>
      <c r="E7" s="200"/>
      <c r="F7" s="200"/>
      <c r="G7" s="200"/>
      <c r="H7" s="200"/>
      <c r="I7" s="197"/>
    </row>
    <row r="8" spans="1:9" x14ac:dyDescent="0.25">
      <c r="A8" s="200" t="s">
        <v>468</v>
      </c>
      <c r="B8" s="619" t="s">
        <v>35</v>
      </c>
      <c r="C8" s="619"/>
      <c r="D8" s="619"/>
      <c r="E8" s="619"/>
      <c r="F8" s="619"/>
      <c r="G8" s="619"/>
      <c r="H8" s="619"/>
      <c r="I8" s="619"/>
    </row>
    <row r="9" spans="1:9" x14ac:dyDescent="0.25">
      <c r="A9" s="200"/>
      <c r="B9" s="620" t="s">
        <v>36</v>
      </c>
      <c r="C9" s="620"/>
      <c r="D9" s="620"/>
      <c r="E9" s="620"/>
      <c r="F9" s="620"/>
      <c r="G9" s="620"/>
      <c r="H9" s="620"/>
      <c r="I9" s="620"/>
    </row>
    <row r="10" spans="1:9" x14ac:dyDescent="0.25">
      <c r="A10" s="200" t="s">
        <v>469</v>
      </c>
      <c r="B10" s="620" t="s">
        <v>40</v>
      </c>
      <c r="C10" s="620"/>
      <c r="D10" s="620"/>
      <c r="E10" s="611" t="s">
        <v>470</v>
      </c>
      <c r="F10" s="611"/>
      <c r="G10" s="620" t="s">
        <v>38</v>
      </c>
      <c r="H10" s="620"/>
      <c r="I10" s="620"/>
    </row>
    <row r="11" spans="1:9" x14ac:dyDescent="0.25">
      <c r="A11" s="200" t="s">
        <v>471</v>
      </c>
      <c r="B11" s="876">
        <v>44713</v>
      </c>
      <c r="C11" s="876"/>
      <c r="D11" s="876"/>
      <c r="E11" s="610" t="s">
        <v>472</v>
      </c>
      <c r="F11" s="610"/>
      <c r="G11" s="876">
        <v>45991</v>
      </c>
      <c r="H11" s="876"/>
      <c r="I11" s="876"/>
    </row>
    <row r="12" spans="1:9" ht="15.6" customHeight="1" x14ac:dyDescent="0.25"/>
    <row r="13" spans="1:9" x14ac:dyDescent="0.25">
      <c r="A13" s="691" t="s">
        <v>874</v>
      </c>
      <c r="B13" s="691"/>
      <c r="C13" s="691"/>
      <c r="D13" s="691"/>
      <c r="E13" s="691"/>
      <c r="F13" s="691"/>
      <c r="G13" s="691"/>
      <c r="H13" s="691"/>
      <c r="I13" s="691"/>
    </row>
    <row r="14" spans="1:9" x14ac:dyDescent="0.25">
      <c r="A14" s="691" t="s">
        <v>875</v>
      </c>
      <c r="B14" s="691"/>
      <c r="C14" s="691"/>
      <c r="D14" s="691"/>
      <c r="E14" s="691"/>
      <c r="F14" s="691"/>
      <c r="G14" s="691"/>
      <c r="H14" s="691"/>
      <c r="I14" s="691"/>
    </row>
    <row r="15" spans="1:9" x14ac:dyDescent="0.25">
      <c r="A15" s="266"/>
      <c r="B15" s="266"/>
      <c r="C15" s="266"/>
      <c r="D15" s="266"/>
      <c r="E15" s="266"/>
      <c r="F15" s="266"/>
      <c r="G15" s="266"/>
      <c r="H15" s="266"/>
      <c r="I15" s="266"/>
    </row>
    <row r="16" spans="1:9" x14ac:dyDescent="0.25">
      <c r="A16" s="1025" t="s">
        <v>812</v>
      </c>
      <c r="B16" s="1026"/>
      <c r="C16" s="1027"/>
      <c r="D16" s="1058" t="s">
        <v>876</v>
      </c>
      <c r="E16" s="1060" t="s">
        <v>877</v>
      </c>
      <c r="F16" s="1060" t="s">
        <v>878</v>
      </c>
      <c r="G16" s="355" t="s">
        <v>879</v>
      </c>
      <c r="H16" s="1060" t="s">
        <v>880</v>
      </c>
      <c r="I16" s="1060"/>
    </row>
    <row r="17" spans="1:9" ht="34.15" customHeight="1" x14ac:dyDescent="0.25">
      <c r="A17" s="1028"/>
      <c r="B17" s="1029"/>
      <c r="C17" s="1030"/>
      <c r="D17" s="1059"/>
      <c r="E17" s="1060"/>
      <c r="F17" s="1060"/>
      <c r="G17" s="367">
        <f>IF(ISBLANK([1]IDENTIFICATION!F11),"",[1]IDENTIFICATION!F11)</f>
        <v>46022</v>
      </c>
      <c r="H17" s="1060"/>
      <c r="I17" s="1060"/>
    </row>
    <row r="18" spans="1:9" x14ac:dyDescent="0.25">
      <c r="A18" s="1073" t="s">
        <v>881</v>
      </c>
      <c r="B18" s="1074"/>
      <c r="C18" s="1074"/>
      <c r="D18" s="1074"/>
      <c r="E18" s="1074"/>
      <c r="F18" s="1074"/>
      <c r="G18" s="1074"/>
      <c r="H18" s="1074"/>
      <c r="I18" s="1075"/>
    </row>
    <row r="19" spans="1:9" x14ac:dyDescent="0.25">
      <c r="A19" s="900"/>
      <c r="B19" s="901"/>
      <c r="C19" s="902"/>
      <c r="D19" s="368"/>
      <c r="E19" s="369"/>
      <c r="F19" s="369"/>
      <c r="G19" s="369"/>
      <c r="H19" s="1072">
        <f>ABS(E19*F19-E19*G19)</f>
        <v>0</v>
      </c>
      <c r="I19" s="1072"/>
    </row>
    <row r="20" spans="1:9" x14ac:dyDescent="0.25">
      <c r="A20" s="900"/>
      <c r="B20" s="901"/>
      <c r="C20" s="902"/>
      <c r="D20" s="368"/>
      <c r="E20" s="369"/>
      <c r="F20" s="369"/>
      <c r="G20" s="369"/>
      <c r="H20" s="1072">
        <f t="shared" ref="H20:H27" si="0">ABS(E20*F20-E20*G20)</f>
        <v>0</v>
      </c>
      <c r="I20" s="1072"/>
    </row>
    <row r="21" spans="1:9" x14ac:dyDescent="0.25">
      <c r="A21" s="900"/>
      <c r="B21" s="901"/>
      <c r="C21" s="902"/>
      <c r="D21" s="368"/>
      <c r="E21" s="369"/>
      <c r="F21" s="369"/>
      <c r="G21" s="369"/>
      <c r="H21" s="1072">
        <f t="shared" si="0"/>
        <v>0</v>
      </c>
      <c r="I21" s="1072"/>
    </row>
    <row r="22" spans="1:9" x14ac:dyDescent="0.25">
      <c r="A22" s="900"/>
      <c r="B22" s="901"/>
      <c r="C22" s="902"/>
      <c r="D22" s="368"/>
      <c r="E22" s="369"/>
      <c r="F22" s="369"/>
      <c r="G22" s="369"/>
      <c r="H22" s="1072">
        <f>ABS(E22*F22-E22*G22)</f>
        <v>0</v>
      </c>
      <c r="I22" s="1072"/>
    </row>
    <row r="23" spans="1:9" x14ac:dyDescent="0.25">
      <c r="A23" s="900"/>
      <c r="B23" s="901"/>
      <c r="C23" s="902"/>
      <c r="D23" s="368"/>
      <c r="E23" s="369"/>
      <c r="F23" s="369"/>
      <c r="G23" s="369"/>
      <c r="H23" s="1072">
        <f t="shared" si="0"/>
        <v>0</v>
      </c>
      <c r="I23" s="1072"/>
    </row>
    <row r="24" spans="1:9" x14ac:dyDescent="0.25">
      <c r="A24" s="900"/>
      <c r="B24" s="901"/>
      <c r="C24" s="902"/>
      <c r="D24" s="368"/>
      <c r="E24" s="369"/>
      <c r="F24" s="369"/>
      <c r="G24" s="369"/>
      <c r="H24" s="1072">
        <f t="shared" si="0"/>
        <v>0</v>
      </c>
      <c r="I24" s="1072"/>
    </row>
    <row r="25" spans="1:9" x14ac:dyDescent="0.25">
      <c r="A25" s="900"/>
      <c r="B25" s="901"/>
      <c r="C25" s="902"/>
      <c r="D25" s="368"/>
      <c r="E25" s="369"/>
      <c r="F25" s="369"/>
      <c r="G25" s="369"/>
      <c r="H25" s="1072">
        <f>ABS(E25*F25-E25*G25)</f>
        <v>0</v>
      </c>
      <c r="I25" s="1072"/>
    </row>
    <row r="26" spans="1:9" x14ac:dyDescent="0.25">
      <c r="A26" s="900"/>
      <c r="B26" s="901"/>
      <c r="C26" s="902"/>
      <c r="D26" s="368"/>
      <c r="E26" s="369"/>
      <c r="F26" s="369"/>
      <c r="G26" s="369"/>
      <c r="H26" s="1072">
        <f t="shared" si="0"/>
        <v>0</v>
      </c>
      <c r="I26" s="1072"/>
    </row>
    <row r="27" spans="1:9" x14ac:dyDescent="0.25">
      <c r="A27" s="900"/>
      <c r="B27" s="901"/>
      <c r="C27" s="902"/>
      <c r="D27" s="368"/>
      <c r="E27" s="369"/>
      <c r="F27" s="369"/>
      <c r="G27" s="369"/>
      <c r="H27" s="1072">
        <f t="shared" si="0"/>
        <v>0</v>
      </c>
      <c r="I27" s="1072"/>
    </row>
    <row r="28" spans="1:9" x14ac:dyDescent="0.25">
      <c r="A28" s="900"/>
      <c r="B28" s="901"/>
      <c r="C28" s="902"/>
      <c r="D28" s="368"/>
      <c r="E28" s="369"/>
      <c r="F28" s="369"/>
      <c r="G28" s="369"/>
      <c r="H28" s="1072">
        <f>ABS(E28*F28-E28*G28)</f>
        <v>0</v>
      </c>
      <c r="I28" s="1072"/>
    </row>
    <row r="29" spans="1:9" x14ac:dyDescent="0.25">
      <c r="A29" s="272"/>
      <c r="B29" s="272"/>
      <c r="C29" s="272"/>
      <c r="D29" s="370"/>
      <c r="E29" s="370"/>
      <c r="F29" s="370"/>
      <c r="G29" s="370"/>
      <c r="H29" s="370"/>
      <c r="I29" s="370"/>
    </row>
    <row r="30" spans="1:9" x14ac:dyDescent="0.25">
      <c r="A30" s="1073" t="s">
        <v>882</v>
      </c>
      <c r="B30" s="1074"/>
      <c r="C30" s="1074"/>
      <c r="D30" s="1074"/>
      <c r="E30" s="1074"/>
      <c r="F30" s="1074"/>
      <c r="G30" s="1074"/>
      <c r="H30" s="1074"/>
      <c r="I30" s="1075"/>
    </row>
    <row r="31" spans="1:9" x14ac:dyDescent="0.25">
      <c r="A31" s="880"/>
      <c r="B31" s="880"/>
      <c r="C31" s="880"/>
      <c r="D31" s="368"/>
      <c r="E31" s="369"/>
      <c r="F31" s="369"/>
      <c r="G31" s="369"/>
      <c r="H31" s="1072">
        <f>ABS(E31*F31-E31*G31)</f>
        <v>0</v>
      </c>
      <c r="I31" s="1072"/>
    </row>
    <row r="32" spans="1:9" x14ac:dyDescent="0.25">
      <c r="A32" s="1069"/>
      <c r="B32" s="1070"/>
      <c r="C32" s="1071"/>
      <c r="D32" s="368"/>
      <c r="E32" s="369"/>
      <c r="F32" s="369"/>
      <c r="G32" s="369"/>
      <c r="H32" s="1072">
        <f t="shared" ref="H32:H40" si="1">ABS(E32*F32-E32*G32)</f>
        <v>0</v>
      </c>
      <c r="I32" s="1072"/>
    </row>
    <row r="33" spans="1:9" x14ac:dyDescent="0.25">
      <c r="A33" s="1069"/>
      <c r="B33" s="1070"/>
      <c r="C33" s="1071"/>
      <c r="D33" s="368"/>
      <c r="E33" s="369"/>
      <c r="F33" s="369"/>
      <c r="G33" s="369"/>
      <c r="H33" s="1072">
        <f t="shared" si="1"/>
        <v>0</v>
      </c>
      <c r="I33" s="1072"/>
    </row>
    <row r="34" spans="1:9" x14ac:dyDescent="0.25">
      <c r="A34" s="1069"/>
      <c r="B34" s="1070"/>
      <c r="C34" s="1071"/>
      <c r="D34" s="368"/>
      <c r="E34" s="369"/>
      <c r="F34" s="369"/>
      <c r="G34" s="369"/>
      <c r="H34" s="1072">
        <f t="shared" si="1"/>
        <v>0</v>
      </c>
      <c r="I34" s="1072"/>
    </row>
    <row r="35" spans="1:9" x14ac:dyDescent="0.25">
      <c r="A35" s="1069"/>
      <c r="B35" s="1070"/>
      <c r="C35" s="1071"/>
      <c r="D35" s="368"/>
      <c r="E35" s="369"/>
      <c r="F35" s="369"/>
      <c r="G35" s="369"/>
      <c r="H35" s="1072">
        <f t="shared" si="1"/>
        <v>0</v>
      </c>
      <c r="I35" s="1072"/>
    </row>
    <row r="36" spans="1:9" x14ac:dyDescent="0.25">
      <c r="A36" s="1069"/>
      <c r="B36" s="1070"/>
      <c r="C36" s="1071"/>
      <c r="D36" s="368"/>
      <c r="E36" s="369"/>
      <c r="F36" s="369"/>
      <c r="G36" s="369"/>
      <c r="H36" s="1072">
        <f t="shared" si="1"/>
        <v>0</v>
      </c>
      <c r="I36" s="1072"/>
    </row>
    <row r="37" spans="1:9" x14ac:dyDescent="0.25">
      <c r="A37" s="1069"/>
      <c r="B37" s="1070"/>
      <c r="C37" s="1071"/>
      <c r="D37" s="368"/>
      <c r="E37" s="369"/>
      <c r="F37" s="369"/>
      <c r="G37" s="369"/>
      <c r="H37" s="1072">
        <f t="shared" si="1"/>
        <v>0</v>
      </c>
      <c r="I37" s="1072"/>
    </row>
    <row r="38" spans="1:9" x14ac:dyDescent="0.25">
      <c r="A38" s="1069"/>
      <c r="B38" s="1070"/>
      <c r="C38" s="1071"/>
      <c r="D38" s="368"/>
      <c r="E38" s="369"/>
      <c r="F38" s="369"/>
      <c r="G38" s="369"/>
      <c r="H38" s="1072">
        <f t="shared" si="1"/>
        <v>0</v>
      </c>
      <c r="I38" s="1072"/>
    </row>
    <row r="39" spans="1:9" x14ac:dyDescent="0.25">
      <c r="A39" s="1069"/>
      <c r="B39" s="1070"/>
      <c r="C39" s="1071"/>
      <c r="D39" s="368"/>
      <c r="E39" s="369"/>
      <c r="F39" s="369"/>
      <c r="G39" s="369"/>
      <c r="H39" s="1072">
        <f t="shared" si="1"/>
        <v>0</v>
      </c>
      <c r="I39" s="1072"/>
    </row>
    <row r="40" spans="1:9" x14ac:dyDescent="0.25">
      <c r="A40" s="1069"/>
      <c r="B40" s="1070"/>
      <c r="C40" s="1071"/>
      <c r="D40" s="368"/>
      <c r="E40" s="369"/>
      <c r="F40" s="369"/>
      <c r="G40" s="369"/>
      <c r="H40" s="1072">
        <f t="shared" si="1"/>
        <v>0</v>
      </c>
      <c r="I40" s="1072"/>
    </row>
    <row r="41" spans="1:9" x14ac:dyDescent="0.25">
      <c r="A41" s="266"/>
      <c r="B41" s="266"/>
      <c r="C41" s="266"/>
      <c r="D41" s="266"/>
      <c r="E41" s="266"/>
      <c r="F41" s="266"/>
      <c r="G41" s="266"/>
      <c r="H41" s="266"/>
      <c r="I41" s="266"/>
    </row>
    <row r="42" spans="1:9" x14ac:dyDescent="0.25">
      <c r="A42" s="268" t="s">
        <v>883</v>
      </c>
      <c r="B42" s="266"/>
      <c r="C42" s="266"/>
      <c r="D42" s="266"/>
      <c r="E42" s="266"/>
      <c r="F42" s="266"/>
      <c r="G42" s="266"/>
      <c r="H42" s="266"/>
      <c r="I42" s="266"/>
    </row>
    <row r="43" spans="1:9" x14ac:dyDescent="0.25">
      <c r="A43" s="266" t="s">
        <v>796</v>
      </c>
      <c r="B43" s="266"/>
      <c r="C43" s="266"/>
      <c r="D43" s="266"/>
      <c r="E43" s="266"/>
      <c r="F43" s="266"/>
      <c r="G43" s="266"/>
      <c r="H43" s="266"/>
      <c r="I43" s="266"/>
    </row>
    <row r="44" spans="1:9" x14ac:dyDescent="0.25">
      <c r="A44" s="940"/>
      <c r="B44" s="941"/>
      <c r="C44" s="941"/>
      <c r="D44" s="941"/>
      <c r="E44" s="941"/>
      <c r="F44" s="941"/>
      <c r="G44" s="941"/>
      <c r="H44" s="941"/>
      <c r="I44" s="942"/>
    </row>
    <row r="45" spans="1:9" x14ac:dyDescent="0.25">
      <c r="A45" s="943"/>
      <c r="B45" s="944"/>
      <c r="C45" s="944"/>
      <c r="D45" s="944"/>
      <c r="E45" s="944"/>
      <c r="F45" s="944"/>
      <c r="G45" s="944"/>
      <c r="H45" s="944"/>
      <c r="I45" s="945"/>
    </row>
    <row r="46" spans="1:9" x14ac:dyDescent="0.25">
      <c r="A46" s="943"/>
      <c r="B46" s="944"/>
      <c r="C46" s="944"/>
      <c r="D46" s="944"/>
      <c r="E46" s="944"/>
      <c r="F46" s="944"/>
      <c r="G46" s="944"/>
      <c r="H46" s="944"/>
      <c r="I46" s="945"/>
    </row>
    <row r="47" spans="1:9" x14ac:dyDescent="0.25">
      <c r="A47" s="943"/>
      <c r="B47" s="944"/>
      <c r="C47" s="944"/>
      <c r="D47" s="944"/>
      <c r="E47" s="944"/>
      <c r="F47" s="944"/>
      <c r="G47" s="944"/>
      <c r="H47" s="944"/>
      <c r="I47" s="945"/>
    </row>
    <row r="48" spans="1:9" x14ac:dyDescent="0.25">
      <c r="A48" s="946"/>
      <c r="B48" s="947"/>
      <c r="C48" s="947"/>
      <c r="D48" s="947"/>
      <c r="E48" s="947"/>
      <c r="F48" s="947"/>
      <c r="G48" s="947"/>
      <c r="H48" s="947"/>
      <c r="I48" s="948"/>
    </row>
  </sheetData>
  <mergeCells count="65">
    <mergeCell ref="B2:I2"/>
    <mergeCell ref="B3:I3"/>
    <mergeCell ref="B4:I4"/>
    <mergeCell ref="B5:I5"/>
    <mergeCell ref="B6:D6"/>
    <mergeCell ref="H6:I6"/>
    <mergeCell ref="B7:D7"/>
    <mergeCell ref="B8:I8"/>
    <mergeCell ref="B9:I9"/>
    <mergeCell ref="B10:D10"/>
    <mergeCell ref="E10:F10"/>
    <mergeCell ref="G10:I10"/>
    <mergeCell ref="A21:C21"/>
    <mergeCell ref="H21:I21"/>
    <mergeCell ref="B11:D11"/>
    <mergeCell ref="E11:F11"/>
    <mergeCell ref="G11:I11"/>
    <mergeCell ref="A13:I13"/>
    <mergeCell ref="A14:I14"/>
    <mergeCell ref="A16:C17"/>
    <mergeCell ref="D16:D17"/>
    <mergeCell ref="E16:E17"/>
    <mergeCell ref="F16:F17"/>
    <mergeCell ref="H16:I17"/>
    <mergeCell ref="A18:I18"/>
    <mergeCell ref="A19:C19"/>
    <mergeCell ref="H19:I19"/>
    <mergeCell ref="A20:C20"/>
    <mergeCell ref="H20:I20"/>
    <mergeCell ref="A22:C22"/>
    <mergeCell ref="H22:I22"/>
    <mergeCell ref="A23:C23"/>
    <mergeCell ref="H23:I23"/>
    <mergeCell ref="A24:C24"/>
    <mergeCell ref="H24:I24"/>
    <mergeCell ref="A32:C32"/>
    <mergeCell ref="H32:I32"/>
    <mergeCell ref="A25:C25"/>
    <mergeCell ref="H25:I25"/>
    <mergeCell ref="A26:C26"/>
    <mergeCell ref="H26:I26"/>
    <mergeCell ref="A27:C27"/>
    <mergeCell ref="H27:I27"/>
    <mergeCell ref="A28:C28"/>
    <mergeCell ref="H28:I28"/>
    <mergeCell ref="A30:I30"/>
    <mergeCell ref="A31:C31"/>
    <mergeCell ref="H31:I31"/>
    <mergeCell ref="A33:C33"/>
    <mergeCell ref="H33:I33"/>
    <mergeCell ref="A34:C34"/>
    <mergeCell ref="H34:I34"/>
    <mergeCell ref="A35:C35"/>
    <mergeCell ref="H35:I35"/>
    <mergeCell ref="A36:C36"/>
    <mergeCell ref="H36:I36"/>
    <mergeCell ref="A37:C37"/>
    <mergeCell ref="H37:I37"/>
    <mergeCell ref="A38:C38"/>
    <mergeCell ref="H38:I38"/>
    <mergeCell ref="A39:C39"/>
    <mergeCell ref="H39:I39"/>
    <mergeCell ref="A40:C40"/>
    <mergeCell ref="H40:I40"/>
    <mergeCell ref="A44:I48"/>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870F4-B74E-47DA-BEF8-4A40863379C5}">
  <dimension ref="A2:I45"/>
  <sheetViews>
    <sheetView workbookViewId="0">
      <selection sqref="A1:XFD1048576"/>
    </sheetView>
  </sheetViews>
  <sheetFormatPr baseColWidth="10" defaultRowHeight="15" x14ac:dyDescent="0.25"/>
  <cols>
    <col min="1" max="1" width="23.28515625" customWidth="1"/>
    <col min="2" max="2" width="6.5703125" customWidth="1"/>
    <col min="3" max="3" width="7.7109375" customWidth="1"/>
    <col min="4" max="4" width="15.7109375" customWidth="1"/>
    <col min="5" max="5" width="14.42578125" customWidth="1"/>
    <col min="6" max="6" width="15.42578125" customWidth="1"/>
    <col min="7" max="7" width="19.85546875" customWidth="1"/>
    <col min="8" max="8" width="13" customWidth="1"/>
    <col min="9" max="9" width="6.5703125" customWidth="1"/>
  </cols>
  <sheetData>
    <row r="2" spans="1:9" x14ac:dyDescent="0.25">
      <c r="A2" s="198" t="s">
        <v>466</v>
      </c>
      <c r="B2" s="619">
        <v>4444444444</v>
      </c>
      <c r="C2" s="619"/>
      <c r="D2" s="619"/>
      <c r="E2" s="619"/>
      <c r="F2" s="619"/>
      <c r="G2" s="619"/>
      <c r="H2" s="619"/>
      <c r="I2" s="619"/>
    </row>
    <row r="3" spans="1:9" x14ac:dyDescent="0.25">
      <c r="A3" s="198"/>
      <c r="B3" s="620">
        <v>56565665</v>
      </c>
      <c r="C3" s="620"/>
      <c r="D3" s="620"/>
      <c r="E3" s="620"/>
      <c r="F3" s="620"/>
      <c r="G3" s="620"/>
      <c r="H3" s="620"/>
      <c r="I3" s="620"/>
    </row>
    <row r="4" spans="1:9" x14ac:dyDescent="0.25">
      <c r="A4" s="198" t="s">
        <v>364</v>
      </c>
      <c r="B4" s="620" t="s">
        <v>6</v>
      </c>
      <c r="C4" s="620"/>
      <c r="D4" s="620"/>
      <c r="E4" s="620"/>
      <c r="F4" s="620"/>
      <c r="G4" s="620"/>
      <c r="H4" s="620"/>
      <c r="I4" s="620"/>
    </row>
    <row r="5" spans="1:9" x14ac:dyDescent="0.25">
      <c r="A5" s="198" t="s">
        <v>365</v>
      </c>
      <c r="B5" s="620" t="s">
        <v>699</v>
      </c>
      <c r="C5" s="620"/>
      <c r="D5" s="620"/>
      <c r="E5" s="620"/>
      <c r="F5" s="620"/>
      <c r="G5" s="620"/>
      <c r="H5" s="620"/>
      <c r="I5" s="620"/>
    </row>
    <row r="6" spans="1:9" x14ac:dyDescent="0.25">
      <c r="A6" s="198" t="s">
        <v>366</v>
      </c>
      <c r="B6" s="620">
        <v>125545</v>
      </c>
      <c r="C6" s="620"/>
      <c r="D6" s="616" t="s">
        <v>367</v>
      </c>
      <c r="E6" s="616"/>
      <c r="F6" s="209">
        <v>46022</v>
      </c>
      <c r="G6" s="47" t="s">
        <v>467</v>
      </c>
      <c r="H6" s="991">
        <v>12</v>
      </c>
      <c r="I6" s="991"/>
    </row>
    <row r="7" spans="1:9" x14ac:dyDescent="0.25">
      <c r="A7" s="204" t="s">
        <v>369</v>
      </c>
      <c r="B7" s="619" t="s">
        <v>8</v>
      </c>
      <c r="C7" s="619"/>
      <c r="D7" s="619"/>
      <c r="E7" s="200"/>
      <c r="F7" s="200"/>
      <c r="G7" s="200"/>
      <c r="H7" s="200"/>
      <c r="I7" s="197"/>
    </row>
    <row r="8" spans="1:9" x14ac:dyDescent="0.25">
      <c r="A8" s="200" t="s">
        <v>468</v>
      </c>
      <c r="B8" s="619" t="s">
        <v>35</v>
      </c>
      <c r="C8" s="619"/>
      <c r="D8" s="619"/>
      <c r="E8" s="619"/>
      <c r="F8" s="619"/>
      <c r="G8" s="619"/>
      <c r="H8" s="619"/>
      <c r="I8" s="619"/>
    </row>
    <row r="9" spans="1:9" x14ac:dyDescent="0.25">
      <c r="A9" s="200"/>
      <c r="B9" s="620" t="s">
        <v>36</v>
      </c>
      <c r="C9" s="620"/>
      <c r="D9" s="620"/>
      <c r="E9" s="620"/>
      <c r="F9" s="620"/>
      <c r="G9" s="620"/>
      <c r="H9" s="620"/>
      <c r="I9" s="620"/>
    </row>
    <row r="10" spans="1:9" x14ac:dyDescent="0.25">
      <c r="A10" s="200" t="s">
        <v>469</v>
      </c>
      <c r="B10" s="620" t="s">
        <v>40</v>
      </c>
      <c r="C10" s="620"/>
      <c r="D10" s="620"/>
      <c r="E10" s="611" t="s">
        <v>470</v>
      </c>
      <c r="F10" s="611"/>
      <c r="G10" s="619" t="s">
        <v>38</v>
      </c>
      <c r="H10" s="619"/>
      <c r="I10" s="619"/>
    </row>
    <row r="11" spans="1:9" x14ac:dyDescent="0.25">
      <c r="A11" s="200" t="s">
        <v>471</v>
      </c>
      <c r="B11" s="876">
        <v>44713</v>
      </c>
      <c r="C11" s="876"/>
      <c r="D11" s="876"/>
      <c r="E11" s="610" t="s">
        <v>472</v>
      </c>
      <c r="F11" s="610"/>
      <c r="G11" s="858">
        <v>45991</v>
      </c>
      <c r="H11" s="858"/>
      <c r="I11" s="858"/>
    </row>
    <row r="12" spans="1:9" ht="8.4499999999999993" customHeight="1" x14ac:dyDescent="0.25"/>
    <row r="13" spans="1:9" x14ac:dyDescent="0.25">
      <c r="A13" s="691" t="s">
        <v>884</v>
      </c>
      <c r="B13" s="691"/>
      <c r="C13" s="691"/>
      <c r="D13" s="691"/>
      <c r="E13" s="691"/>
      <c r="F13" s="691"/>
      <c r="G13" s="691"/>
      <c r="H13" s="691"/>
      <c r="I13" s="691"/>
    </row>
    <row r="14" spans="1:9" x14ac:dyDescent="0.25">
      <c r="A14" s="691" t="s">
        <v>885</v>
      </c>
      <c r="B14" s="691"/>
      <c r="C14" s="691"/>
      <c r="D14" s="691"/>
      <c r="E14" s="691"/>
      <c r="F14" s="691"/>
      <c r="G14" s="691"/>
      <c r="H14" s="691"/>
      <c r="I14" s="691"/>
    </row>
    <row r="15" spans="1:9" ht="8.4499999999999993" customHeight="1" x14ac:dyDescent="0.25">
      <c r="A15" s="266"/>
      <c r="B15" s="266"/>
      <c r="C15" s="266"/>
      <c r="D15" s="266"/>
      <c r="E15" s="266"/>
      <c r="F15" s="266"/>
      <c r="G15" s="266"/>
      <c r="H15" s="266"/>
      <c r="I15" s="266"/>
    </row>
    <row r="16" spans="1:9" x14ac:dyDescent="0.25">
      <c r="A16" s="1081" t="s">
        <v>886</v>
      </c>
      <c r="B16" s="1081"/>
      <c r="C16" s="1081"/>
      <c r="D16" s="1081"/>
      <c r="E16" s="1081"/>
      <c r="F16" s="1081"/>
      <c r="G16" s="1081"/>
      <c r="H16" s="1081"/>
      <c r="I16" s="1081"/>
    </row>
    <row r="17" spans="1:9" ht="25.5" x14ac:dyDescent="0.25">
      <c r="A17" s="371" t="s">
        <v>887</v>
      </c>
      <c r="B17" s="1082" t="s">
        <v>888</v>
      </c>
      <c r="C17" s="1082"/>
      <c r="D17" s="1082"/>
      <c r="E17" s="371" t="s">
        <v>889</v>
      </c>
      <c r="F17" s="371" t="s">
        <v>890</v>
      </c>
      <c r="G17" s="371" t="s">
        <v>891</v>
      </c>
      <c r="H17" s="1082" t="s">
        <v>892</v>
      </c>
      <c r="I17" s="1082"/>
    </row>
    <row r="18" spans="1:9" x14ac:dyDescent="0.25">
      <c r="A18" s="256"/>
      <c r="B18" s="880"/>
      <c r="C18" s="880"/>
      <c r="D18" s="880"/>
      <c r="E18" s="256"/>
      <c r="F18" s="256"/>
      <c r="G18" s="256"/>
      <c r="H18" s="1080"/>
      <c r="I18" s="1080"/>
    </row>
    <row r="19" spans="1:9" x14ac:dyDescent="0.25">
      <c r="A19" s="256"/>
      <c r="B19" s="880"/>
      <c r="C19" s="880"/>
      <c r="D19" s="880"/>
      <c r="E19" s="256"/>
      <c r="F19" s="256"/>
      <c r="G19" s="256"/>
      <c r="H19" s="1080"/>
      <c r="I19" s="1080"/>
    </row>
    <row r="20" spans="1:9" x14ac:dyDescent="0.25">
      <c r="A20" s="256"/>
      <c r="B20" s="880"/>
      <c r="C20" s="880"/>
      <c r="D20" s="880"/>
      <c r="E20" s="256"/>
      <c r="F20" s="256"/>
      <c r="G20" s="256"/>
      <c r="H20" s="1080"/>
      <c r="I20" s="1080"/>
    </row>
    <row r="21" spans="1:9" x14ac:dyDescent="0.25">
      <c r="A21" s="256"/>
      <c r="B21" s="880"/>
      <c r="C21" s="880"/>
      <c r="D21" s="880"/>
      <c r="E21" s="256"/>
      <c r="F21" s="256"/>
      <c r="G21" s="256"/>
      <c r="H21" s="1080"/>
      <c r="I21" s="1080"/>
    </row>
    <row r="22" spans="1:9" x14ac:dyDescent="0.25">
      <c r="A22" s="256"/>
      <c r="B22" s="880"/>
      <c r="C22" s="880"/>
      <c r="D22" s="880"/>
      <c r="E22" s="256"/>
      <c r="F22" s="256"/>
      <c r="G22" s="256"/>
      <c r="H22" s="1080"/>
      <c r="I22" s="1080"/>
    </row>
    <row r="23" spans="1:9" x14ac:dyDescent="0.25">
      <c r="A23" s="256"/>
      <c r="B23" s="880"/>
      <c r="C23" s="880"/>
      <c r="D23" s="880"/>
      <c r="E23" s="256"/>
      <c r="F23" s="256"/>
      <c r="G23" s="256"/>
      <c r="H23" s="1080"/>
      <c r="I23" s="1080"/>
    </row>
    <row r="24" spans="1:9" x14ac:dyDescent="0.25">
      <c r="A24" s="256"/>
      <c r="B24" s="880"/>
      <c r="C24" s="880"/>
      <c r="D24" s="880"/>
      <c r="E24" s="256"/>
      <c r="F24" s="256"/>
      <c r="G24" s="256"/>
      <c r="H24" s="1080"/>
      <c r="I24" s="1080"/>
    </row>
    <row r="25" spans="1:9" x14ac:dyDescent="0.25">
      <c r="A25" s="256"/>
      <c r="B25" s="880"/>
      <c r="C25" s="880"/>
      <c r="D25" s="880"/>
      <c r="E25" s="256"/>
      <c r="F25" s="256"/>
      <c r="G25" s="256"/>
      <c r="H25" s="1080"/>
      <c r="I25" s="1080"/>
    </row>
    <row r="26" spans="1:9" x14ac:dyDescent="0.25">
      <c r="A26" s="1079" t="s">
        <v>893</v>
      </c>
      <c r="B26" s="1079"/>
      <c r="C26" s="1079"/>
      <c r="D26" s="1079"/>
      <c r="E26" s="1079"/>
      <c r="F26" s="256"/>
      <c r="G26" s="256"/>
      <c r="H26" s="1080"/>
      <c r="I26" s="1080"/>
    </row>
    <row r="27" spans="1:9" ht="7.9" customHeight="1" x14ac:dyDescent="0.25">
      <c r="A27" s="245"/>
      <c r="B27" s="245"/>
      <c r="C27" s="245"/>
      <c r="D27" s="245"/>
      <c r="E27" s="245"/>
      <c r="F27" s="245"/>
      <c r="G27" s="245"/>
      <c r="H27" s="245"/>
    </row>
    <row r="28" spans="1:9" ht="7.9" customHeight="1" x14ac:dyDescent="0.25">
      <c r="A28" s="245"/>
      <c r="B28" s="245"/>
      <c r="C28" s="245"/>
      <c r="D28" s="245"/>
      <c r="E28" s="245"/>
      <c r="F28" s="245"/>
      <c r="G28" s="245"/>
      <c r="H28" s="245"/>
    </row>
    <row r="29" spans="1:9" ht="7.9" customHeight="1" x14ac:dyDescent="0.25">
      <c r="A29" s="245"/>
      <c r="B29" s="245"/>
      <c r="C29" s="245"/>
      <c r="D29" s="245"/>
      <c r="E29" s="245"/>
      <c r="F29" s="245"/>
      <c r="G29" s="245"/>
      <c r="H29" s="245"/>
    </row>
    <row r="30" spans="1:9" ht="7.9" customHeight="1" x14ac:dyDescent="0.25">
      <c r="A30" s="245"/>
      <c r="B30" s="245"/>
      <c r="C30" s="245"/>
      <c r="D30" s="245"/>
      <c r="E30" s="245"/>
      <c r="F30" s="245"/>
      <c r="G30" s="245"/>
      <c r="H30" s="245"/>
    </row>
    <row r="31" spans="1:9" x14ac:dyDescent="0.25">
      <c r="A31" s="1081" t="s">
        <v>894</v>
      </c>
      <c r="B31" s="1081"/>
      <c r="C31" s="1081"/>
      <c r="D31" s="1081"/>
      <c r="E31" s="1081"/>
      <c r="F31" s="1081"/>
      <c r="G31" s="1081"/>
      <c r="H31" s="1081"/>
      <c r="I31" s="1081"/>
    </row>
    <row r="32" spans="1:9" ht="25.5" x14ac:dyDescent="0.25">
      <c r="A32" s="371" t="s">
        <v>887</v>
      </c>
      <c r="B32" s="1082" t="s">
        <v>888</v>
      </c>
      <c r="C32" s="1082"/>
      <c r="D32" s="1082"/>
      <c r="E32" s="371" t="s">
        <v>889</v>
      </c>
      <c r="F32" s="371" t="s">
        <v>890</v>
      </c>
      <c r="G32" s="371" t="s">
        <v>891</v>
      </c>
      <c r="H32" s="1082" t="s">
        <v>892</v>
      </c>
      <c r="I32" s="1082"/>
    </row>
    <row r="33" spans="1:9" x14ac:dyDescent="0.25">
      <c r="A33" s="256"/>
      <c r="B33" s="880"/>
      <c r="C33" s="880"/>
      <c r="D33" s="880"/>
      <c r="E33" s="256"/>
      <c r="F33" s="256"/>
      <c r="G33" s="256"/>
      <c r="H33" s="880"/>
      <c r="I33" s="880"/>
    </row>
    <row r="34" spans="1:9" x14ac:dyDescent="0.25">
      <c r="A34" s="256"/>
      <c r="B34" s="880"/>
      <c r="C34" s="880"/>
      <c r="D34" s="880"/>
      <c r="E34" s="256"/>
      <c r="F34" s="256"/>
      <c r="G34" s="256"/>
      <c r="H34" s="880"/>
      <c r="I34" s="880"/>
    </row>
    <row r="35" spans="1:9" x14ac:dyDescent="0.25">
      <c r="A35" s="256"/>
      <c r="B35" s="880"/>
      <c r="C35" s="880"/>
      <c r="D35" s="880"/>
      <c r="E35" s="256"/>
      <c r="F35" s="256"/>
      <c r="G35" s="256"/>
      <c r="H35" s="880"/>
      <c r="I35" s="880"/>
    </row>
    <row r="36" spans="1:9" x14ac:dyDescent="0.25">
      <c r="A36" s="256"/>
      <c r="B36" s="880"/>
      <c r="C36" s="880"/>
      <c r="D36" s="880"/>
      <c r="E36" s="256"/>
      <c r="F36" s="256"/>
      <c r="G36" s="256"/>
      <c r="H36" s="880"/>
      <c r="I36" s="880"/>
    </row>
    <row r="37" spans="1:9" x14ac:dyDescent="0.25">
      <c r="A37" s="256"/>
      <c r="B37" s="880"/>
      <c r="C37" s="880"/>
      <c r="D37" s="880"/>
      <c r="E37" s="256"/>
      <c r="F37" s="256"/>
      <c r="G37" s="256"/>
      <c r="H37" s="880"/>
      <c r="I37" s="880"/>
    </row>
    <row r="38" spans="1:9" x14ac:dyDescent="0.25">
      <c r="A38" s="256"/>
      <c r="B38" s="880"/>
      <c r="C38" s="880"/>
      <c r="D38" s="880"/>
      <c r="E38" s="256"/>
      <c r="F38" s="256"/>
      <c r="G38" s="256"/>
      <c r="H38" s="880"/>
      <c r="I38" s="880"/>
    </row>
    <row r="39" spans="1:9" x14ac:dyDescent="0.25">
      <c r="A39" s="256"/>
      <c r="B39" s="880"/>
      <c r="C39" s="880"/>
      <c r="D39" s="880"/>
      <c r="E39" s="256"/>
      <c r="F39" s="256"/>
      <c r="G39" s="256"/>
      <c r="H39" s="880"/>
      <c r="I39" s="880"/>
    </row>
    <row r="40" spans="1:9" x14ac:dyDescent="0.25">
      <c r="A40" s="256"/>
      <c r="B40" s="880"/>
      <c r="C40" s="880"/>
      <c r="D40" s="880"/>
      <c r="E40" s="256"/>
      <c r="F40" s="256"/>
      <c r="G40" s="256"/>
      <c r="H40" s="880"/>
      <c r="I40" s="880"/>
    </row>
    <row r="41" spans="1:9" x14ac:dyDescent="0.25">
      <c r="A41" s="1076" t="s">
        <v>895</v>
      </c>
      <c r="B41" s="1077"/>
      <c r="C41" s="1077"/>
      <c r="D41" s="1077"/>
      <c r="E41" s="1078"/>
      <c r="F41" s="256"/>
      <c r="G41" s="256"/>
      <c r="H41" s="880"/>
      <c r="I41" s="880"/>
    </row>
    <row r="42" spans="1:9" ht="8.4499999999999993" customHeight="1" x14ac:dyDescent="0.25">
      <c r="A42" s="245"/>
      <c r="B42" s="245"/>
      <c r="C42" s="245"/>
      <c r="D42" s="245"/>
      <c r="E42" s="245"/>
      <c r="F42" s="245"/>
      <c r="G42" s="245"/>
      <c r="H42" s="245"/>
    </row>
    <row r="43" spans="1:9" ht="4.9000000000000004" customHeight="1" x14ac:dyDescent="0.25">
      <c r="A43" s="245"/>
      <c r="B43" s="245"/>
      <c r="C43" s="245"/>
      <c r="D43" s="245"/>
      <c r="E43" s="245"/>
      <c r="F43" s="245"/>
      <c r="G43" s="245"/>
      <c r="H43" s="245"/>
    </row>
    <row r="44" spans="1:9" x14ac:dyDescent="0.25">
      <c r="A44" s="245"/>
      <c r="B44" s="245"/>
      <c r="C44" s="245"/>
      <c r="D44" s="245"/>
      <c r="E44" s="245"/>
      <c r="F44" s="245"/>
      <c r="G44" s="245"/>
      <c r="H44" s="245"/>
    </row>
    <row r="45" spans="1:9" ht="30.6" customHeight="1" x14ac:dyDescent="0.25">
      <c r="A45" s="916" t="s">
        <v>896</v>
      </c>
      <c r="B45" s="916"/>
      <c r="C45" s="916"/>
      <c r="D45" s="916"/>
      <c r="E45" s="916"/>
      <c r="F45" s="916"/>
      <c r="G45" s="916"/>
      <c r="H45" s="916"/>
      <c r="I45" s="916"/>
    </row>
  </sheetData>
  <mergeCells count="61">
    <mergeCell ref="B2:I2"/>
    <mergeCell ref="B3:I3"/>
    <mergeCell ref="B4:I4"/>
    <mergeCell ref="B5:I5"/>
    <mergeCell ref="B6:C6"/>
    <mergeCell ref="D6:E6"/>
    <mergeCell ref="H6:I6"/>
    <mergeCell ref="A16:I16"/>
    <mergeCell ref="B7:D7"/>
    <mergeCell ref="B8:I8"/>
    <mergeCell ref="B9:I9"/>
    <mergeCell ref="B10:D10"/>
    <mergeCell ref="E10:F10"/>
    <mergeCell ref="G10:I10"/>
    <mergeCell ref="B11:D11"/>
    <mergeCell ref="E11:F11"/>
    <mergeCell ref="G11:I11"/>
    <mergeCell ref="A13:I13"/>
    <mergeCell ref="A14:I14"/>
    <mergeCell ref="B17:D17"/>
    <mergeCell ref="H17:I17"/>
    <mergeCell ref="B18:D18"/>
    <mergeCell ref="H18:I18"/>
    <mergeCell ref="B19:D19"/>
    <mergeCell ref="H19:I19"/>
    <mergeCell ref="B20:D20"/>
    <mergeCell ref="H20:I20"/>
    <mergeCell ref="B21:D21"/>
    <mergeCell ref="H21:I21"/>
    <mergeCell ref="B22:D22"/>
    <mergeCell ref="H22:I22"/>
    <mergeCell ref="B33:D33"/>
    <mergeCell ref="H33:I33"/>
    <mergeCell ref="B23:D23"/>
    <mergeCell ref="H23:I23"/>
    <mergeCell ref="B24:D24"/>
    <mergeCell ref="H24:I24"/>
    <mergeCell ref="B25:D25"/>
    <mergeCell ref="H25:I25"/>
    <mergeCell ref="A26:E26"/>
    <mergeCell ref="H26:I26"/>
    <mergeCell ref="A31:I31"/>
    <mergeCell ref="B32:D32"/>
    <mergeCell ref="H32:I32"/>
    <mergeCell ref="B34:D34"/>
    <mergeCell ref="H34:I34"/>
    <mergeCell ref="B35:D35"/>
    <mergeCell ref="H35:I35"/>
    <mergeCell ref="B36:D36"/>
    <mergeCell ref="H36:I36"/>
    <mergeCell ref="B37:D37"/>
    <mergeCell ref="H37:I37"/>
    <mergeCell ref="B38:D38"/>
    <mergeCell ref="H38:I38"/>
    <mergeCell ref="B39:D39"/>
    <mergeCell ref="H39:I39"/>
    <mergeCell ref="B40:D40"/>
    <mergeCell ref="H40:I40"/>
    <mergeCell ref="A41:E41"/>
    <mergeCell ref="H41:I41"/>
    <mergeCell ref="A45:I4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C48C8-B362-47FF-9B8F-8336E82642A6}">
  <dimension ref="A2:I34"/>
  <sheetViews>
    <sheetView workbookViewId="0">
      <selection sqref="A1:XFD1048576"/>
    </sheetView>
  </sheetViews>
  <sheetFormatPr baseColWidth="10" defaultRowHeight="15" x14ac:dyDescent="0.25"/>
  <cols>
    <col min="1" max="1" width="40.42578125" customWidth="1"/>
    <col min="2" max="2" width="7.140625" customWidth="1"/>
    <col min="3" max="3" width="15.7109375" customWidth="1"/>
    <col min="4" max="5" width="14.42578125" customWidth="1"/>
    <col min="6" max="6" width="14.5703125" customWidth="1"/>
    <col min="7" max="7" width="19.28515625" customWidth="1"/>
    <col min="8" max="8" width="9.5703125" customWidth="1"/>
    <col min="9" max="9" width="8.7109375" customWidth="1"/>
  </cols>
  <sheetData>
    <row r="2" spans="1:9" x14ac:dyDescent="0.25">
      <c r="A2" s="198" t="s">
        <v>466</v>
      </c>
      <c r="B2" s="619">
        <v>4444444444</v>
      </c>
      <c r="C2" s="619"/>
      <c r="D2" s="619"/>
      <c r="E2" s="619"/>
      <c r="F2" s="619"/>
      <c r="G2" s="619"/>
      <c r="H2" s="619"/>
      <c r="I2" s="619"/>
    </row>
    <row r="3" spans="1:9" x14ac:dyDescent="0.25">
      <c r="A3" s="198"/>
      <c r="B3" s="620">
        <v>56565665</v>
      </c>
      <c r="C3" s="620"/>
      <c r="D3" s="620"/>
      <c r="E3" s="620"/>
      <c r="F3" s="620"/>
      <c r="G3" s="620"/>
      <c r="H3" s="620"/>
      <c r="I3" s="620"/>
    </row>
    <row r="4" spans="1:9" x14ac:dyDescent="0.25">
      <c r="A4" s="198" t="s">
        <v>364</v>
      </c>
      <c r="B4" s="620" t="s">
        <v>6</v>
      </c>
      <c r="C4" s="620"/>
      <c r="D4" s="620"/>
      <c r="E4" s="620"/>
      <c r="F4" s="620"/>
      <c r="G4" s="620"/>
      <c r="H4" s="620"/>
      <c r="I4" s="620"/>
    </row>
    <row r="5" spans="1:9" x14ac:dyDescent="0.25">
      <c r="A5" s="198" t="s">
        <v>365</v>
      </c>
      <c r="B5" s="620" t="s">
        <v>699</v>
      </c>
      <c r="C5" s="620"/>
      <c r="D5" s="620"/>
      <c r="E5" s="620"/>
      <c r="F5" s="620"/>
      <c r="G5" s="620"/>
      <c r="H5" s="620"/>
      <c r="I5" s="620"/>
    </row>
    <row r="6" spans="1:9" x14ac:dyDescent="0.25">
      <c r="A6" s="198" t="s">
        <v>366</v>
      </c>
      <c r="B6" s="620">
        <v>125545</v>
      </c>
      <c r="C6" s="620"/>
      <c r="D6" s="616" t="s">
        <v>367</v>
      </c>
      <c r="E6" s="616"/>
      <c r="F6" s="209">
        <v>46022</v>
      </c>
      <c r="G6" s="616" t="s">
        <v>467</v>
      </c>
      <c r="H6" s="616"/>
      <c r="I6" s="284">
        <v>12</v>
      </c>
    </row>
    <row r="7" spans="1:9" x14ac:dyDescent="0.25">
      <c r="A7" s="204" t="s">
        <v>369</v>
      </c>
      <c r="B7" s="619" t="s">
        <v>8</v>
      </c>
      <c r="C7" s="619"/>
      <c r="D7" s="619"/>
      <c r="E7" s="200"/>
      <c r="F7" s="200"/>
      <c r="G7" s="200"/>
      <c r="H7" s="200"/>
      <c r="I7" s="197"/>
    </row>
    <row r="8" spans="1:9" x14ac:dyDescent="0.25">
      <c r="A8" s="200" t="s">
        <v>468</v>
      </c>
      <c r="B8" s="619" t="s">
        <v>35</v>
      </c>
      <c r="C8" s="619"/>
      <c r="D8" s="619"/>
      <c r="E8" s="619"/>
      <c r="F8" s="619"/>
      <c r="G8" s="619"/>
      <c r="H8" s="619"/>
      <c r="I8" s="619"/>
    </row>
    <row r="9" spans="1:9" x14ac:dyDescent="0.25">
      <c r="A9" s="200"/>
      <c r="B9" s="620" t="s">
        <v>36</v>
      </c>
      <c r="C9" s="620"/>
      <c r="D9" s="620"/>
      <c r="E9" s="620"/>
      <c r="F9" s="620"/>
      <c r="G9" s="620"/>
      <c r="H9" s="620"/>
      <c r="I9" s="620"/>
    </row>
    <row r="10" spans="1:9" x14ac:dyDescent="0.25">
      <c r="A10" s="200" t="s">
        <v>469</v>
      </c>
      <c r="B10" s="620" t="s">
        <v>40</v>
      </c>
      <c r="C10" s="620"/>
      <c r="D10" s="207"/>
      <c r="E10" s="611" t="s">
        <v>470</v>
      </c>
      <c r="F10" s="611"/>
      <c r="G10" s="619" t="s">
        <v>38</v>
      </c>
      <c r="H10" s="619"/>
      <c r="I10" s="619"/>
    </row>
    <row r="11" spans="1:9" x14ac:dyDescent="0.25">
      <c r="A11" s="200" t="s">
        <v>471</v>
      </c>
      <c r="B11" s="876">
        <v>44713</v>
      </c>
      <c r="C11" s="876"/>
      <c r="D11" s="242"/>
      <c r="E11" s="610" t="s">
        <v>472</v>
      </c>
      <c r="F11" s="610"/>
      <c r="G11" s="858">
        <v>45991</v>
      </c>
      <c r="H11" s="858"/>
      <c r="I11" s="858"/>
    </row>
    <row r="12" spans="1:9" ht="6" customHeight="1" x14ac:dyDescent="0.25"/>
    <row r="13" spans="1:9" x14ac:dyDescent="0.25">
      <c r="A13" s="691" t="s">
        <v>897</v>
      </c>
      <c r="B13" s="691"/>
      <c r="C13" s="691"/>
      <c r="D13" s="691"/>
      <c r="E13" s="691"/>
      <c r="F13" s="691"/>
      <c r="G13" s="691"/>
      <c r="H13" s="691"/>
      <c r="I13" s="691"/>
    </row>
    <row r="14" spans="1:9" x14ac:dyDescent="0.25">
      <c r="A14" s="691" t="s">
        <v>898</v>
      </c>
      <c r="B14" s="691"/>
      <c r="C14" s="691"/>
      <c r="D14" s="691"/>
      <c r="E14" s="691"/>
      <c r="F14" s="691"/>
      <c r="G14" s="691"/>
      <c r="H14" s="691"/>
      <c r="I14" s="691"/>
    </row>
    <row r="15" spans="1:9" x14ac:dyDescent="0.25">
      <c r="A15" s="1104" t="s">
        <v>812</v>
      </c>
      <c r="B15" s="1105"/>
      <c r="C15" s="372" t="s">
        <v>813</v>
      </c>
      <c r="D15" s="372" t="s">
        <v>813</v>
      </c>
      <c r="E15" s="1108" t="s">
        <v>855</v>
      </c>
      <c r="F15" s="1109"/>
      <c r="G15" s="1110" t="s">
        <v>899</v>
      </c>
      <c r="H15" s="1110" t="s">
        <v>900</v>
      </c>
      <c r="I15" s="1110"/>
    </row>
    <row r="16" spans="1:9" x14ac:dyDescent="0.25">
      <c r="A16" s="1106"/>
      <c r="B16" s="1107"/>
      <c r="C16" s="373">
        <v>2025</v>
      </c>
      <c r="D16" s="373">
        <v>2024</v>
      </c>
      <c r="E16" s="357" t="s">
        <v>815</v>
      </c>
      <c r="F16" s="357" t="s">
        <v>846</v>
      </c>
      <c r="G16" s="1110"/>
      <c r="H16" s="1110"/>
      <c r="I16" s="1110"/>
    </row>
    <row r="17" spans="1:9" x14ac:dyDescent="0.25">
      <c r="A17" s="1092" t="s">
        <v>901</v>
      </c>
      <c r="B17" s="1101"/>
      <c r="C17" s="346">
        <v>0</v>
      </c>
      <c r="D17" s="346">
        <v>0</v>
      </c>
      <c r="E17" s="346">
        <v>0</v>
      </c>
      <c r="F17" s="337">
        <v>0</v>
      </c>
      <c r="G17" s="374"/>
      <c r="H17" s="1102"/>
      <c r="I17" s="1102"/>
    </row>
    <row r="18" spans="1:9" x14ac:dyDescent="0.25">
      <c r="A18" s="1096" t="s">
        <v>902</v>
      </c>
      <c r="B18" s="1103"/>
      <c r="C18" s="346">
        <v>0</v>
      </c>
      <c r="D18" s="346">
        <v>0</v>
      </c>
      <c r="E18" s="346">
        <v>0</v>
      </c>
      <c r="F18" s="337">
        <v>0</v>
      </c>
      <c r="G18" s="374"/>
      <c r="H18" s="1102"/>
      <c r="I18" s="1102"/>
    </row>
    <row r="19" spans="1:9" x14ac:dyDescent="0.25">
      <c r="A19" s="1096" t="s">
        <v>903</v>
      </c>
      <c r="B19" s="1103"/>
      <c r="C19" s="346">
        <v>0</v>
      </c>
      <c r="D19" s="346">
        <v>0</v>
      </c>
      <c r="E19" s="346">
        <v>0</v>
      </c>
      <c r="F19" s="337">
        <v>0</v>
      </c>
      <c r="G19" s="374"/>
      <c r="H19" s="1102"/>
      <c r="I19" s="1102"/>
    </row>
    <row r="20" spans="1:9" x14ac:dyDescent="0.25">
      <c r="A20" s="1092" t="s">
        <v>904</v>
      </c>
      <c r="B20" s="1101"/>
      <c r="C20" s="346">
        <v>0</v>
      </c>
      <c r="D20" s="346">
        <v>0</v>
      </c>
      <c r="E20" s="346">
        <v>0</v>
      </c>
      <c r="F20" s="337">
        <v>0</v>
      </c>
      <c r="G20" s="374"/>
      <c r="H20" s="1102"/>
      <c r="I20" s="1102"/>
    </row>
    <row r="21" spans="1:9" x14ac:dyDescent="0.25">
      <c r="A21" s="1092" t="s">
        <v>905</v>
      </c>
      <c r="B21" s="1101"/>
      <c r="C21" s="346">
        <v>0</v>
      </c>
      <c r="D21" s="346">
        <v>0</v>
      </c>
      <c r="E21" s="346">
        <v>0</v>
      </c>
      <c r="F21" s="337">
        <v>0</v>
      </c>
      <c r="G21" s="374"/>
      <c r="H21" s="1102"/>
      <c r="I21" s="1102"/>
    </row>
    <row r="22" spans="1:9" x14ac:dyDescent="0.25">
      <c r="A22" s="1096" t="s">
        <v>906</v>
      </c>
      <c r="B22" s="1103"/>
      <c r="C22" s="346">
        <v>0</v>
      </c>
      <c r="D22" s="346">
        <v>0</v>
      </c>
      <c r="E22" s="346">
        <v>0</v>
      </c>
      <c r="F22" s="337">
        <v>0</v>
      </c>
      <c r="G22" s="374"/>
      <c r="H22" s="1102"/>
      <c r="I22" s="1102"/>
    </row>
    <row r="23" spans="1:9" x14ac:dyDescent="0.25">
      <c r="A23" s="1092" t="s">
        <v>907</v>
      </c>
      <c r="B23" s="1093"/>
      <c r="C23" s="346">
        <v>0</v>
      </c>
      <c r="D23" s="346">
        <v>0</v>
      </c>
      <c r="E23" s="346">
        <v>0</v>
      </c>
      <c r="F23" s="337">
        <v>0</v>
      </c>
      <c r="G23" s="374"/>
      <c r="H23" s="1094"/>
      <c r="I23" s="1095"/>
    </row>
    <row r="24" spans="1:9" x14ac:dyDescent="0.25">
      <c r="A24" s="1096" t="s">
        <v>908</v>
      </c>
      <c r="B24" s="1097"/>
      <c r="C24" s="346">
        <v>0</v>
      </c>
      <c r="D24" s="346">
        <v>0</v>
      </c>
      <c r="E24" s="346">
        <v>0</v>
      </c>
      <c r="F24" s="337">
        <v>0</v>
      </c>
      <c r="G24" s="374"/>
      <c r="H24" s="1094"/>
      <c r="I24" s="1095"/>
    </row>
    <row r="25" spans="1:9" x14ac:dyDescent="0.25">
      <c r="A25" s="1098" t="s">
        <v>909</v>
      </c>
      <c r="B25" s="1099"/>
      <c r="C25" s="365">
        <v>0</v>
      </c>
      <c r="D25" s="365">
        <v>0</v>
      </c>
      <c r="E25" s="365">
        <v>0</v>
      </c>
      <c r="F25" s="342">
        <v>0</v>
      </c>
      <c r="G25" s="375"/>
      <c r="H25" s="1100"/>
      <c r="I25" s="1100"/>
    </row>
    <row r="26" spans="1:9" x14ac:dyDescent="0.25">
      <c r="A26" s="376" t="s">
        <v>796</v>
      </c>
      <c r="B26" s="376"/>
      <c r="C26" s="376"/>
      <c r="D26" s="376"/>
      <c r="E26" s="376"/>
      <c r="F26" s="376"/>
      <c r="G26" s="376"/>
      <c r="H26" s="376"/>
      <c r="I26" s="376"/>
    </row>
    <row r="27" spans="1:9" x14ac:dyDescent="0.25">
      <c r="A27" s="1083"/>
      <c r="B27" s="1084"/>
      <c r="C27" s="1084"/>
      <c r="D27" s="1084"/>
      <c r="E27" s="1084"/>
      <c r="F27" s="1084"/>
      <c r="G27" s="1084"/>
      <c r="H27" s="1084"/>
      <c r="I27" s="1085"/>
    </row>
    <row r="28" spans="1:9" x14ac:dyDescent="0.25">
      <c r="A28" s="1086"/>
      <c r="B28" s="1087"/>
      <c r="C28" s="1087"/>
      <c r="D28" s="1087"/>
      <c r="E28" s="1087"/>
      <c r="F28" s="1087"/>
      <c r="G28" s="1087"/>
      <c r="H28" s="1087"/>
      <c r="I28" s="1088"/>
    </row>
    <row r="29" spans="1:9" x14ac:dyDescent="0.25">
      <c r="A29" s="1086"/>
      <c r="B29" s="1087"/>
      <c r="C29" s="1087"/>
      <c r="D29" s="1087"/>
      <c r="E29" s="1087"/>
      <c r="F29" s="1087"/>
      <c r="G29" s="1087"/>
      <c r="H29" s="1087"/>
      <c r="I29" s="1088"/>
    </row>
    <row r="30" spans="1:9" x14ac:dyDescent="0.25">
      <c r="A30" s="1086"/>
      <c r="B30" s="1087"/>
      <c r="C30" s="1087"/>
      <c r="D30" s="1087"/>
      <c r="E30" s="1087"/>
      <c r="F30" s="1087"/>
      <c r="G30" s="1087"/>
      <c r="H30" s="1087"/>
      <c r="I30" s="1088"/>
    </row>
    <row r="31" spans="1:9" x14ac:dyDescent="0.25">
      <c r="A31" s="1086"/>
      <c r="B31" s="1087"/>
      <c r="C31" s="1087"/>
      <c r="D31" s="1087"/>
      <c r="E31" s="1087"/>
      <c r="F31" s="1087"/>
      <c r="G31" s="1087"/>
      <c r="H31" s="1087"/>
      <c r="I31" s="1088"/>
    </row>
    <row r="32" spans="1:9" x14ac:dyDescent="0.25">
      <c r="A32" s="1086"/>
      <c r="B32" s="1087"/>
      <c r="C32" s="1087"/>
      <c r="D32" s="1087"/>
      <c r="E32" s="1087"/>
      <c r="F32" s="1087"/>
      <c r="G32" s="1087"/>
      <c r="H32" s="1087"/>
      <c r="I32" s="1088"/>
    </row>
    <row r="33" spans="1:9" x14ac:dyDescent="0.25">
      <c r="A33" s="1086"/>
      <c r="B33" s="1087"/>
      <c r="C33" s="1087"/>
      <c r="D33" s="1087"/>
      <c r="E33" s="1087"/>
      <c r="F33" s="1087"/>
      <c r="G33" s="1087"/>
      <c r="H33" s="1087"/>
      <c r="I33" s="1088"/>
    </row>
    <row r="34" spans="1:9" x14ac:dyDescent="0.25">
      <c r="A34" s="1089"/>
      <c r="B34" s="1090"/>
      <c r="C34" s="1090"/>
      <c r="D34" s="1090"/>
      <c r="E34" s="1090"/>
      <c r="F34" s="1090"/>
      <c r="G34" s="1090"/>
      <c r="H34" s="1090"/>
      <c r="I34" s="1091"/>
    </row>
  </sheetData>
  <mergeCells count="41">
    <mergeCell ref="B2:I2"/>
    <mergeCell ref="B3:I3"/>
    <mergeCell ref="B4:I4"/>
    <mergeCell ref="B5:I5"/>
    <mergeCell ref="B6:C6"/>
    <mergeCell ref="D6:E6"/>
    <mergeCell ref="G6:H6"/>
    <mergeCell ref="A15:B16"/>
    <mergeCell ref="E15:F15"/>
    <mergeCell ref="G15:G16"/>
    <mergeCell ref="H15:I16"/>
    <mergeCell ref="B7:D7"/>
    <mergeCell ref="B8:I8"/>
    <mergeCell ref="B9:I9"/>
    <mergeCell ref="B10:C10"/>
    <mergeCell ref="E10:F10"/>
    <mergeCell ref="G10:I10"/>
    <mergeCell ref="B11:C11"/>
    <mergeCell ref="E11:F11"/>
    <mergeCell ref="G11:I11"/>
    <mergeCell ref="A13:I13"/>
    <mergeCell ref="A14:I14"/>
    <mergeCell ref="A17:B17"/>
    <mergeCell ref="H17:I17"/>
    <mergeCell ref="A18:B18"/>
    <mergeCell ref="H18:I18"/>
    <mergeCell ref="A19:B19"/>
    <mergeCell ref="H19:I19"/>
    <mergeCell ref="A20:B20"/>
    <mergeCell ref="H20:I20"/>
    <mergeCell ref="A21:B21"/>
    <mergeCell ref="H21:I21"/>
    <mergeCell ref="A22:B22"/>
    <mergeCell ref="H22:I22"/>
    <mergeCell ref="A27:I34"/>
    <mergeCell ref="A23:B23"/>
    <mergeCell ref="H23:I23"/>
    <mergeCell ref="A24:B24"/>
    <mergeCell ref="H24:I24"/>
    <mergeCell ref="A25:B25"/>
    <mergeCell ref="H25:I2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E931-242A-4149-81BF-70C9CDEBA5BC}">
  <dimension ref="A2:I44"/>
  <sheetViews>
    <sheetView workbookViewId="0">
      <selection activeCell="A14" sqref="A14:I14"/>
    </sheetView>
  </sheetViews>
  <sheetFormatPr baseColWidth="10" defaultRowHeight="15" x14ac:dyDescent="0.25"/>
  <cols>
    <col min="1" max="1" width="43.7109375" customWidth="1"/>
    <col min="2" max="2" width="5.85546875" customWidth="1"/>
    <col min="3" max="3" width="16.28515625" customWidth="1"/>
    <col min="4" max="4" width="21.5703125" customWidth="1"/>
    <col min="5" max="5" width="18.28515625" customWidth="1"/>
    <col min="6" max="6" width="14" customWidth="1"/>
    <col min="7" max="9" width="17.5703125" customWidth="1"/>
  </cols>
  <sheetData>
    <row r="2" spans="1:9" x14ac:dyDescent="0.25">
      <c r="A2" s="198" t="s">
        <v>466</v>
      </c>
      <c r="B2" s="619">
        <v>4444444444</v>
      </c>
      <c r="C2" s="619"/>
      <c r="D2" s="619"/>
      <c r="E2" s="619"/>
      <c r="F2" s="619"/>
      <c r="G2" s="619"/>
      <c r="H2" s="619"/>
      <c r="I2" s="619"/>
    </row>
    <row r="3" spans="1:9" x14ac:dyDescent="0.25">
      <c r="A3" s="198"/>
      <c r="B3" s="620">
        <v>56565665</v>
      </c>
      <c r="C3" s="620"/>
      <c r="D3" s="620"/>
      <c r="E3" s="620"/>
      <c r="F3" s="620"/>
      <c r="G3" s="620"/>
      <c r="H3" s="620"/>
      <c r="I3" s="620"/>
    </row>
    <row r="4" spans="1:9" x14ac:dyDescent="0.25">
      <c r="A4" s="198" t="s">
        <v>364</v>
      </c>
      <c r="B4" s="620" t="s">
        <v>6</v>
      </c>
      <c r="C4" s="620"/>
      <c r="D4" s="620"/>
      <c r="E4" s="620"/>
      <c r="F4" s="620"/>
      <c r="G4" s="620"/>
      <c r="H4" s="620"/>
      <c r="I4" s="620"/>
    </row>
    <row r="5" spans="1:9" x14ac:dyDescent="0.25">
      <c r="A5" s="198" t="s">
        <v>365</v>
      </c>
      <c r="B5" s="620" t="s">
        <v>699</v>
      </c>
      <c r="C5" s="620"/>
      <c r="D5" s="620"/>
      <c r="E5" s="620"/>
      <c r="F5" s="620"/>
      <c r="G5" s="620"/>
      <c r="H5" s="620"/>
      <c r="I5" s="620"/>
    </row>
    <row r="6" spans="1:9" x14ac:dyDescent="0.25">
      <c r="A6" s="198" t="s">
        <v>366</v>
      </c>
      <c r="B6" s="620">
        <v>125545</v>
      </c>
      <c r="C6" s="620"/>
      <c r="D6" s="616" t="s">
        <v>367</v>
      </c>
      <c r="E6" s="616"/>
      <c r="F6" s="209">
        <v>46022</v>
      </c>
      <c r="G6" s="616" t="s">
        <v>467</v>
      </c>
      <c r="H6" s="616"/>
      <c r="I6" s="284">
        <v>12</v>
      </c>
    </row>
    <row r="7" spans="1:9" x14ac:dyDescent="0.25">
      <c r="A7" s="204" t="s">
        <v>369</v>
      </c>
      <c r="B7" s="620" t="s">
        <v>8</v>
      </c>
      <c r="C7" s="620"/>
      <c r="D7" s="200"/>
      <c r="E7" s="200"/>
      <c r="F7" s="200"/>
      <c r="G7" s="200"/>
      <c r="H7" s="200"/>
      <c r="I7" s="197"/>
    </row>
    <row r="8" spans="1:9" x14ac:dyDescent="0.25">
      <c r="A8" s="200" t="s">
        <v>468</v>
      </c>
      <c r="B8" s="619" t="s">
        <v>35</v>
      </c>
      <c r="C8" s="619"/>
      <c r="D8" s="619"/>
      <c r="E8" s="619"/>
      <c r="F8" s="619"/>
      <c r="G8" s="619"/>
      <c r="H8" s="619"/>
      <c r="I8" s="619"/>
    </row>
    <row r="9" spans="1:9" x14ac:dyDescent="0.25">
      <c r="A9" s="200"/>
      <c r="B9" s="620" t="s">
        <v>36</v>
      </c>
      <c r="C9" s="620"/>
      <c r="D9" s="620"/>
      <c r="E9" s="620"/>
      <c r="F9" s="620"/>
      <c r="G9" s="620"/>
      <c r="H9" s="620"/>
      <c r="I9" s="620"/>
    </row>
    <row r="10" spans="1:9" x14ac:dyDescent="0.25">
      <c r="A10" s="200" t="s">
        <v>469</v>
      </c>
      <c r="B10" s="620" t="s">
        <v>40</v>
      </c>
      <c r="C10" s="620"/>
      <c r="D10" s="207"/>
      <c r="E10" s="611" t="s">
        <v>470</v>
      </c>
      <c r="F10" s="611"/>
      <c r="G10" s="619" t="s">
        <v>38</v>
      </c>
      <c r="H10" s="619"/>
      <c r="I10" s="619"/>
    </row>
    <row r="11" spans="1:9" x14ac:dyDescent="0.25">
      <c r="A11" s="200" t="s">
        <v>471</v>
      </c>
      <c r="B11" s="876">
        <v>44713</v>
      </c>
      <c r="C11" s="876"/>
      <c r="D11" s="242"/>
      <c r="E11" s="610" t="s">
        <v>472</v>
      </c>
      <c r="F11" s="610"/>
      <c r="G11" s="858">
        <v>45991</v>
      </c>
      <c r="H11" s="858"/>
      <c r="I11" s="858"/>
    </row>
    <row r="12" spans="1:9" ht="6.6" customHeight="1" x14ac:dyDescent="0.25"/>
    <row r="13" spans="1:9" x14ac:dyDescent="0.25">
      <c r="A13" s="691" t="s">
        <v>910</v>
      </c>
      <c r="B13" s="691"/>
      <c r="C13" s="691"/>
      <c r="D13" s="691"/>
      <c r="E13" s="691"/>
      <c r="F13" s="691"/>
      <c r="G13" s="691"/>
      <c r="H13" s="691"/>
      <c r="I13" s="691"/>
    </row>
    <row r="14" spans="1:9" x14ac:dyDescent="0.25">
      <c r="A14" s="691" t="s">
        <v>911</v>
      </c>
      <c r="B14" s="691"/>
      <c r="C14" s="691"/>
      <c r="D14" s="691"/>
      <c r="E14" s="691"/>
      <c r="F14" s="691"/>
      <c r="G14" s="691"/>
      <c r="H14" s="691"/>
      <c r="I14" s="691"/>
    </row>
    <row r="15" spans="1:9" x14ac:dyDescent="0.25">
      <c r="A15" s="266"/>
      <c r="B15" s="266"/>
      <c r="C15" s="266"/>
      <c r="D15" s="266"/>
      <c r="E15" s="266"/>
      <c r="F15" s="266"/>
      <c r="G15" s="266"/>
      <c r="H15" s="266"/>
      <c r="I15" s="266"/>
    </row>
    <row r="16" spans="1:9" ht="24.6" customHeight="1" x14ac:dyDescent="0.25">
      <c r="A16" s="1058" t="s">
        <v>812</v>
      </c>
      <c r="B16" s="1025" t="s">
        <v>813</v>
      </c>
      <c r="C16" s="1026"/>
      <c r="D16" s="353" t="s">
        <v>813</v>
      </c>
      <c r="E16" s="1060" t="s">
        <v>855</v>
      </c>
      <c r="F16" s="1060"/>
      <c r="G16" s="1060" t="s">
        <v>912</v>
      </c>
      <c r="H16" s="1060" t="s">
        <v>913</v>
      </c>
      <c r="I16" s="1060" t="s">
        <v>914</v>
      </c>
    </row>
    <row r="17" spans="1:9" ht="24.6" customHeight="1" x14ac:dyDescent="0.25">
      <c r="A17" s="1059"/>
      <c r="B17" s="1017">
        <f>IF(ISBLANK([1]IDENTIFICATION!F11),"",[1]IDENTIFICATION!F11)</f>
        <v>46022</v>
      </c>
      <c r="C17" s="1018"/>
      <c r="D17" s="377">
        <f>IF(ISBLANK([1]IDENTIFICATION!B10),"",[1]IDENTIFICATION!B10)</f>
        <v>46022</v>
      </c>
      <c r="E17" s="354" t="s">
        <v>815</v>
      </c>
      <c r="F17" s="354" t="s">
        <v>846</v>
      </c>
      <c r="G17" s="1060"/>
      <c r="H17" s="1060"/>
      <c r="I17" s="1060"/>
    </row>
    <row r="18" spans="1:9" ht="25.5" x14ac:dyDescent="0.25">
      <c r="A18" s="259" t="s">
        <v>915</v>
      </c>
      <c r="B18" s="1047">
        <v>0</v>
      </c>
      <c r="C18" s="1047"/>
      <c r="D18" s="346">
        <v>0</v>
      </c>
      <c r="E18" s="346">
        <v>0</v>
      </c>
      <c r="F18" s="337">
        <v>0</v>
      </c>
      <c r="G18" s="378"/>
      <c r="H18" s="378"/>
      <c r="I18" s="378"/>
    </row>
    <row r="19" spans="1:9" x14ac:dyDescent="0.25">
      <c r="A19" s="259" t="s">
        <v>916</v>
      </c>
      <c r="B19" s="1047">
        <v>0</v>
      </c>
      <c r="C19" s="1047"/>
      <c r="D19" s="346">
        <v>0</v>
      </c>
      <c r="E19" s="346">
        <v>0</v>
      </c>
      <c r="F19" s="337">
        <v>0</v>
      </c>
      <c r="G19" s="378"/>
      <c r="H19" s="378"/>
      <c r="I19" s="378"/>
    </row>
    <row r="20" spans="1:9" x14ac:dyDescent="0.25">
      <c r="A20" s="256" t="s">
        <v>917</v>
      </c>
      <c r="B20" s="1047">
        <v>0</v>
      </c>
      <c r="C20" s="1047"/>
      <c r="D20" s="346">
        <v>0</v>
      </c>
      <c r="E20" s="346">
        <v>0</v>
      </c>
      <c r="F20" s="337">
        <v>0</v>
      </c>
      <c r="G20" s="378"/>
      <c r="H20" s="378"/>
      <c r="I20" s="378"/>
    </row>
    <row r="21" spans="1:9" x14ac:dyDescent="0.25">
      <c r="A21" s="259" t="s">
        <v>918</v>
      </c>
      <c r="B21" s="1047">
        <v>0</v>
      </c>
      <c r="C21" s="1047"/>
      <c r="D21" s="346">
        <v>0</v>
      </c>
      <c r="E21" s="346">
        <v>0</v>
      </c>
      <c r="F21" s="337">
        <v>0</v>
      </c>
      <c r="G21" s="378"/>
      <c r="H21" s="378"/>
      <c r="I21" s="378"/>
    </row>
    <row r="22" spans="1:9" x14ac:dyDescent="0.25">
      <c r="A22" s="379" t="s">
        <v>919</v>
      </c>
      <c r="B22" s="1048">
        <v>0</v>
      </c>
      <c r="C22" s="1049"/>
      <c r="D22" s="346">
        <v>0</v>
      </c>
      <c r="E22" s="346">
        <v>0</v>
      </c>
      <c r="F22" s="337">
        <v>0</v>
      </c>
      <c r="G22" s="378"/>
      <c r="H22" s="378"/>
      <c r="I22" s="378"/>
    </row>
    <row r="23" spans="1:9" x14ac:dyDescent="0.25">
      <c r="A23" s="338" t="s">
        <v>920</v>
      </c>
      <c r="B23" s="1112">
        <v>0</v>
      </c>
      <c r="C23" s="1112"/>
      <c r="D23" s="365">
        <v>0</v>
      </c>
      <c r="E23" s="365">
        <v>0</v>
      </c>
      <c r="F23" s="342">
        <v>0</v>
      </c>
      <c r="G23" s="380">
        <f>SUM(G18:G22)</f>
        <v>0</v>
      </c>
      <c r="H23" s="380">
        <f>SUM(H18:H22)</f>
        <v>0</v>
      </c>
      <c r="I23" s="380">
        <f>SUM(I18:I22)</f>
        <v>0</v>
      </c>
    </row>
    <row r="24" spans="1:9" x14ac:dyDescent="0.25">
      <c r="A24" s="256" t="s">
        <v>921</v>
      </c>
      <c r="B24" s="1047">
        <v>0</v>
      </c>
      <c r="C24" s="1047"/>
      <c r="D24" s="346">
        <v>0</v>
      </c>
      <c r="E24" s="346">
        <v>0</v>
      </c>
      <c r="F24" s="337">
        <v>0</v>
      </c>
      <c r="G24" s="378"/>
      <c r="H24" s="378"/>
      <c r="I24" s="378"/>
    </row>
    <row r="25" spans="1:9" x14ac:dyDescent="0.25">
      <c r="A25" s="256" t="s">
        <v>922</v>
      </c>
      <c r="B25" s="1048">
        <v>0</v>
      </c>
      <c r="C25" s="1049"/>
      <c r="D25" s="346">
        <v>0</v>
      </c>
      <c r="E25" s="346">
        <v>0</v>
      </c>
      <c r="F25" s="337">
        <v>0</v>
      </c>
      <c r="G25" s="378"/>
      <c r="H25" s="378"/>
      <c r="I25" s="378"/>
    </row>
    <row r="26" spans="1:9" x14ac:dyDescent="0.25">
      <c r="A26" s="256" t="s">
        <v>923</v>
      </c>
      <c r="B26" s="1048">
        <v>0</v>
      </c>
      <c r="C26" s="1049"/>
      <c r="D26" s="346">
        <v>0</v>
      </c>
      <c r="E26" s="346">
        <v>0</v>
      </c>
      <c r="F26" s="337">
        <v>0</v>
      </c>
      <c r="G26" s="378"/>
      <c r="H26" s="378"/>
      <c r="I26" s="378"/>
    </row>
    <row r="27" spans="1:9" x14ac:dyDescent="0.25">
      <c r="A27" s="256" t="s">
        <v>918</v>
      </c>
      <c r="B27" s="1048">
        <v>0</v>
      </c>
      <c r="C27" s="1049"/>
      <c r="D27" s="346">
        <v>0</v>
      </c>
      <c r="E27" s="346">
        <v>0</v>
      </c>
      <c r="F27" s="337">
        <v>0</v>
      </c>
      <c r="G27" s="378"/>
      <c r="H27" s="378"/>
      <c r="I27" s="378"/>
    </row>
    <row r="28" spans="1:9" x14ac:dyDescent="0.25">
      <c r="A28" s="256" t="s">
        <v>924</v>
      </c>
      <c r="B28" s="1048">
        <v>0</v>
      </c>
      <c r="C28" s="1049"/>
      <c r="D28" s="346">
        <v>0</v>
      </c>
      <c r="E28" s="346">
        <v>0</v>
      </c>
      <c r="F28" s="337">
        <v>0</v>
      </c>
      <c r="G28" s="378"/>
      <c r="H28" s="378"/>
      <c r="I28" s="378"/>
    </row>
    <row r="29" spans="1:9" x14ac:dyDescent="0.25">
      <c r="A29" s="338" t="s">
        <v>925</v>
      </c>
      <c r="B29" s="1112">
        <v>0</v>
      </c>
      <c r="C29" s="1112"/>
      <c r="D29" s="365">
        <v>0</v>
      </c>
      <c r="E29" s="365">
        <v>0</v>
      </c>
      <c r="F29" s="342">
        <v>0</v>
      </c>
      <c r="G29" s="380">
        <f>SUM(G24:G28)</f>
        <v>0</v>
      </c>
      <c r="H29" s="380">
        <f>SUM(H24:H28)</f>
        <v>0</v>
      </c>
      <c r="I29" s="380">
        <f>SUM(I24:I28)</f>
        <v>0</v>
      </c>
    </row>
    <row r="30" spans="1:9" x14ac:dyDescent="0.25">
      <c r="A30" s="256" t="s">
        <v>926</v>
      </c>
      <c r="B30" s="1048">
        <v>0</v>
      </c>
      <c r="C30" s="1049"/>
      <c r="D30" s="346">
        <v>0</v>
      </c>
      <c r="E30" s="346">
        <v>0</v>
      </c>
      <c r="F30" s="337">
        <v>0</v>
      </c>
      <c r="G30" s="378"/>
      <c r="H30" s="1113"/>
      <c r="I30" s="1114"/>
    </row>
    <row r="31" spans="1:9" x14ac:dyDescent="0.25">
      <c r="A31" s="256" t="s">
        <v>927</v>
      </c>
      <c r="B31" s="1048">
        <v>0</v>
      </c>
      <c r="C31" s="1049"/>
      <c r="D31" s="346">
        <v>0</v>
      </c>
      <c r="E31" s="346">
        <v>0</v>
      </c>
      <c r="F31" s="337">
        <v>0</v>
      </c>
      <c r="G31" s="378"/>
      <c r="H31" s="1115"/>
      <c r="I31" s="1116"/>
    </row>
    <row r="32" spans="1:9" x14ac:dyDescent="0.25">
      <c r="A32" s="256" t="s">
        <v>928</v>
      </c>
      <c r="B32" s="1048">
        <v>0</v>
      </c>
      <c r="C32" s="1049"/>
      <c r="D32" s="346">
        <v>0</v>
      </c>
      <c r="E32" s="346">
        <v>0</v>
      </c>
      <c r="F32" s="337">
        <v>0</v>
      </c>
      <c r="G32" s="378"/>
      <c r="H32" s="1115"/>
      <c r="I32" s="1116"/>
    </row>
    <row r="33" spans="1:9" x14ac:dyDescent="0.25">
      <c r="A33" s="256" t="s">
        <v>929</v>
      </c>
      <c r="B33" s="1048">
        <v>0</v>
      </c>
      <c r="C33" s="1049"/>
      <c r="D33" s="346">
        <v>0</v>
      </c>
      <c r="E33" s="346">
        <v>0</v>
      </c>
      <c r="F33" s="337">
        <v>0</v>
      </c>
      <c r="G33" s="378"/>
      <c r="H33" s="1115"/>
      <c r="I33" s="1116"/>
    </row>
    <row r="34" spans="1:9" x14ac:dyDescent="0.25">
      <c r="A34" s="255" t="s">
        <v>930</v>
      </c>
      <c r="B34" s="1048">
        <v>0</v>
      </c>
      <c r="C34" s="1049"/>
      <c r="D34" s="346">
        <v>0</v>
      </c>
      <c r="E34" s="346">
        <v>0</v>
      </c>
      <c r="F34" s="337">
        <v>0</v>
      </c>
      <c r="G34" s="378"/>
      <c r="H34" s="1115"/>
      <c r="I34" s="1116"/>
    </row>
    <row r="35" spans="1:9" x14ac:dyDescent="0.25">
      <c r="A35" s="338" t="s">
        <v>931</v>
      </c>
      <c r="B35" s="1119">
        <v>0</v>
      </c>
      <c r="C35" s="1120"/>
      <c r="D35" s="365">
        <v>0</v>
      </c>
      <c r="E35" s="365">
        <v>0</v>
      </c>
      <c r="F35" s="342">
        <v>0</v>
      </c>
      <c r="G35" s="380">
        <f>SUM(G30:G34)</f>
        <v>0</v>
      </c>
      <c r="H35" s="1117"/>
      <c r="I35" s="1118"/>
    </row>
    <row r="36" spans="1:9" x14ac:dyDescent="0.25">
      <c r="A36" s="245"/>
      <c r="B36" s="245"/>
      <c r="C36" s="245"/>
      <c r="D36" s="245"/>
      <c r="E36" s="245"/>
      <c r="F36" s="245"/>
      <c r="G36" s="245"/>
      <c r="H36" s="245"/>
      <c r="I36" s="245"/>
    </row>
    <row r="37" spans="1:9" x14ac:dyDescent="0.25">
      <c r="A37" s="382"/>
      <c r="B37" s="245"/>
      <c r="C37" s="245"/>
      <c r="D37" s="245"/>
      <c r="E37" s="245"/>
      <c r="F37" s="245"/>
      <c r="G37" s="245"/>
      <c r="H37" s="245"/>
      <c r="I37" s="245"/>
    </row>
    <row r="38" spans="1:9" x14ac:dyDescent="0.25">
      <c r="A38" s="245" t="s">
        <v>796</v>
      </c>
      <c r="B38" s="245"/>
      <c r="C38" s="245"/>
      <c r="D38" s="245"/>
      <c r="E38" s="245"/>
      <c r="F38" s="245"/>
      <c r="G38" s="245"/>
      <c r="H38" s="245"/>
      <c r="I38" s="245"/>
    </row>
    <row r="39" spans="1:9" x14ac:dyDescent="0.25">
      <c r="A39" s="1111"/>
      <c r="B39" s="1111"/>
      <c r="C39" s="1111"/>
      <c r="D39" s="1111"/>
      <c r="E39" s="1111"/>
      <c r="F39" s="1111"/>
      <c r="G39" s="1111"/>
      <c r="H39" s="1111"/>
      <c r="I39" s="1111"/>
    </row>
    <row r="40" spans="1:9" x14ac:dyDescent="0.25">
      <c r="A40" s="1111"/>
      <c r="B40" s="1111"/>
      <c r="C40" s="1111"/>
      <c r="D40" s="1111"/>
      <c r="E40" s="1111"/>
      <c r="F40" s="1111"/>
      <c r="G40" s="1111"/>
      <c r="H40" s="1111"/>
      <c r="I40" s="1111"/>
    </row>
    <row r="41" spans="1:9" x14ac:dyDescent="0.25">
      <c r="A41" s="1111"/>
      <c r="B41" s="1111"/>
      <c r="C41" s="1111"/>
      <c r="D41" s="1111"/>
      <c r="E41" s="1111"/>
      <c r="F41" s="1111"/>
      <c r="G41" s="1111"/>
      <c r="H41" s="1111"/>
      <c r="I41" s="1111"/>
    </row>
    <row r="42" spans="1:9" x14ac:dyDescent="0.25">
      <c r="A42" s="1111"/>
      <c r="B42" s="1111"/>
      <c r="C42" s="1111"/>
      <c r="D42" s="1111"/>
      <c r="E42" s="1111"/>
      <c r="F42" s="1111"/>
      <c r="G42" s="1111"/>
      <c r="H42" s="1111"/>
      <c r="I42" s="1111"/>
    </row>
    <row r="43" spans="1:9" x14ac:dyDescent="0.25">
      <c r="A43" s="1111"/>
      <c r="B43" s="1111"/>
      <c r="C43" s="1111"/>
      <c r="D43" s="1111"/>
      <c r="E43" s="1111"/>
      <c r="F43" s="1111"/>
      <c r="G43" s="1111"/>
      <c r="H43" s="1111"/>
      <c r="I43" s="1111"/>
    </row>
    <row r="44" spans="1:9" x14ac:dyDescent="0.25">
      <c r="A44" s="1111"/>
      <c r="B44" s="1111"/>
      <c r="C44" s="1111"/>
      <c r="D44" s="1111"/>
      <c r="E44" s="1111"/>
      <c r="F44" s="1111"/>
      <c r="G44" s="1111"/>
      <c r="H44" s="1111"/>
      <c r="I44" s="1111"/>
    </row>
  </sheetData>
  <mergeCells count="45">
    <mergeCell ref="B2:I2"/>
    <mergeCell ref="B3:I3"/>
    <mergeCell ref="B4:I4"/>
    <mergeCell ref="B5:I5"/>
    <mergeCell ref="B6:C6"/>
    <mergeCell ref="D6:E6"/>
    <mergeCell ref="G6:H6"/>
    <mergeCell ref="B7:C7"/>
    <mergeCell ref="B8:I8"/>
    <mergeCell ref="B9:I9"/>
    <mergeCell ref="B10:C10"/>
    <mergeCell ref="E10:F10"/>
    <mergeCell ref="G10:I10"/>
    <mergeCell ref="A16:A17"/>
    <mergeCell ref="B16:C16"/>
    <mergeCell ref="E16:F16"/>
    <mergeCell ref="G16:G17"/>
    <mergeCell ref="H16:H17"/>
    <mergeCell ref="B11:C11"/>
    <mergeCell ref="E11:F11"/>
    <mergeCell ref="G11:I11"/>
    <mergeCell ref="A13:I13"/>
    <mergeCell ref="A14:I14"/>
    <mergeCell ref="B27:C27"/>
    <mergeCell ref="I16:I17"/>
    <mergeCell ref="B17:C17"/>
    <mergeCell ref="B18:C18"/>
    <mergeCell ref="B19:C19"/>
    <mergeCell ref="B20:C20"/>
    <mergeCell ref="B21:C21"/>
    <mergeCell ref="B22:C22"/>
    <mergeCell ref="B23:C23"/>
    <mergeCell ref="B24:C24"/>
    <mergeCell ref="B25:C25"/>
    <mergeCell ref="B26:C26"/>
    <mergeCell ref="A39:I44"/>
    <mergeCell ref="B28:C28"/>
    <mergeCell ref="B29:C29"/>
    <mergeCell ref="B30:C30"/>
    <mergeCell ref="H30:I35"/>
    <mergeCell ref="B31:C31"/>
    <mergeCell ref="B32:C32"/>
    <mergeCell ref="B33:C33"/>
    <mergeCell ref="B34:C34"/>
    <mergeCell ref="B35:C3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CC057-0E19-4BCC-A69E-0650CBFAB794}">
  <dimension ref="A2:I46"/>
  <sheetViews>
    <sheetView workbookViewId="0">
      <selection sqref="A1:XFD1048576"/>
    </sheetView>
  </sheetViews>
  <sheetFormatPr baseColWidth="10" defaultRowHeight="15" x14ac:dyDescent="0.25"/>
  <cols>
    <col min="1" max="1" width="45.5703125" customWidth="1"/>
    <col min="2" max="2" width="11.28515625" customWidth="1"/>
    <col min="3" max="3" width="10.85546875" customWidth="1"/>
    <col min="4" max="4" width="20.28515625" customWidth="1"/>
    <col min="5" max="5" width="13.5703125" customWidth="1"/>
    <col min="6" max="6" width="13.42578125" customWidth="1"/>
    <col min="7" max="8" width="17.5703125" customWidth="1"/>
    <col min="9" max="9" width="11.28515625" customWidth="1"/>
  </cols>
  <sheetData>
    <row r="2" spans="1:9" x14ac:dyDescent="0.25">
      <c r="A2" s="198" t="s">
        <v>466</v>
      </c>
      <c r="B2" s="619">
        <v>4444444444</v>
      </c>
      <c r="C2" s="619"/>
      <c r="D2" s="619"/>
      <c r="E2" s="619"/>
      <c r="F2" s="619"/>
      <c r="G2" s="619"/>
      <c r="H2" s="619"/>
      <c r="I2" s="619"/>
    </row>
    <row r="3" spans="1:9" x14ac:dyDescent="0.25">
      <c r="A3" s="198"/>
      <c r="B3" s="620">
        <v>56565665</v>
      </c>
      <c r="C3" s="620"/>
      <c r="D3" s="620"/>
      <c r="E3" s="620"/>
      <c r="F3" s="620"/>
      <c r="G3" s="620"/>
      <c r="H3" s="620"/>
      <c r="I3" s="620"/>
    </row>
    <row r="4" spans="1:9" x14ac:dyDescent="0.25">
      <c r="A4" s="198" t="s">
        <v>364</v>
      </c>
      <c r="B4" s="620" t="s">
        <v>6</v>
      </c>
      <c r="C4" s="620"/>
      <c r="D4" s="620"/>
      <c r="E4" s="620"/>
      <c r="F4" s="620"/>
      <c r="G4" s="620"/>
      <c r="H4" s="620"/>
      <c r="I4" s="620"/>
    </row>
    <row r="5" spans="1:9" x14ac:dyDescent="0.25">
      <c r="A5" s="198" t="s">
        <v>365</v>
      </c>
      <c r="B5" s="620" t="s">
        <v>699</v>
      </c>
      <c r="C5" s="620"/>
      <c r="D5" s="620"/>
      <c r="E5" s="620"/>
      <c r="F5" s="620"/>
      <c r="G5" s="620"/>
      <c r="H5" s="620"/>
      <c r="I5" s="620"/>
    </row>
    <row r="6" spans="1:9" x14ac:dyDescent="0.25">
      <c r="A6" s="198" t="s">
        <v>366</v>
      </c>
      <c r="B6" s="620">
        <v>125545</v>
      </c>
      <c r="C6" s="620"/>
      <c r="D6" s="616" t="s">
        <v>367</v>
      </c>
      <c r="E6" s="616"/>
      <c r="F6" s="209">
        <v>46022</v>
      </c>
      <c r="G6" s="616" t="s">
        <v>467</v>
      </c>
      <c r="H6" s="616"/>
      <c r="I6" s="284">
        <v>12</v>
      </c>
    </row>
    <row r="7" spans="1:9" x14ac:dyDescent="0.25">
      <c r="A7" s="204" t="s">
        <v>369</v>
      </c>
      <c r="B7" s="620" t="s">
        <v>8</v>
      </c>
      <c r="C7" s="620"/>
      <c r="D7" s="200"/>
      <c r="E7" s="200"/>
      <c r="F7" s="200"/>
      <c r="G7" s="200"/>
      <c r="H7" s="200"/>
      <c r="I7" s="197"/>
    </row>
    <row r="8" spans="1:9" x14ac:dyDescent="0.25">
      <c r="A8" s="200" t="s">
        <v>468</v>
      </c>
      <c r="B8" s="619" t="s">
        <v>35</v>
      </c>
      <c r="C8" s="619"/>
      <c r="D8" s="619"/>
      <c r="E8" s="619"/>
      <c r="F8" s="619"/>
      <c r="G8" s="619"/>
      <c r="H8" s="619"/>
      <c r="I8" s="619"/>
    </row>
    <row r="9" spans="1:9" x14ac:dyDescent="0.25">
      <c r="A9" s="200"/>
      <c r="B9" s="620" t="s">
        <v>36</v>
      </c>
      <c r="C9" s="620"/>
      <c r="D9" s="620"/>
      <c r="E9" s="620"/>
      <c r="F9" s="620"/>
      <c r="G9" s="620"/>
      <c r="H9" s="620"/>
      <c r="I9" s="620"/>
    </row>
    <row r="10" spans="1:9" x14ac:dyDescent="0.25">
      <c r="A10" s="200" t="s">
        <v>469</v>
      </c>
      <c r="B10" s="620" t="s">
        <v>40</v>
      </c>
      <c r="C10" s="620"/>
      <c r="D10" s="207"/>
      <c r="E10" s="611" t="s">
        <v>470</v>
      </c>
      <c r="F10" s="611"/>
      <c r="G10" s="619" t="s">
        <v>38</v>
      </c>
      <c r="H10" s="619"/>
      <c r="I10" s="619"/>
    </row>
    <row r="11" spans="1:9" x14ac:dyDescent="0.25">
      <c r="A11" s="200" t="s">
        <v>471</v>
      </c>
      <c r="B11" s="876">
        <v>44713</v>
      </c>
      <c r="C11" s="876"/>
      <c r="D11" s="242"/>
      <c r="E11" s="610" t="s">
        <v>472</v>
      </c>
      <c r="F11" s="610"/>
      <c r="G11" s="858">
        <v>45991</v>
      </c>
      <c r="H11" s="858"/>
      <c r="I11" s="858"/>
    </row>
    <row r="12" spans="1:9" ht="7.9" customHeight="1" x14ac:dyDescent="0.25"/>
    <row r="13" spans="1:9" x14ac:dyDescent="0.25">
      <c r="A13" s="691" t="s">
        <v>932</v>
      </c>
      <c r="B13" s="691"/>
      <c r="C13" s="691"/>
      <c r="D13" s="691"/>
      <c r="E13" s="691"/>
      <c r="F13" s="691"/>
      <c r="G13" s="691"/>
      <c r="H13" s="691"/>
      <c r="I13" s="691"/>
    </row>
    <row r="14" spans="1:9" x14ac:dyDescent="0.25">
      <c r="A14" s="691" t="s">
        <v>933</v>
      </c>
      <c r="B14" s="691"/>
      <c r="C14" s="691"/>
      <c r="D14" s="691"/>
      <c r="E14" s="691"/>
      <c r="F14" s="691"/>
      <c r="G14" s="691"/>
      <c r="H14" s="691"/>
      <c r="I14" s="691"/>
    </row>
    <row r="15" spans="1:9" ht="5.45" customHeight="1" x14ac:dyDescent="0.25">
      <c r="A15" s="266"/>
      <c r="B15" s="266"/>
      <c r="C15" s="266"/>
      <c r="D15" s="266"/>
      <c r="E15" s="266"/>
      <c r="F15" s="266"/>
      <c r="G15" s="266"/>
      <c r="H15" s="266"/>
      <c r="I15" s="266"/>
    </row>
    <row r="16" spans="1:9" ht="25.15" customHeight="1" x14ac:dyDescent="0.25">
      <c r="A16" s="1125" t="s">
        <v>812</v>
      </c>
      <c r="B16" s="1125" t="s">
        <v>813</v>
      </c>
      <c r="C16" s="1125"/>
      <c r="D16" s="383" t="s">
        <v>813</v>
      </c>
      <c r="E16" s="1110" t="s">
        <v>855</v>
      </c>
      <c r="F16" s="1110"/>
      <c r="G16" s="1110" t="s">
        <v>912</v>
      </c>
      <c r="H16" s="1110" t="s">
        <v>913</v>
      </c>
      <c r="I16" s="1110" t="s">
        <v>914</v>
      </c>
    </row>
    <row r="17" spans="1:9" ht="25.15" customHeight="1" x14ac:dyDescent="0.25">
      <c r="A17" s="1125"/>
      <c r="B17" s="1124">
        <v>2025</v>
      </c>
      <c r="C17" s="1125"/>
      <c r="D17" s="384">
        <v>2024</v>
      </c>
      <c r="E17" s="357" t="s">
        <v>815</v>
      </c>
      <c r="F17" s="357" t="s">
        <v>846</v>
      </c>
      <c r="G17" s="1110"/>
      <c r="H17" s="1110"/>
      <c r="I17" s="1110"/>
    </row>
    <row r="18" spans="1:9" x14ac:dyDescent="0.25">
      <c r="A18" s="385" t="s">
        <v>526</v>
      </c>
      <c r="B18" s="1122">
        <v>0</v>
      </c>
      <c r="C18" s="1122"/>
      <c r="D18" s="386">
        <v>0</v>
      </c>
      <c r="E18" s="387">
        <v>0</v>
      </c>
      <c r="F18" s="337">
        <v>0</v>
      </c>
      <c r="G18" s="374"/>
      <c r="H18" s="374"/>
      <c r="I18" s="374"/>
    </row>
    <row r="19" spans="1:9" x14ac:dyDescent="0.25">
      <c r="A19" s="385" t="s">
        <v>934</v>
      </c>
      <c r="B19" s="1122">
        <v>0</v>
      </c>
      <c r="C19" s="1122"/>
      <c r="D19" s="386">
        <v>0</v>
      </c>
      <c r="E19" s="387">
        <v>0</v>
      </c>
      <c r="F19" s="337">
        <v>0</v>
      </c>
      <c r="G19" s="374"/>
      <c r="H19" s="374"/>
      <c r="I19" s="374"/>
    </row>
    <row r="20" spans="1:9" x14ac:dyDescent="0.25">
      <c r="A20" s="388" t="s">
        <v>935</v>
      </c>
      <c r="B20" s="1123">
        <v>0</v>
      </c>
      <c r="C20" s="1123"/>
      <c r="D20" s="389">
        <v>0</v>
      </c>
      <c r="E20" s="390">
        <v>0</v>
      </c>
      <c r="F20" s="341">
        <v>0</v>
      </c>
      <c r="G20" s="389">
        <v>0</v>
      </c>
      <c r="H20" s="389">
        <v>0</v>
      </c>
      <c r="I20" s="389">
        <v>0</v>
      </c>
    </row>
    <row r="21" spans="1:9" x14ac:dyDescent="0.25">
      <c r="A21" s="385" t="s">
        <v>936</v>
      </c>
      <c r="B21" s="1122">
        <v>0</v>
      </c>
      <c r="C21" s="1122"/>
      <c r="D21" s="386">
        <v>0</v>
      </c>
      <c r="E21" s="387">
        <v>0</v>
      </c>
      <c r="F21" s="337">
        <v>0</v>
      </c>
      <c r="G21" s="374"/>
      <c r="H21" s="374"/>
      <c r="I21" s="374"/>
    </row>
    <row r="22" spans="1:9" x14ac:dyDescent="0.25">
      <c r="A22" s="385" t="s">
        <v>937</v>
      </c>
      <c r="B22" s="1122">
        <v>0</v>
      </c>
      <c r="C22" s="1122"/>
      <c r="D22" s="386">
        <v>0</v>
      </c>
      <c r="E22" s="387">
        <v>0</v>
      </c>
      <c r="F22" s="337">
        <v>0</v>
      </c>
      <c r="G22" s="374"/>
      <c r="H22" s="374"/>
      <c r="I22" s="374"/>
    </row>
    <row r="23" spans="1:9" x14ac:dyDescent="0.25">
      <c r="A23" s="385" t="s">
        <v>938</v>
      </c>
      <c r="B23" s="1122">
        <v>0</v>
      </c>
      <c r="C23" s="1122"/>
      <c r="D23" s="386">
        <v>0</v>
      </c>
      <c r="E23" s="387">
        <v>0</v>
      </c>
      <c r="F23" s="337">
        <v>0</v>
      </c>
      <c r="G23" s="374"/>
      <c r="H23" s="374"/>
      <c r="I23" s="374"/>
    </row>
    <row r="24" spans="1:9" x14ac:dyDescent="0.25">
      <c r="A24" s="385" t="s">
        <v>939</v>
      </c>
      <c r="B24" s="1122">
        <v>0</v>
      </c>
      <c r="C24" s="1122"/>
      <c r="D24" s="386">
        <v>0</v>
      </c>
      <c r="E24" s="387">
        <v>0</v>
      </c>
      <c r="F24" s="337">
        <v>0</v>
      </c>
      <c r="G24" s="374"/>
      <c r="H24" s="374"/>
      <c r="I24" s="374"/>
    </row>
    <row r="25" spans="1:9" x14ac:dyDescent="0.25">
      <c r="A25" s="385" t="s">
        <v>940</v>
      </c>
      <c r="B25" s="1122">
        <v>0</v>
      </c>
      <c r="C25" s="1122"/>
      <c r="D25" s="386">
        <v>0</v>
      </c>
      <c r="E25" s="387">
        <v>0</v>
      </c>
      <c r="F25" s="337">
        <v>0</v>
      </c>
      <c r="G25" s="374"/>
      <c r="H25" s="374"/>
      <c r="I25" s="374"/>
    </row>
    <row r="26" spans="1:9" x14ac:dyDescent="0.25">
      <c r="A26" s="385" t="s">
        <v>941</v>
      </c>
      <c r="B26" s="1122">
        <v>0</v>
      </c>
      <c r="C26" s="1122"/>
      <c r="D26" s="386">
        <v>0</v>
      </c>
      <c r="E26" s="387">
        <v>0</v>
      </c>
      <c r="F26" s="337">
        <v>0</v>
      </c>
      <c r="G26" s="374"/>
      <c r="H26" s="374"/>
      <c r="I26" s="374"/>
    </row>
    <row r="27" spans="1:9" x14ac:dyDescent="0.25">
      <c r="A27" s="385" t="s">
        <v>942</v>
      </c>
      <c r="B27" s="1122">
        <v>0</v>
      </c>
      <c r="C27" s="1122"/>
      <c r="D27" s="386">
        <v>0</v>
      </c>
      <c r="E27" s="387">
        <v>0</v>
      </c>
      <c r="F27" s="337">
        <v>0</v>
      </c>
      <c r="G27" s="374"/>
      <c r="H27" s="374"/>
      <c r="I27" s="374"/>
    </row>
    <row r="28" spans="1:9" x14ac:dyDescent="0.25">
      <c r="A28" s="385" t="s">
        <v>943</v>
      </c>
      <c r="B28" s="1122">
        <v>0</v>
      </c>
      <c r="C28" s="1122"/>
      <c r="D28" s="386">
        <v>0</v>
      </c>
      <c r="E28" s="387">
        <v>0</v>
      </c>
      <c r="F28" s="337">
        <v>0</v>
      </c>
      <c r="G28" s="374"/>
      <c r="H28" s="374"/>
      <c r="I28" s="374"/>
    </row>
    <row r="29" spans="1:9" x14ac:dyDescent="0.25">
      <c r="A29" s="385" t="s">
        <v>944</v>
      </c>
      <c r="B29" s="1122">
        <v>0</v>
      </c>
      <c r="C29" s="1122"/>
      <c r="D29" s="386">
        <v>0</v>
      </c>
      <c r="E29" s="387">
        <v>0</v>
      </c>
      <c r="F29" s="337">
        <v>0</v>
      </c>
      <c r="G29" s="374"/>
      <c r="H29" s="374"/>
      <c r="I29" s="374"/>
    </row>
    <row r="30" spans="1:9" x14ac:dyDescent="0.25">
      <c r="A30" s="385" t="s">
        <v>945</v>
      </c>
      <c r="B30" s="1122">
        <v>0</v>
      </c>
      <c r="C30" s="1122"/>
      <c r="D30" s="386">
        <v>0</v>
      </c>
      <c r="E30" s="387">
        <v>0</v>
      </c>
      <c r="F30" s="337">
        <v>0</v>
      </c>
      <c r="G30" s="374"/>
      <c r="H30" s="374"/>
      <c r="I30" s="374"/>
    </row>
    <row r="31" spans="1:9" x14ac:dyDescent="0.25">
      <c r="A31" s="388" t="s">
        <v>946</v>
      </c>
      <c r="B31" s="1123">
        <v>0</v>
      </c>
      <c r="C31" s="1123"/>
      <c r="D31" s="389">
        <v>0</v>
      </c>
      <c r="E31" s="390">
        <v>0</v>
      </c>
      <c r="F31" s="341">
        <v>0</v>
      </c>
      <c r="G31" s="389">
        <v>0</v>
      </c>
      <c r="H31" s="389">
        <v>0</v>
      </c>
      <c r="I31" s="389">
        <v>0</v>
      </c>
    </row>
    <row r="32" spans="1:9" x14ac:dyDescent="0.25">
      <c r="A32" s="385" t="s">
        <v>947</v>
      </c>
      <c r="B32" s="1121">
        <v>0</v>
      </c>
      <c r="C32" s="1121"/>
      <c r="D32" s="386">
        <v>0</v>
      </c>
      <c r="E32" s="387">
        <v>0</v>
      </c>
      <c r="F32" s="337">
        <v>0</v>
      </c>
      <c r="G32" s="374"/>
      <c r="H32" s="374"/>
      <c r="I32" s="374"/>
    </row>
    <row r="33" spans="1:9" x14ac:dyDescent="0.25">
      <c r="A33" s="385" t="s">
        <v>948</v>
      </c>
      <c r="B33" s="1122">
        <v>0</v>
      </c>
      <c r="C33" s="1122"/>
      <c r="D33" s="386">
        <v>0</v>
      </c>
      <c r="E33" s="387">
        <v>0</v>
      </c>
      <c r="F33" s="337">
        <v>0</v>
      </c>
      <c r="G33" s="374"/>
      <c r="H33" s="374"/>
      <c r="I33" s="374"/>
    </row>
    <row r="34" spans="1:9" x14ac:dyDescent="0.25">
      <c r="A34" s="385" t="s">
        <v>949</v>
      </c>
      <c r="B34" s="1121">
        <v>0</v>
      </c>
      <c r="C34" s="1121"/>
      <c r="D34" s="386">
        <v>0</v>
      </c>
      <c r="E34" s="387">
        <v>0</v>
      </c>
      <c r="F34" s="337">
        <v>0</v>
      </c>
      <c r="G34" s="374"/>
      <c r="H34" s="374"/>
      <c r="I34" s="374"/>
    </row>
    <row r="35" spans="1:9" x14ac:dyDescent="0.25">
      <c r="A35" s="385" t="s">
        <v>950</v>
      </c>
      <c r="B35" s="1122">
        <v>0</v>
      </c>
      <c r="C35" s="1122"/>
      <c r="D35" s="386">
        <v>0</v>
      </c>
      <c r="E35" s="387">
        <v>0</v>
      </c>
      <c r="F35" s="337">
        <v>0</v>
      </c>
      <c r="G35" s="374"/>
      <c r="H35" s="374"/>
      <c r="I35" s="374"/>
    </row>
    <row r="36" spans="1:9" x14ac:dyDescent="0.25">
      <c r="A36" s="388" t="s">
        <v>951</v>
      </c>
      <c r="B36" s="1123">
        <v>0</v>
      </c>
      <c r="C36" s="1123"/>
      <c r="D36" s="389">
        <v>0</v>
      </c>
      <c r="E36" s="390">
        <v>0</v>
      </c>
      <c r="F36" s="341">
        <v>0</v>
      </c>
      <c r="G36" s="389">
        <v>0</v>
      </c>
      <c r="H36" s="389">
        <v>0</v>
      </c>
      <c r="I36" s="389">
        <v>0</v>
      </c>
    </row>
    <row r="37" spans="1:9" ht="28.5" x14ac:dyDescent="0.25">
      <c r="A37" s="391" t="s">
        <v>952</v>
      </c>
      <c r="B37" s="1123">
        <v>0</v>
      </c>
      <c r="C37" s="1123"/>
      <c r="D37" s="389">
        <v>0</v>
      </c>
      <c r="E37" s="390">
        <v>0</v>
      </c>
      <c r="F37" s="341">
        <v>0</v>
      </c>
      <c r="G37" s="389">
        <v>0</v>
      </c>
      <c r="H37" s="389">
        <v>0</v>
      </c>
      <c r="I37" s="389">
        <v>0</v>
      </c>
    </row>
    <row r="38" spans="1:9" ht="9" customHeight="1" x14ac:dyDescent="0.25">
      <c r="A38" s="252"/>
      <c r="B38" s="252"/>
      <c r="C38" s="252"/>
      <c r="D38" s="252"/>
      <c r="E38" s="252"/>
      <c r="F38" s="252"/>
      <c r="G38" s="252"/>
      <c r="H38" s="252"/>
      <c r="I38" s="252"/>
    </row>
    <row r="39" spans="1:9" x14ac:dyDescent="0.25">
      <c r="A39" s="252" t="s">
        <v>796</v>
      </c>
      <c r="B39" s="252"/>
      <c r="C39" s="252"/>
      <c r="D39" s="252"/>
      <c r="E39" s="252"/>
      <c r="F39" s="252"/>
      <c r="G39" s="252"/>
      <c r="H39" s="252"/>
      <c r="I39" s="252"/>
    </row>
    <row r="40" spans="1:9" x14ac:dyDescent="0.25">
      <c r="A40" s="922"/>
      <c r="B40" s="923"/>
      <c r="C40" s="923"/>
      <c r="D40" s="923"/>
      <c r="E40" s="923"/>
      <c r="F40" s="923"/>
      <c r="G40" s="923"/>
      <c r="H40" s="923"/>
      <c r="I40" s="924"/>
    </row>
    <row r="41" spans="1:9" x14ac:dyDescent="0.25">
      <c r="A41" s="925"/>
      <c r="B41" s="926"/>
      <c r="C41" s="926"/>
      <c r="D41" s="926"/>
      <c r="E41" s="926"/>
      <c r="F41" s="926"/>
      <c r="G41" s="926"/>
      <c r="H41" s="926"/>
      <c r="I41" s="927"/>
    </row>
    <row r="42" spans="1:9" x14ac:dyDescent="0.25">
      <c r="A42" s="925"/>
      <c r="B42" s="926"/>
      <c r="C42" s="926"/>
      <c r="D42" s="926"/>
      <c r="E42" s="926"/>
      <c r="F42" s="926"/>
      <c r="G42" s="926"/>
      <c r="H42" s="926"/>
      <c r="I42" s="927"/>
    </row>
    <row r="43" spans="1:9" x14ac:dyDescent="0.25">
      <c r="A43" s="925"/>
      <c r="B43" s="926"/>
      <c r="C43" s="926"/>
      <c r="D43" s="926"/>
      <c r="E43" s="926"/>
      <c r="F43" s="926"/>
      <c r="G43" s="926"/>
      <c r="H43" s="926"/>
      <c r="I43" s="927"/>
    </row>
    <row r="44" spans="1:9" x14ac:dyDescent="0.25">
      <c r="A44" s="925"/>
      <c r="B44" s="926"/>
      <c r="C44" s="926"/>
      <c r="D44" s="926"/>
      <c r="E44" s="926"/>
      <c r="F44" s="926"/>
      <c r="G44" s="926"/>
      <c r="H44" s="926"/>
      <c r="I44" s="927"/>
    </row>
    <row r="45" spans="1:9" x14ac:dyDescent="0.25">
      <c r="A45" s="925"/>
      <c r="B45" s="926"/>
      <c r="C45" s="926"/>
      <c r="D45" s="926"/>
      <c r="E45" s="926"/>
      <c r="F45" s="926"/>
      <c r="G45" s="926"/>
      <c r="H45" s="926"/>
      <c r="I45" s="927"/>
    </row>
    <row r="46" spans="1:9" x14ac:dyDescent="0.25">
      <c r="A46" s="928"/>
      <c r="B46" s="929"/>
      <c r="C46" s="929"/>
      <c r="D46" s="929"/>
      <c r="E46" s="929"/>
      <c r="F46" s="929"/>
      <c r="G46" s="929"/>
      <c r="H46" s="929"/>
      <c r="I46" s="930"/>
    </row>
  </sheetData>
  <mergeCells count="46">
    <mergeCell ref="B2:I2"/>
    <mergeCell ref="B3:I3"/>
    <mergeCell ref="B4:I4"/>
    <mergeCell ref="B5:I5"/>
    <mergeCell ref="B6:C6"/>
    <mergeCell ref="D6:E6"/>
    <mergeCell ref="G6:H6"/>
    <mergeCell ref="B7:C7"/>
    <mergeCell ref="B8:I8"/>
    <mergeCell ref="B9:I9"/>
    <mergeCell ref="B10:C10"/>
    <mergeCell ref="E10:F10"/>
    <mergeCell ref="G10:I10"/>
    <mergeCell ref="B21:C21"/>
    <mergeCell ref="B11:C11"/>
    <mergeCell ref="E11:F11"/>
    <mergeCell ref="G11:I11"/>
    <mergeCell ref="A13:I13"/>
    <mergeCell ref="A14:I14"/>
    <mergeCell ref="A16:A17"/>
    <mergeCell ref="B16:C16"/>
    <mergeCell ref="E16:F16"/>
    <mergeCell ref="G16:G17"/>
    <mergeCell ref="H16:H17"/>
    <mergeCell ref="I16:I17"/>
    <mergeCell ref="B17:C17"/>
    <mergeCell ref="B18:C18"/>
    <mergeCell ref="B19:C19"/>
    <mergeCell ref="B20:C20"/>
    <mergeCell ref="B33:C33"/>
    <mergeCell ref="B22:C22"/>
    <mergeCell ref="B23:C23"/>
    <mergeCell ref="B24:C24"/>
    <mergeCell ref="B25:C25"/>
    <mergeCell ref="B26:C26"/>
    <mergeCell ref="B27:C27"/>
    <mergeCell ref="B28:C28"/>
    <mergeCell ref="B29:C29"/>
    <mergeCell ref="B30:C30"/>
    <mergeCell ref="B31:C31"/>
    <mergeCell ref="B32:C32"/>
    <mergeCell ref="B34:C34"/>
    <mergeCell ref="B35:C35"/>
    <mergeCell ref="B36:C36"/>
    <mergeCell ref="B37:C37"/>
    <mergeCell ref="A40:I4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A63FA-A429-4669-86C5-709F81C2D89A}">
  <dimension ref="A2:H36"/>
  <sheetViews>
    <sheetView workbookViewId="0">
      <selection sqref="A1:XFD1048576"/>
    </sheetView>
  </sheetViews>
  <sheetFormatPr baseColWidth="10" defaultRowHeight="15" x14ac:dyDescent="0.25"/>
  <cols>
    <col min="1" max="1" width="37.140625" customWidth="1"/>
    <col min="2" max="2" width="5.85546875" customWidth="1"/>
    <col min="3" max="3" width="16.28515625" customWidth="1"/>
    <col min="4" max="4" width="17.140625" customWidth="1"/>
    <col min="5" max="5" width="17.28515625" customWidth="1"/>
    <col min="6" max="6" width="14" customWidth="1"/>
    <col min="7" max="7" width="17.5703125" customWidth="1"/>
    <col min="8" max="8" width="7.85546875" customWidth="1"/>
  </cols>
  <sheetData>
    <row r="2" spans="1:8" x14ac:dyDescent="0.25">
      <c r="A2" s="198" t="s">
        <v>466</v>
      </c>
      <c r="B2" s="619">
        <v>4444444444</v>
      </c>
      <c r="C2" s="619"/>
      <c r="D2" s="619"/>
      <c r="E2" s="619"/>
      <c r="F2" s="619"/>
      <c r="G2" s="619"/>
      <c r="H2" s="619"/>
    </row>
    <row r="3" spans="1:8" x14ac:dyDescent="0.25">
      <c r="A3" s="198"/>
      <c r="B3" s="620">
        <v>56565665</v>
      </c>
      <c r="C3" s="620"/>
      <c r="D3" s="620"/>
      <c r="E3" s="620"/>
      <c r="F3" s="620"/>
      <c r="G3" s="620"/>
      <c r="H3" s="620"/>
    </row>
    <row r="4" spans="1:8" x14ac:dyDescent="0.25">
      <c r="A4" s="198" t="s">
        <v>364</v>
      </c>
      <c r="B4" s="620" t="s">
        <v>6</v>
      </c>
      <c r="C4" s="620"/>
      <c r="D4" s="620"/>
      <c r="E4" s="620"/>
      <c r="F4" s="620"/>
      <c r="G4" s="620"/>
      <c r="H4" s="620"/>
    </row>
    <row r="5" spans="1:8" x14ac:dyDescent="0.25">
      <c r="A5" s="198" t="s">
        <v>365</v>
      </c>
      <c r="B5" s="620" t="s">
        <v>699</v>
      </c>
      <c r="C5" s="620"/>
      <c r="D5" s="620"/>
      <c r="E5" s="620"/>
      <c r="F5" s="620"/>
      <c r="G5" s="620"/>
      <c r="H5" s="620"/>
    </row>
    <row r="6" spans="1:8" x14ac:dyDescent="0.25">
      <c r="A6" s="198" t="s">
        <v>366</v>
      </c>
      <c r="B6" s="620">
        <v>125545</v>
      </c>
      <c r="C6" s="620"/>
      <c r="D6" s="616" t="s">
        <v>367</v>
      </c>
      <c r="E6" s="616"/>
      <c r="F6" s="209">
        <v>46022</v>
      </c>
      <c r="G6" s="47" t="s">
        <v>467</v>
      </c>
      <c r="H6" s="241">
        <v>12</v>
      </c>
    </row>
    <row r="7" spans="1:8" x14ac:dyDescent="0.25">
      <c r="A7" s="204" t="s">
        <v>369</v>
      </c>
      <c r="B7" s="619" t="s">
        <v>8</v>
      </c>
      <c r="C7" s="619"/>
      <c r="D7" s="619"/>
      <c r="E7" s="200"/>
      <c r="F7" s="200"/>
      <c r="G7" s="200"/>
      <c r="H7" s="200"/>
    </row>
    <row r="8" spans="1:8" x14ac:dyDescent="0.25">
      <c r="A8" s="200" t="s">
        <v>468</v>
      </c>
      <c r="B8" s="619" t="s">
        <v>35</v>
      </c>
      <c r="C8" s="619"/>
      <c r="D8" s="619"/>
      <c r="E8" s="619"/>
      <c r="F8" s="619"/>
      <c r="G8" s="619"/>
      <c r="H8" s="619"/>
    </row>
    <row r="9" spans="1:8" x14ac:dyDescent="0.25">
      <c r="A9" s="200"/>
      <c r="B9" s="620" t="s">
        <v>36</v>
      </c>
      <c r="C9" s="620"/>
      <c r="D9" s="620"/>
      <c r="E9" s="620"/>
      <c r="F9" s="620"/>
      <c r="G9" s="620"/>
      <c r="H9" s="620"/>
    </row>
    <row r="10" spans="1:8" x14ac:dyDescent="0.25">
      <c r="A10" s="200" t="s">
        <v>469</v>
      </c>
      <c r="B10" s="620" t="s">
        <v>40</v>
      </c>
      <c r="C10" s="620"/>
      <c r="D10" s="207"/>
      <c r="E10" s="616" t="s">
        <v>470</v>
      </c>
      <c r="F10" s="616"/>
      <c r="G10" s="620" t="s">
        <v>38</v>
      </c>
      <c r="H10" s="620"/>
    </row>
    <row r="11" spans="1:8" x14ac:dyDescent="0.25">
      <c r="A11" s="200" t="s">
        <v>471</v>
      </c>
      <c r="B11" s="876">
        <v>44713</v>
      </c>
      <c r="C11" s="876"/>
      <c r="D11" s="242"/>
      <c r="E11" s="610" t="s">
        <v>472</v>
      </c>
      <c r="F11" s="610"/>
      <c r="G11" s="876">
        <v>45991</v>
      </c>
      <c r="H11" s="876"/>
    </row>
    <row r="12" spans="1:8" ht="8.4499999999999993" customHeight="1" x14ac:dyDescent="0.25"/>
    <row r="13" spans="1:8" ht="16.899999999999999" customHeight="1" x14ac:dyDescent="0.25">
      <c r="A13" s="691" t="s">
        <v>953</v>
      </c>
      <c r="B13" s="691"/>
      <c r="C13" s="691"/>
      <c r="D13" s="691"/>
      <c r="E13" s="691"/>
      <c r="F13" s="691"/>
      <c r="G13" s="691"/>
      <c r="H13" s="691"/>
    </row>
    <row r="14" spans="1:8" x14ac:dyDescent="0.25">
      <c r="A14" s="691" t="s">
        <v>954</v>
      </c>
      <c r="B14" s="691"/>
      <c r="C14" s="691"/>
      <c r="D14" s="691"/>
      <c r="E14" s="691"/>
      <c r="F14" s="691"/>
      <c r="G14" s="691"/>
      <c r="H14" s="691"/>
    </row>
    <row r="15" spans="1:8" ht="8.4499999999999993" customHeight="1" x14ac:dyDescent="0.25">
      <c r="A15" s="263"/>
      <c r="B15" s="263"/>
      <c r="C15" s="263"/>
      <c r="D15" s="263"/>
      <c r="E15" s="263"/>
      <c r="F15" s="263"/>
      <c r="G15" s="263"/>
      <c r="H15" s="263"/>
    </row>
    <row r="16" spans="1:8" x14ac:dyDescent="0.25">
      <c r="A16" s="911" t="s">
        <v>812</v>
      </c>
      <c r="B16" s="911"/>
      <c r="C16" s="1138" t="s">
        <v>813</v>
      </c>
      <c r="D16" s="1138"/>
      <c r="E16" s="1138" t="s">
        <v>813</v>
      </c>
      <c r="F16" s="1138"/>
      <c r="G16" s="949" t="s">
        <v>814</v>
      </c>
      <c r="H16" s="951"/>
    </row>
    <row r="17" spans="1:8" x14ac:dyDescent="0.25">
      <c r="A17" s="911"/>
      <c r="B17" s="911"/>
      <c r="C17" s="1137">
        <f>IF(ISBLANK([1]IDENTIFICATION!F11),"",[1]IDENTIFICATION!F11)</f>
        <v>46022</v>
      </c>
      <c r="D17" s="1137"/>
      <c r="E17" s="1137">
        <f>IF(ISBLANK([1]IDENTIFICATION!B10),"",[1]IDENTIFICATION!B10)</f>
        <v>46022</v>
      </c>
      <c r="F17" s="1137"/>
      <c r="G17" s="269" t="s">
        <v>815</v>
      </c>
      <c r="H17" s="269" t="s">
        <v>846</v>
      </c>
    </row>
    <row r="18" spans="1:8" x14ac:dyDescent="0.25">
      <c r="A18" s="1069" t="s">
        <v>955</v>
      </c>
      <c r="B18" s="1071"/>
      <c r="C18" s="1048">
        <v>0</v>
      </c>
      <c r="D18" s="1049"/>
      <c r="E18" s="1048">
        <v>0</v>
      </c>
      <c r="F18" s="1049"/>
      <c r="G18" s="347">
        <v>0</v>
      </c>
      <c r="H18" s="349">
        <v>0</v>
      </c>
    </row>
    <row r="19" spans="1:8" x14ac:dyDescent="0.25">
      <c r="A19" s="1131" t="s">
        <v>956</v>
      </c>
      <c r="B19" s="1132"/>
      <c r="C19" s="1067">
        <v>0</v>
      </c>
      <c r="D19" s="1068"/>
      <c r="E19" s="1067">
        <v>0</v>
      </c>
      <c r="F19" s="1068"/>
      <c r="G19" s="347">
        <v>0</v>
      </c>
      <c r="H19" s="349">
        <v>0</v>
      </c>
    </row>
    <row r="20" spans="1:8" x14ac:dyDescent="0.25">
      <c r="A20" s="1131" t="s">
        <v>957</v>
      </c>
      <c r="B20" s="1132"/>
      <c r="C20" s="1067">
        <v>0</v>
      </c>
      <c r="D20" s="1068"/>
      <c r="E20" s="1067">
        <v>0</v>
      </c>
      <c r="F20" s="1068"/>
      <c r="G20" s="347">
        <v>0</v>
      </c>
      <c r="H20" s="349">
        <v>0</v>
      </c>
    </row>
    <row r="21" spans="1:8" ht="27" customHeight="1" x14ac:dyDescent="0.25">
      <c r="A21" s="1133" t="s">
        <v>958</v>
      </c>
      <c r="B21" s="1134"/>
      <c r="C21" s="1135">
        <v>0</v>
      </c>
      <c r="D21" s="1136"/>
      <c r="E21" s="1135">
        <v>0</v>
      </c>
      <c r="F21" s="1136"/>
      <c r="G21" s="350">
        <v>0</v>
      </c>
      <c r="H21" s="352">
        <v>0</v>
      </c>
    </row>
    <row r="22" spans="1:8" x14ac:dyDescent="0.25">
      <c r="A22" s="1069" t="s">
        <v>861</v>
      </c>
      <c r="B22" s="1071"/>
      <c r="C22" s="1048">
        <v>0</v>
      </c>
      <c r="D22" s="1049"/>
      <c r="E22" s="1048">
        <v>0</v>
      </c>
      <c r="F22" s="1049"/>
      <c r="G22" s="347">
        <v>0</v>
      </c>
      <c r="H22" s="349">
        <v>0</v>
      </c>
    </row>
    <row r="23" spans="1:8" x14ac:dyDescent="0.25">
      <c r="A23" s="1069" t="s">
        <v>959</v>
      </c>
      <c r="B23" s="1071"/>
      <c r="C23" s="1048">
        <v>0</v>
      </c>
      <c r="D23" s="1049"/>
      <c r="E23" s="1048">
        <v>0</v>
      </c>
      <c r="F23" s="1049"/>
      <c r="G23" s="347">
        <v>0</v>
      </c>
      <c r="H23" s="349">
        <v>0</v>
      </c>
    </row>
    <row r="24" spans="1:8" x14ac:dyDescent="0.25">
      <c r="A24" s="1069" t="s">
        <v>864</v>
      </c>
      <c r="B24" s="1071"/>
      <c r="C24" s="1048">
        <v>0</v>
      </c>
      <c r="D24" s="1049"/>
      <c r="E24" s="1048">
        <v>0</v>
      </c>
      <c r="F24" s="1049"/>
      <c r="G24" s="347">
        <v>0</v>
      </c>
      <c r="H24" s="349">
        <v>0</v>
      </c>
    </row>
    <row r="25" spans="1:8" x14ac:dyDescent="0.25">
      <c r="A25" s="1129" t="s">
        <v>865</v>
      </c>
      <c r="B25" s="1130"/>
      <c r="C25" s="1048">
        <v>0</v>
      </c>
      <c r="D25" s="1049"/>
      <c r="E25" s="1048">
        <v>0</v>
      </c>
      <c r="F25" s="1049"/>
      <c r="G25" s="347">
        <v>0</v>
      </c>
      <c r="H25" s="349">
        <v>0</v>
      </c>
    </row>
    <row r="26" spans="1:8" x14ac:dyDescent="0.25">
      <c r="A26" s="1126" t="s">
        <v>960</v>
      </c>
      <c r="B26" s="1127"/>
      <c r="C26" s="1042">
        <v>0</v>
      </c>
      <c r="D26" s="1043"/>
      <c r="E26" s="1042">
        <v>0</v>
      </c>
      <c r="F26" s="1043"/>
      <c r="G26" s="350">
        <v>0</v>
      </c>
      <c r="H26" s="352">
        <v>0</v>
      </c>
    </row>
    <row r="27" spans="1:8" ht="6.6" customHeight="1" x14ac:dyDescent="0.25">
      <c r="A27" s="245"/>
      <c r="B27" s="245"/>
      <c r="C27" s="245"/>
      <c r="D27" s="245"/>
      <c r="E27" s="245"/>
      <c r="F27" s="245"/>
      <c r="G27" s="245"/>
      <c r="H27" s="245"/>
    </row>
    <row r="28" spans="1:8" x14ac:dyDescent="0.25">
      <c r="A28" s="245" t="s">
        <v>796</v>
      </c>
      <c r="B28" s="245"/>
      <c r="C28" s="245"/>
      <c r="D28" s="245"/>
      <c r="E28" s="245"/>
      <c r="F28" s="245"/>
      <c r="G28" s="245"/>
      <c r="H28" s="245"/>
    </row>
    <row r="29" spans="1:8" x14ac:dyDescent="0.25">
      <c r="A29" s="940"/>
      <c r="B29" s="941"/>
      <c r="C29" s="941"/>
      <c r="D29" s="941"/>
      <c r="E29" s="941"/>
      <c r="F29" s="941"/>
      <c r="G29" s="941"/>
      <c r="H29" s="942"/>
    </row>
    <row r="30" spans="1:8" x14ac:dyDescent="0.25">
      <c r="A30" s="943"/>
      <c r="B30" s="944"/>
      <c r="C30" s="944"/>
      <c r="D30" s="944"/>
      <c r="E30" s="944"/>
      <c r="F30" s="944"/>
      <c r="G30" s="944"/>
      <c r="H30" s="945"/>
    </row>
    <row r="31" spans="1:8" x14ac:dyDescent="0.25">
      <c r="A31" s="943"/>
      <c r="B31" s="944"/>
      <c r="C31" s="944"/>
      <c r="D31" s="944"/>
      <c r="E31" s="944"/>
      <c r="F31" s="944"/>
      <c r="G31" s="944"/>
      <c r="H31" s="945"/>
    </row>
    <row r="32" spans="1:8" x14ac:dyDescent="0.25">
      <c r="A32" s="943"/>
      <c r="B32" s="944"/>
      <c r="C32" s="944"/>
      <c r="D32" s="944"/>
      <c r="E32" s="944"/>
      <c r="F32" s="944"/>
      <c r="G32" s="944"/>
      <c r="H32" s="945"/>
    </row>
    <row r="33" spans="1:8" x14ac:dyDescent="0.25">
      <c r="A33" s="943"/>
      <c r="B33" s="944"/>
      <c r="C33" s="944"/>
      <c r="D33" s="944"/>
      <c r="E33" s="944"/>
      <c r="F33" s="944"/>
      <c r="G33" s="944"/>
      <c r="H33" s="945"/>
    </row>
    <row r="34" spans="1:8" x14ac:dyDescent="0.25">
      <c r="A34" s="946"/>
      <c r="B34" s="947"/>
      <c r="C34" s="947"/>
      <c r="D34" s="947"/>
      <c r="E34" s="947"/>
      <c r="F34" s="947"/>
      <c r="G34" s="947"/>
      <c r="H34" s="948"/>
    </row>
    <row r="35" spans="1:8" ht="9.6" customHeight="1" x14ac:dyDescent="0.25">
      <c r="A35" s="245"/>
      <c r="B35" s="245"/>
      <c r="C35" s="245"/>
      <c r="D35" s="245"/>
      <c r="E35" s="245"/>
      <c r="F35" s="245"/>
      <c r="G35" s="245"/>
      <c r="H35" s="245"/>
    </row>
    <row r="36" spans="1:8" x14ac:dyDescent="0.25">
      <c r="A36" s="1128" t="s">
        <v>961</v>
      </c>
      <c r="B36" s="1128"/>
      <c r="C36" s="1128"/>
      <c r="D36" s="1128"/>
      <c r="E36" s="1128"/>
      <c r="F36" s="1128"/>
      <c r="G36" s="1128"/>
      <c r="H36" s="1128"/>
    </row>
  </sheetData>
  <mergeCells count="52">
    <mergeCell ref="B2:H2"/>
    <mergeCell ref="B3:H3"/>
    <mergeCell ref="B4:H4"/>
    <mergeCell ref="B5:H5"/>
    <mergeCell ref="B6:C6"/>
    <mergeCell ref="D6:E6"/>
    <mergeCell ref="G16:H16"/>
    <mergeCell ref="C17:D17"/>
    <mergeCell ref="B7:D7"/>
    <mergeCell ref="B8:H8"/>
    <mergeCell ref="B9:H9"/>
    <mergeCell ref="B10:C10"/>
    <mergeCell ref="E10:F10"/>
    <mergeCell ref="G10:H10"/>
    <mergeCell ref="B11:C11"/>
    <mergeCell ref="E11:F11"/>
    <mergeCell ref="G11:H11"/>
    <mergeCell ref="A13:H13"/>
    <mergeCell ref="A14:H14"/>
    <mergeCell ref="E17:F17"/>
    <mergeCell ref="A18:B18"/>
    <mergeCell ref="C18:D18"/>
    <mergeCell ref="E18:F18"/>
    <mergeCell ref="A19:B19"/>
    <mergeCell ref="C19:D19"/>
    <mergeCell ref="E19:F19"/>
    <mergeCell ref="A16:B17"/>
    <mergeCell ref="C16:D16"/>
    <mergeCell ref="E16:F16"/>
    <mergeCell ref="A20:B20"/>
    <mergeCell ref="C20:D20"/>
    <mergeCell ref="E20:F20"/>
    <mergeCell ref="A21:B21"/>
    <mergeCell ref="C21:D21"/>
    <mergeCell ref="E21:F21"/>
    <mergeCell ref="A22:B22"/>
    <mergeCell ref="C22:D22"/>
    <mergeCell ref="E22:F22"/>
    <mergeCell ref="A23:B23"/>
    <mergeCell ref="C23:D23"/>
    <mergeCell ref="E23:F23"/>
    <mergeCell ref="A24:B24"/>
    <mergeCell ref="C24:D24"/>
    <mergeCell ref="E24:F24"/>
    <mergeCell ref="A25:B25"/>
    <mergeCell ref="C25:D25"/>
    <mergeCell ref="E25:F25"/>
    <mergeCell ref="A26:B26"/>
    <mergeCell ref="C26:D26"/>
    <mergeCell ref="E26:F26"/>
    <mergeCell ref="A29:H34"/>
    <mergeCell ref="A36:H3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60D26-F720-4017-8F1F-D8082C5C8684}">
  <dimension ref="A2:H33"/>
  <sheetViews>
    <sheetView workbookViewId="0">
      <selection activeCell="E17" sqref="A1:XFD1048576"/>
    </sheetView>
  </sheetViews>
  <sheetFormatPr baseColWidth="10" defaultRowHeight="15" x14ac:dyDescent="0.25"/>
  <cols>
    <col min="1" max="1" width="37.140625" customWidth="1"/>
    <col min="2" max="2" width="10.7109375" customWidth="1"/>
    <col min="3" max="3" width="13.42578125" customWidth="1"/>
    <col min="4" max="5" width="11.28515625" customWidth="1"/>
    <col min="6" max="6" width="15.28515625" customWidth="1"/>
    <col min="7" max="7" width="17.5703125" customWidth="1"/>
    <col min="8" max="8" width="7.85546875" customWidth="1"/>
  </cols>
  <sheetData>
    <row r="2" spans="1:8" x14ac:dyDescent="0.25">
      <c r="A2" s="198" t="s">
        <v>466</v>
      </c>
      <c r="B2" s="619">
        <v>4444444444</v>
      </c>
      <c r="C2" s="619"/>
      <c r="D2" s="619"/>
      <c r="E2" s="619"/>
      <c r="F2" s="619"/>
      <c r="G2" s="619"/>
      <c r="H2" s="619"/>
    </row>
    <row r="3" spans="1:8" x14ac:dyDescent="0.25">
      <c r="A3" s="198"/>
      <c r="B3" s="620">
        <v>56565665</v>
      </c>
      <c r="C3" s="620"/>
      <c r="D3" s="620"/>
      <c r="E3" s="620"/>
      <c r="F3" s="620"/>
      <c r="G3" s="620"/>
      <c r="H3" s="620"/>
    </row>
    <row r="4" spans="1:8" x14ac:dyDescent="0.25">
      <c r="A4" s="198" t="s">
        <v>364</v>
      </c>
      <c r="B4" s="620" t="s">
        <v>6</v>
      </c>
      <c r="C4" s="620"/>
      <c r="D4" s="620"/>
      <c r="E4" s="620"/>
      <c r="F4" s="620"/>
      <c r="G4" s="620"/>
      <c r="H4" s="620"/>
    </row>
    <row r="5" spans="1:8" x14ac:dyDescent="0.25">
      <c r="A5" s="198" t="s">
        <v>365</v>
      </c>
      <c r="B5" s="620" t="s">
        <v>699</v>
      </c>
      <c r="C5" s="620"/>
      <c r="D5" s="620"/>
      <c r="E5" s="620"/>
      <c r="F5" s="620"/>
      <c r="G5" s="620"/>
      <c r="H5" s="620"/>
    </row>
    <row r="6" spans="1:8" x14ac:dyDescent="0.25">
      <c r="A6" s="198" t="s">
        <v>366</v>
      </c>
      <c r="B6" s="620">
        <v>125545</v>
      </c>
      <c r="C6" s="620"/>
      <c r="D6" s="616" t="s">
        <v>367</v>
      </c>
      <c r="E6" s="616"/>
      <c r="F6" s="209">
        <v>46022</v>
      </c>
      <c r="G6" s="47" t="s">
        <v>467</v>
      </c>
      <c r="H6" s="241">
        <v>12</v>
      </c>
    </row>
    <row r="7" spans="1:8" x14ac:dyDescent="0.25">
      <c r="A7" s="204" t="s">
        <v>369</v>
      </c>
      <c r="B7" s="619" t="s">
        <v>8</v>
      </c>
      <c r="C7" s="619"/>
      <c r="D7" s="619"/>
      <c r="E7" s="200"/>
      <c r="F7" s="200"/>
      <c r="G7" s="200"/>
      <c r="H7" s="200"/>
    </row>
    <row r="8" spans="1:8" x14ac:dyDescent="0.25">
      <c r="A8" s="200" t="s">
        <v>468</v>
      </c>
      <c r="B8" s="619" t="s">
        <v>35</v>
      </c>
      <c r="C8" s="619"/>
      <c r="D8" s="619"/>
      <c r="E8" s="619"/>
      <c r="F8" s="619"/>
      <c r="G8" s="619"/>
      <c r="H8" s="619"/>
    </row>
    <row r="9" spans="1:8" x14ac:dyDescent="0.25">
      <c r="A9" s="200"/>
      <c r="B9" s="620" t="s">
        <v>36</v>
      </c>
      <c r="C9" s="620"/>
      <c r="D9" s="620"/>
      <c r="E9" s="620"/>
      <c r="F9" s="620"/>
      <c r="G9" s="620"/>
      <c r="H9" s="620"/>
    </row>
    <row r="10" spans="1:8" x14ac:dyDescent="0.25">
      <c r="A10" s="200" t="s">
        <v>469</v>
      </c>
      <c r="B10" s="620" t="s">
        <v>40</v>
      </c>
      <c r="C10" s="620"/>
      <c r="D10" s="207"/>
      <c r="E10" s="616" t="s">
        <v>470</v>
      </c>
      <c r="F10" s="616"/>
      <c r="G10" s="620" t="s">
        <v>38</v>
      </c>
      <c r="H10" s="620"/>
    </row>
    <row r="11" spans="1:8" x14ac:dyDescent="0.25">
      <c r="A11" s="200" t="s">
        <v>471</v>
      </c>
      <c r="B11" s="876">
        <v>44713</v>
      </c>
      <c r="C11" s="876"/>
      <c r="D11" s="242"/>
      <c r="E11" s="610" t="s">
        <v>472</v>
      </c>
      <c r="F11" s="610"/>
      <c r="G11" s="876">
        <v>45991</v>
      </c>
      <c r="H11" s="876"/>
    </row>
    <row r="12" spans="1:8" ht="7.9" customHeight="1" x14ac:dyDescent="0.25"/>
    <row r="13" spans="1:8" x14ac:dyDescent="0.25">
      <c r="A13" s="691" t="s">
        <v>962</v>
      </c>
      <c r="B13" s="691"/>
      <c r="C13" s="691"/>
      <c r="D13" s="691"/>
      <c r="E13" s="691"/>
      <c r="F13" s="691"/>
      <c r="G13" s="691"/>
      <c r="H13" s="691"/>
    </row>
    <row r="14" spans="1:8" x14ac:dyDescent="0.25">
      <c r="A14" s="691" t="s">
        <v>963</v>
      </c>
      <c r="B14" s="691"/>
      <c r="C14" s="691"/>
      <c r="D14" s="691"/>
      <c r="E14" s="691"/>
      <c r="F14" s="691"/>
      <c r="G14" s="691"/>
      <c r="H14" s="691"/>
    </row>
    <row r="15" spans="1:8" ht="7.9" customHeight="1" x14ac:dyDescent="0.25">
      <c r="A15" s="263"/>
      <c r="B15" s="263"/>
      <c r="C15" s="263"/>
      <c r="D15" s="263"/>
      <c r="E15" s="263"/>
      <c r="F15" s="263"/>
      <c r="G15" s="263"/>
      <c r="H15" s="263"/>
    </row>
    <row r="16" spans="1:8" x14ac:dyDescent="0.25">
      <c r="A16" s="911" t="s">
        <v>812</v>
      </c>
      <c r="B16" s="911"/>
      <c r="C16" s="1144" t="s">
        <v>813</v>
      </c>
      <c r="D16" s="1144"/>
      <c r="E16" s="1144" t="s">
        <v>813</v>
      </c>
      <c r="F16" s="1144"/>
      <c r="G16" s="1145" t="s">
        <v>814</v>
      </c>
      <c r="H16" s="1146"/>
    </row>
    <row r="17" spans="1:8" x14ac:dyDescent="0.25">
      <c r="A17" s="911"/>
      <c r="B17" s="911"/>
      <c r="C17" s="1143">
        <v>46022</v>
      </c>
      <c r="D17" s="1143"/>
      <c r="E17" s="1143">
        <v>46022</v>
      </c>
      <c r="F17" s="1143"/>
      <c r="G17" s="254" t="s">
        <v>815</v>
      </c>
      <c r="H17" s="254" t="s">
        <v>846</v>
      </c>
    </row>
    <row r="18" spans="1:8" x14ac:dyDescent="0.25">
      <c r="A18" s="1069" t="s">
        <v>964</v>
      </c>
      <c r="B18" s="1071"/>
      <c r="C18" s="1048">
        <v>0</v>
      </c>
      <c r="D18" s="1049"/>
      <c r="E18" s="1048">
        <v>0</v>
      </c>
      <c r="F18" s="1049"/>
      <c r="G18" s="347">
        <v>0</v>
      </c>
      <c r="H18" s="349">
        <v>0</v>
      </c>
    </row>
    <row r="19" spans="1:8" x14ac:dyDescent="0.25">
      <c r="A19" s="1069" t="s">
        <v>965</v>
      </c>
      <c r="B19" s="1071"/>
      <c r="C19" s="1048">
        <v>0</v>
      </c>
      <c r="D19" s="1049"/>
      <c r="E19" s="1048">
        <v>0</v>
      </c>
      <c r="F19" s="1049"/>
      <c r="G19" s="347">
        <v>0</v>
      </c>
      <c r="H19" s="349">
        <v>0</v>
      </c>
    </row>
    <row r="20" spans="1:8" x14ac:dyDescent="0.25">
      <c r="A20" s="1069" t="s">
        <v>966</v>
      </c>
      <c r="B20" s="1071"/>
      <c r="C20" s="1048">
        <v>0</v>
      </c>
      <c r="D20" s="1049"/>
      <c r="E20" s="1048">
        <v>0</v>
      </c>
      <c r="F20" s="1049"/>
      <c r="G20" s="347">
        <v>0</v>
      </c>
      <c r="H20" s="349">
        <v>0</v>
      </c>
    </row>
    <row r="21" spans="1:8" x14ac:dyDescent="0.25">
      <c r="A21" s="1129" t="s">
        <v>967</v>
      </c>
      <c r="B21" s="1130"/>
      <c r="C21" s="1048">
        <v>0</v>
      </c>
      <c r="D21" s="1049"/>
      <c r="E21" s="1048">
        <v>0</v>
      </c>
      <c r="F21" s="1049"/>
      <c r="G21" s="347">
        <v>0</v>
      </c>
      <c r="H21" s="349">
        <v>0</v>
      </c>
    </row>
    <row r="22" spans="1:8" x14ac:dyDescent="0.25">
      <c r="A22" s="1129" t="s">
        <v>968</v>
      </c>
      <c r="B22" s="1130"/>
      <c r="C22" s="1048">
        <v>0</v>
      </c>
      <c r="D22" s="1049"/>
      <c r="E22" s="1048">
        <v>0</v>
      </c>
      <c r="F22" s="1049"/>
      <c r="G22" s="347">
        <v>0</v>
      </c>
      <c r="H22" s="349">
        <v>0</v>
      </c>
    </row>
    <row r="23" spans="1:8" x14ac:dyDescent="0.25">
      <c r="A23" s="1129" t="s">
        <v>564</v>
      </c>
      <c r="B23" s="1130"/>
      <c r="C23" s="1048">
        <v>0</v>
      </c>
      <c r="D23" s="1049"/>
      <c r="E23" s="1048">
        <v>0</v>
      </c>
      <c r="F23" s="1049"/>
      <c r="G23" s="347">
        <v>0</v>
      </c>
      <c r="H23" s="349">
        <v>0</v>
      </c>
    </row>
    <row r="24" spans="1:8" x14ac:dyDescent="0.25">
      <c r="A24" s="1140" t="s">
        <v>969</v>
      </c>
      <c r="B24" s="1140"/>
      <c r="C24" s="1141">
        <v>0</v>
      </c>
      <c r="D24" s="1142"/>
      <c r="E24" s="1141">
        <v>0</v>
      </c>
      <c r="F24" s="1142"/>
      <c r="G24" s="347">
        <v>0</v>
      </c>
      <c r="H24" s="349">
        <v>0</v>
      </c>
    </row>
    <row r="25" spans="1:8" x14ac:dyDescent="0.25">
      <c r="A25" s="1126" t="s">
        <v>825</v>
      </c>
      <c r="B25" s="1127"/>
      <c r="C25" s="1042">
        <v>0</v>
      </c>
      <c r="D25" s="1043"/>
      <c r="E25" s="1042">
        <v>0</v>
      </c>
      <c r="F25" s="1043"/>
      <c r="G25" s="350">
        <v>0</v>
      </c>
      <c r="H25" s="352">
        <v>0</v>
      </c>
    </row>
    <row r="26" spans="1:8" ht="9.6" customHeight="1" x14ac:dyDescent="0.25">
      <c r="A26" s="1139"/>
      <c r="B26" s="1139"/>
      <c r="C26" s="392"/>
      <c r="D26" s="392"/>
      <c r="E26" s="392"/>
      <c r="F26" s="392"/>
      <c r="G26" s="393"/>
      <c r="H26" s="394"/>
    </row>
    <row r="27" spans="1:8" x14ac:dyDescent="0.25">
      <c r="A27" s="245" t="s">
        <v>796</v>
      </c>
      <c r="B27" s="245"/>
      <c r="C27" s="245"/>
      <c r="D27" s="245"/>
      <c r="E27" s="245"/>
      <c r="F27" s="245"/>
      <c r="G27" s="245"/>
      <c r="H27" s="245"/>
    </row>
    <row r="28" spans="1:8" x14ac:dyDescent="0.25">
      <c r="A28" s="940"/>
      <c r="B28" s="941"/>
      <c r="C28" s="941"/>
      <c r="D28" s="941"/>
      <c r="E28" s="941"/>
      <c r="F28" s="941"/>
      <c r="G28" s="941"/>
      <c r="H28" s="942"/>
    </row>
    <row r="29" spans="1:8" x14ac:dyDescent="0.25">
      <c r="A29" s="943"/>
      <c r="B29" s="944"/>
      <c r="C29" s="944"/>
      <c r="D29" s="944"/>
      <c r="E29" s="944"/>
      <c r="F29" s="944"/>
      <c r="G29" s="944"/>
      <c r="H29" s="945"/>
    </row>
    <row r="30" spans="1:8" x14ac:dyDescent="0.25">
      <c r="A30" s="943"/>
      <c r="B30" s="944"/>
      <c r="C30" s="944"/>
      <c r="D30" s="944"/>
      <c r="E30" s="944"/>
      <c r="F30" s="944"/>
      <c r="G30" s="944"/>
      <c r="H30" s="945"/>
    </row>
    <row r="31" spans="1:8" x14ac:dyDescent="0.25">
      <c r="A31" s="943"/>
      <c r="B31" s="944"/>
      <c r="C31" s="944"/>
      <c r="D31" s="944"/>
      <c r="E31" s="944"/>
      <c r="F31" s="944"/>
      <c r="G31" s="944"/>
      <c r="H31" s="945"/>
    </row>
    <row r="32" spans="1:8" x14ac:dyDescent="0.25">
      <c r="A32" s="943"/>
      <c r="B32" s="944"/>
      <c r="C32" s="944"/>
      <c r="D32" s="944"/>
      <c r="E32" s="944"/>
      <c r="F32" s="944"/>
      <c r="G32" s="944"/>
      <c r="H32" s="945"/>
    </row>
    <row r="33" spans="1:8" x14ac:dyDescent="0.25">
      <c r="A33" s="946"/>
      <c r="B33" s="947"/>
      <c r="C33" s="947"/>
      <c r="D33" s="947"/>
      <c r="E33" s="947"/>
      <c r="F33" s="947"/>
      <c r="G33" s="947"/>
      <c r="H33" s="948"/>
    </row>
  </sheetData>
  <mergeCells count="49">
    <mergeCell ref="B2:H2"/>
    <mergeCell ref="B3:H3"/>
    <mergeCell ref="B4:H4"/>
    <mergeCell ref="B5:H5"/>
    <mergeCell ref="B6:C6"/>
    <mergeCell ref="D6:E6"/>
    <mergeCell ref="G16:H16"/>
    <mergeCell ref="C17:D17"/>
    <mergeCell ref="B7:D7"/>
    <mergeCell ref="B8:H8"/>
    <mergeCell ref="B9:H9"/>
    <mergeCell ref="B10:C10"/>
    <mergeCell ref="E10:F10"/>
    <mergeCell ref="G10:H10"/>
    <mergeCell ref="B11:C11"/>
    <mergeCell ref="E11:F11"/>
    <mergeCell ref="G11:H11"/>
    <mergeCell ref="A13:H13"/>
    <mergeCell ref="A14:H14"/>
    <mergeCell ref="E17:F17"/>
    <mergeCell ref="A18:B18"/>
    <mergeCell ref="C18:D18"/>
    <mergeCell ref="E18:F18"/>
    <mergeCell ref="A19:B19"/>
    <mergeCell ref="C19:D19"/>
    <mergeCell ref="E19:F19"/>
    <mergeCell ref="A16:B17"/>
    <mergeCell ref="C16:D16"/>
    <mergeCell ref="E16:F16"/>
    <mergeCell ref="A20:B20"/>
    <mergeCell ref="C20:D20"/>
    <mergeCell ref="E20:F20"/>
    <mergeCell ref="A21:B21"/>
    <mergeCell ref="C21:D21"/>
    <mergeCell ref="E21:F21"/>
    <mergeCell ref="A22:B22"/>
    <mergeCell ref="C22:D22"/>
    <mergeCell ref="E22:F22"/>
    <mergeCell ref="A23:B23"/>
    <mergeCell ref="C23:D23"/>
    <mergeCell ref="E23:F23"/>
    <mergeCell ref="A26:B26"/>
    <mergeCell ref="A28:H33"/>
    <mergeCell ref="A24:B24"/>
    <mergeCell ref="C24:D24"/>
    <mergeCell ref="E24:F24"/>
    <mergeCell ref="A25:B25"/>
    <mergeCell ref="C25:D25"/>
    <mergeCell ref="E25:F2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D47E-255F-4A7D-9A26-18EEF9B179C9}">
  <dimension ref="A2:H41"/>
  <sheetViews>
    <sheetView workbookViewId="0">
      <selection sqref="A1:XFD1048576"/>
    </sheetView>
  </sheetViews>
  <sheetFormatPr baseColWidth="10" defaultRowHeight="15" x14ac:dyDescent="0.25"/>
  <cols>
    <col min="1" max="1" width="33.42578125" customWidth="1"/>
    <col min="2" max="2" width="19.85546875" customWidth="1"/>
    <col min="3" max="3" width="8.7109375" customWidth="1"/>
    <col min="4" max="4" width="11.28515625" customWidth="1"/>
    <col min="5" max="5" width="7.140625" customWidth="1"/>
    <col min="6" max="6" width="20.140625" customWidth="1"/>
    <col min="7" max="7" width="17.5703125" customWidth="1"/>
    <col min="8" max="8" width="7.85546875" customWidth="1"/>
  </cols>
  <sheetData>
    <row r="2" spans="1:8" x14ac:dyDescent="0.25">
      <c r="A2" s="206" t="s">
        <v>466</v>
      </c>
      <c r="B2" s="1161">
        <f>IF(ISBLANK([1]IDENTIFICATION!$B$2),"",[1]IDENTIFICATION!$B$2)</f>
        <v>4444444444</v>
      </c>
      <c r="C2" s="1161"/>
      <c r="D2" s="1161"/>
      <c r="E2" s="1161"/>
      <c r="F2" s="1161"/>
      <c r="G2" s="1161"/>
      <c r="H2" s="1161"/>
    </row>
    <row r="3" spans="1:8" x14ac:dyDescent="0.25">
      <c r="A3" s="206"/>
      <c r="B3" s="857">
        <f>IF(ISBLANK([1]IDENTIFICATION!$B$3),"",[1]IDENTIFICATION!$B$3)</f>
        <v>56565665</v>
      </c>
      <c r="C3" s="857"/>
      <c r="D3" s="857"/>
      <c r="E3" s="857"/>
      <c r="F3" s="857"/>
      <c r="G3" s="857"/>
      <c r="H3" s="857"/>
    </row>
    <row r="4" spans="1:8" x14ac:dyDescent="0.25">
      <c r="A4" s="206" t="s">
        <v>364</v>
      </c>
      <c r="B4" s="857" t="str">
        <f>IF(ISBLANK([1]IDENTIFICATION!$B$4),"",[1]IDENTIFICATION!$B$4)</f>
        <v>LS SOFT</v>
      </c>
      <c r="C4" s="857"/>
      <c r="D4" s="857"/>
      <c r="E4" s="857"/>
      <c r="F4" s="857"/>
      <c r="G4" s="857"/>
      <c r="H4" s="857"/>
    </row>
    <row r="5" spans="1:8" x14ac:dyDescent="0.25">
      <c r="A5" s="206" t="s">
        <v>365</v>
      </c>
      <c r="B5" s="857" t="str">
        <f>IF(ISBLANK([1]IDENTIFICATION!$B$5),"",[1]IDENTIFICATION!$B$5)</f>
        <v>OUAGA</v>
      </c>
      <c r="C5" s="857"/>
      <c r="D5" s="857"/>
      <c r="E5" s="857"/>
      <c r="F5" s="857"/>
      <c r="G5" s="857"/>
      <c r="H5" s="857"/>
    </row>
    <row r="6" spans="1:8" x14ac:dyDescent="0.25">
      <c r="A6" s="206" t="s">
        <v>366</v>
      </c>
      <c r="B6" s="857">
        <f>IF(ISBLANK([1]IDENTIFICATION!$B$7),"",[1]IDENTIFICATION!$B$7)</f>
        <v>125545</v>
      </c>
      <c r="C6" s="857"/>
      <c r="D6" s="862" t="s">
        <v>367</v>
      </c>
      <c r="E6" s="862"/>
      <c r="F6" s="396">
        <f>IF(ISBLANK([1]IDENTIFICATION!$F$11),"",[1]IDENTIFICATION!$F$11)</f>
        <v>46022</v>
      </c>
      <c r="G6" s="397" t="s">
        <v>467</v>
      </c>
      <c r="H6" s="398">
        <f>IF(ISBLANK([1]IDENTIFICATION!$H$11),"",[1]IDENTIFICATION!$H$11)</f>
        <v>12</v>
      </c>
    </row>
    <row r="7" spans="1:8" x14ac:dyDescent="0.25">
      <c r="A7" s="399" t="s">
        <v>369</v>
      </c>
      <c r="B7" s="1161" t="str">
        <f>IF(ISBLANK([1]IDENTIFICATION!$G$4),"",[1]IDENTIFICATION!$G$4)</f>
        <v>453456546656456</v>
      </c>
      <c r="C7" s="1161"/>
      <c r="D7" s="1161"/>
      <c r="E7" s="243"/>
      <c r="F7" s="243"/>
      <c r="G7" s="243"/>
      <c r="H7" s="243"/>
    </row>
    <row r="8" spans="1:8" x14ac:dyDescent="0.25">
      <c r="A8" s="243" t="s">
        <v>468</v>
      </c>
      <c r="B8" s="1161" t="str">
        <f>IF(ISBLANK([1]IDENTIFICATION!$B$17),"",[1]IDENTIFICATION!$B$17)</f>
        <v>Relèvement économique et promotion du genre dans la Région du Sahel</v>
      </c>
      <c r="C8" s="1161"/>
      <c r="D8" s="1161"/>
      <c r="E8" s="1161"/>
      <c r="F8" s="1161"/>
      <c r="G8" s="1161"/>
      <c r="H8" s="1161"/>
    </row>
    <row r="9" spans="1:8" x14ac:dyDescent="0.25">
      <c r="A9" s="243"/>
      <c r="B9" s="857" t="str">
        <f>IF(ISBLANK([1]IDENTIFICATION!$B$18),"",[1]IDENTIFICATION!$B$18)</f>
        <v>et du Nord</v>
      </c>
      <c r="C9" s="857"/>
      <c r="D9" s="857"/>
      <c r="E9" s="857"/>
      <c r="F9" s="857"/>
      <c r="G9" s="857"/>
      <c r="H9" s="857"/>
    </row>
    <row r="10" spans="1:8" x14ac:dyDescent="0.25">
      <c r="A10" s="243" t="s">
        <v>469</v>
      </c>
      <c r="B10" s="208" t="str">
        <f>IF(ISBLANK([1]IDENTIFICATION!$B$20),"",[1]IDENTIFICATION!$B$20)</f>
        <v>BFA-000588</v>
      </c>
      <c r="C10" s="400"/>
      <c r="D10" s="400"/>
      <c r="E10" s="862" t="s">
        <v>470</v>
      </c>
      <c r="F10" s="862"/>
      <c r="G10" s="857" t="str">
        <f>IF(ISBLANK([1]IDENTIFICATION!$B$19),"",[1]IDENTIFICATION!$B$19)</f>
        <v>REC-PRO-GEN-SANO</v>
      </c>
      <c r="H10" s="857"/>
    </row>
    <row r="11" spans="1:8" x14ac:dyDescent="0.25">
      <c r="A11" s="243" t="s">
        <v>471</v>
      </c>
      <c r="B11" s="401">
        <f>IF(ISBLANK([1]IDENTIFICATION!$B$21),"",[1]IDENTIFICATION!$B$21)</f>
        <v>44713</v>
      </c>
      <c r="C11" s="402"/>
      <c r="D11" s="402"/>
      <c r="E11" s="1162" t="s">
        <v>472</v>
      </c>
      <c r="F11" s="1162"/>
      <c r="G11" s="1163">
        <f>IF(ISBLANK([1]IDENTIFICATION!$G$21),"",[1]IDENTIFICATION!$G$21)</f>
        <v>45991</v>
      </c>
      <c r="H11" s="1163"/>
    </row>
    <row r="12" spans="1:8" ht="8.4499999999999993" customHeight="1" x14ac:dyDescent="0.25"/>
    <row r="13" spans="1:8" x14ac:dyDescent="0.25">
      <c r="A13" s="691" t="s">
        <v>970</v>
      </c>
      <c r="B13" s="691"/>
      <c r="C13" s="691"/>
      <c r="D13" s="691"/>
      <c r="E13" s="691"/>
      <c r="F13" s="691"/>
      <c r="G13" s="691"/>
      <c r="H13" s="691"/>
    </row>
    <row r="14" spans="1:8" x14ac:dyDescent="0.25">
      <c r="A14" s="691" t="s">
        <v>971</v>
      </c>
      <c r="B14" s="691"/>
      <c r="C14" s="691"/>
      <c r="D14" s="691"/>
      <c r="E14" s="691"/>
      <c r="F14" s="691"/>
      <c r="G14" s="691"/>
      <c r="H14" s="691"/>
    </row>
    <row r="15" spans="1:8" ht="8.4499999999999993" customHeight="1" x14ac:dyDescent="0.25">
      <c r="A15" s="263"/>
      <c r="B15" s="263"/>
      <c r="C15" s="263"/>
      <c r="D15" s="263"/>
      <c r="E15" s="263"/>
      <c r="F15" s="263"/>
      <c r="G15" s="263"/>
      <c r="H15" s="263"/>
    </row>
    <row r="16" spans="1:8" ht="21" customHeight="1" x14ac:dyDescent="0.25">
      <c r="A16" s="911" t="s">
        <v>812</v>
      </c>
      <c r="B16" s="911"/>
      <c r="C16" s="1138" t="s">
        <v>813</v>
      </c>
      <c r="D16" s="1138"/>
      <c r="E16" s="1138" t="s">
        <v>813</v>
      </c>
      <c r="F16" s="1138"/>
      <c r="G16" s="949" t="s">
        <v>814</v>
      </c>
      <c r="H16" s="951"/>
    </row>
    <row r="17" spans="1:8" ht="21" customHeight="1" x14ac:dyDescent="0.25">
      <c r="A17" s="911"/>
      <c r="B17" s="911"/>
      <c r="C17" s="1137">
        <f>IF(ISBLANK([1]IDENTIFICATION!F11),"",[1]IDENTIFICATION!F11)</f>
        <v>46022</v>
      </c>
      <c r="D17" s="1137"/>
      <c r="E17" s="1137">
        <f>IF(ISBLANK([1]IDENTIFICATION!B10),"",[1]IDENTIFICATION!B10)</f>
        <v>46022</v>
      </c>
      <c r="F17" s="1137"/>
      <c r="G17" s="269" t="s">
        <v>815</v>
      </c>
      <c r="H17" s="269" t="s">
        <v>816</v>
      </c>
    </row>
    <row r="18" spans="1:8" x14ac:dyDescent="0.25">
      <c r="A18" s="1159" t="s">
        <v>972</v>
      </c>
      <c r="B18" s="1160"/>
      <c r="C18" s="1048">
        <v>0</v>
      </c>
      <c r="D18" s="1049"/>
      <c r="E18" s="1048">
        <v>0</v>
      </c>
      <c r="F18" s="1049"/>
      <c r="G18" s="347">
        <v>0</v>
      </c>
      <c r="H18" s="349">
        <v>0</v>
      </c>
    </row>
    <row r="19" spans="1:8" x14ac:dyDescent="0.25">
      <c r="A19" s="1159" t="s">
        <v>973</v>
      </c>
      <c r="B19" s="1160"/>
      <c r="C19" s="1048">
        <v>0</v>
      </c>
      <c r="D19" s="1049"/>
      <c r="E19" s="1048">
        <v>0</v>
      </c>
      <c r="F19" s="1049"/>
      <c r="G19" s="347">
        <v>0</v>
      </c>
      <c r="H19" s="349">
        <v>0</v>
      </c>
    </row>
    <row r="20" spans="1:8" x14ac:dyDescent="0.25">
      <c r="A20" s="1159" t="s">
        <v>974</v>
      </c>
      <c r="B20" s="1160"/>
      <c r="C20" s="1048">
        <v>0</v>
      </c>
      <c r="D20" s="1049"/>
      <c r="E20" s="1048">
        <v>0</v>
      </c>
      <c r="F20" s="1049"/>
      <c r="G20" s="347">
        <v>0</v>
      </c>
      <c r="H20" s="349">
        <v>0</v>
      </c>
    </row>
    <row r="21" spans="1:8" x14ac:dyDescent="0.25">
      <c r="A21" s="1159" t="s">
        <v>975</v>
      </c>
      <c r="B21" s="1160"/>
      <c r="C21" s="1048">
        <v>0</v>
      </c>
      <c r="D21" s="1049"/>
      <c r="E21" s="1048">
        <v>0</v>
      </c>
      <c r="F21" s="1049"/>
      <c r="G21" s="347">
        <v>0</v>
      </c>
      <c r="H21" s="349">
        <v>0</v>
      </c>
    </row>
    <row r="22" spans="1:8" x14ac:dyDescent="0.25">
      <c r="A22" s="1159" t="s">
        <v>976</v>
      </c>
      <c r="B22" s="1160"/>
      <c r="C22" s="1048">
        <v>0</v>
      </c>
      <c r="D22" s="1049"/>
      <c r="E22" s="1048">
        <v>0</v>
      </c>
      <c r="F22" s="1049"/>
      <c r="G22" s="347">
        <v>0</v>
      </c>
      <c r="H22" s="349">
        <v>0</v>
      </c>
    </row>
    <row r="23" spans="1:8" x14ac:dyDescent="0.25">
      <c r="A23" s="1159" t="s">
        <v>977</v>
      </c>
      <c r="B23" s="1160"/>
      <c r="C23" s="1048">
        <v>0</v>
      </c>
      <c r="D23" s="1049"/>
      <c r="E23" s="1048">
        <v>0</v>
      </c>
      <c r="F23" s="1049"/>
      <c r="G23" s="347">
        <v>0</v>
      </c>
      <c r="H23" s="349">
        <v>0</v>
      </c>
    </row>
    <row r="24" spans="1:8" x14ac:dyDescent="0.25">
      <c r="A24" s="1159" t="s">
        <v>978</v>
      </c>
      <c r="B24" s="1160"/>
      <c r="C24" s="1048">
        <v>0</v>
      </c>
      <c r="D24" s="1049"/>
      <c r="E24" s="1048">
        <v>0</v>
      </c>
      <c r="F24" s="1049"/>
      <c r="G24" s="347">
        <v>0</v>
      </c>
      <c r="H24" s="349">
        <v>0</v>
      </c>
    </row>
    <row r="25" spans="1:8" x14ac:dyDescent="0.25">
      <c r="A25" s="1159" t="s">
        <v>979</v>
      </c>
      <c r="B25" s="1160"/>
      <c r="C25" s="1048">
        <v>0</v>
      </c>
      <c r="D25" s="1049"/>
      <c r="E25" s="1048">
        <v>0</v>
      </c>
      <c r="F25" s="1049"/>
      <c r="G25" s="347">
        <v>0</v>
      </c>
      <c r="H25" s="349">
        <v>0</v>
      </c>
    </row>
    <row r="26" spans="1:8" x14ac:dyDescent="0.25">
      <c r="A26" s="1159" t="s">
        <v>980</v>
      </c>
      <c r="B26" s="1160"/>
      <c r="C26" s="1048">
        <v>0</v>
      </c>
      <c r="D26" s="1049"/>
      <c r="E26" s="1048">
        <v>0</v>
      </c>
      <c r="F26" s="1049"/>
      <c r="G26" s="347">
        <v>0</v>
      </c>
      <c r="H26" s="349">
        <v>0</v>
      </c>
    </row>
    <row r="27" spans="1:8" x14ac:dyDescent="0.25">
      <c r="A27" s="1159" t="s">
        <v>981</v>
      </c>
      <c r="B27" s="1160"/>
      <c r="C27" s="1048">
        <v>0</v>
      </c>
      <c r="D27" s="1049"/>
      <c r="E27" s="1048">
        <v>0</v>
      </c>
      <c r="F27" s="1049"/>
      <c r="G27" s="347">
        <v>0</v>
      </c>
      <c r="H27" s="349">
        <v>0</v>
      </c>
    </row>
    <row r="28" spans="1:8" x14ac:dyDescent="0.25">
      <c r="A28" s="1159" t="s">
        <v>982</v>
      </c>
      <c r="B28" s="1160"/>
      <c r="C28" s="1048">
        <v>0</v>
      </c>
      <c r="D28" s="1049"/>
      <c r="E28" s="1048">
        <v>0</v>
      </c>
      <c r="F28" s="1049"/>
      <c r="G28" s="347">
        <v>0</v>
      </c>
      <c r="H28" s="349">
        <v>0</v>
      </c>
    </row>
    <row r="29" spans="1:8" x14ac:dyDescent="0.25">
      <c r="A29" s="1159" t="s">
        <v>983</v>
      </c>
      <c r="B29" s="1160"/>
      <c r="C29" s="1048">
        <v>0</v>
      </c>
      <c r="D29" s="1049"/>
      <c r="E29" s="1048">
        <v>0</v>
      </c>
      <c r="F29" s="1049"/>
      <c r="G29" s="347">
        <v>0</v>
      </c>
      <c r="H29" s="349">
        <v>0</v>
      </c>
    </row>
    <row r="30" spans="1:8" ht="32.450000000000003" customHeight="1" x14ac:dyDescent="0.25">
      <c r="A30" s="1159" t="s">
        <v>984</v>
      </c>
      <c r="B30" s="1160"/>
      <c r="C30" s="1048">
        <v>0</v>
      </c>
      <c r="D30" s="1049"/>
      <c r="E30" s="1048">
        <v>0</v>
      </c>
      <c r="F30" s="1049"/>
      <c r="G30" s="347">
        <v>0</v>
      </c>
      <c r="H30" s="349">
        <v>0</v>
      </c>
    </row>
    <row r="31" spans="1:8" x14ac:dyDescent="0.25">
      <c r="A31" s="1159" t="s">
        <v>985</v>
      </c>
      <c r="B31" s="1160"/>
      <c r="C31" s="1048">
        <v>0</v>
      </c>
      <c r="D31" s="1049"/>
      <c r="E31" s="1048">
        <v>0</v>
      </c>
      <c r="F31" s="1049"/>
      <c r="G31" s="347">
        <v>0</v>
      </c>
      <c r="H31" s="349">
        <v>0</v>
      </c>
    </row>
    <row r="32" spans="1:8" x14ac:dyDescent="0.25">
      <c r="A32" s="1159" t="s">
        <v>986</v>
      </c>
      <c r="B32" s="1160"/>
      <c r="C32" s="1048">
        <v>0</v>
      </c>
      <c r="D32" s="1049"/>
      <c r="E32" s="1048">
        <v>0</v>
      </c>
      <c r="F32" s="1049"/>
      <c r="G32" s="347">
        <v>0</v>
      </c>
      <c r="H32" s="349">
        <v>0</v>
      </c>
    </row>
    <row r="33" spans="1:8" x14ac:dyDescent="0.25">
      <c r="A33" s="900" t="s">
        <v>987</v>
      </c>
      <c r="B33" s="902"/>
      <c r="C33" s="1048">
        <v>0</v>
      </c>
      <c r="D33" s="1049"/>
      <c r="E33" s="1048">
        <v>0</v>
      </c>
      <c r="F33" s="1049"/>
      <c r="G33" s="347">
        <v>0</v>
      </c>
      <c r="H33" s="349">
        <v>0</v>
      </c>
    </row>
    <row r="34" spans="1:8" x14ac:dyDescent="0.25">
      <c r="A34" s="1157" t="s">
        <v>988</v>
      </c>
      <c r="B34" s="1157"/>
      <c r="C34" s="1112">
        <v>0</v>
      </c>
      <c r="D34" s="1112"/>
      <c r="E34" s="1112">
        <v>0</v>
      </c>
      <c r="F34" s="1112"/>
      <c r="G34" s="381">
        <v>0</v>
      </c>
      <c r="H34" s="403">
        <v>0</v>
      </c>
    </row>
    <row r="35" spans="1:8" ht="6.6" customHeight="1" x14ac:dyDescent="0.25">
      <c r="A35" s="1158"/>
      <c r="B35" s="1158"/>
      <c r="C35" s="1147"/>
      <c r="D35" s="1147"/>
      <c r="E35" s="1147"/>
      <c r="F35" s="1147"/>
      <c r="G35" s="1147"/>
      <c r="H35" s="1147"/>
    </row>
    <row r="36" spans="1:8" x14ac:dyDescent="0.25">
      <c r="A36" s="245" t="s">
        <v>796</v>
      </c>
      <c r="B36" s="245"/>
      <c r="C36" s="245"/>
      <c r="D36" s="245"/>
      <c r="E36" s="245"/>
      <c r="F36" s="245"/>
      <c r="G36" s="245"/>
      <c r="H36" s="245"/>
    </row>
    <row r="37" spans="1:8" x14ac:dyDescent="0.25">
      <c r="A37" s="1148"/>
      <c r="B37" s="1149"/>
      <c r="C37" s="1149"/>
      <c r="D37" s="1149"/>
      <c r="E37" s="1149"/>
      <c r="F37" s="1149"/>
      <c r="G37" s="1149"/>
      <c r="H37" s="1150"/>
    </row>
    <row r="38" spans="1:8" x14ac:dyDescent="0.25">
      <c r="A38" s="1151"/>
      <c r="B38" s="1152"/>
      <c r="C38" s="1152"/>
      <c r="D38" s="1152"/>
      <c r="E38" s="1152"/>
      <c r="F38" s="1152"/>
      <c r="G38" s="1152"/>
      <c r="H38" s="1153"/>
    </row>
    <row r="39" spans="1:8" x14ac:dyDescent="0.25">
      <c r="A39" s="1151"/>
      <c r="B39" s="1152"/>
      <c r="C39" s="1152"/>
      <c r="D39" s="1152"/>
      <c r="E39" s="1152"/>
      <c r="F39" s="1152"/>
      <c r="G39" s="1152"/>
      <c r="H39" s="1153"/>
    </row>
    <row r="40" spans="1:8" x14ac:dyDescent="0.25">
      <c r="A40" s="1151"/>
      <c r="B40" s="1152"/>
      <c r="C40" s="1152"/>
      <c r="D40" s="1152"/>
      <c r="E40" s="1152"/>
      <c r="F40" s="1152"/>
      <c r="G40" s="1152"/>
      <c r="H40" s="1153"/>
    </row>
    <row r="41" spans="1:8" x14ac:dyDescent="0.25">
      <c r="A41" s="1154"/>
      <c r="B41" s="1155"/>
      <c r="C41" s="1155"/>
      <c r="D41" s="1155"/>
      <c r="E41" s="1155"/>
      <c r="F41" s="1155"/>
      <c r="G41" s="1155"/>
      <c r="H41" s="1156"/>
    </row>
  </sheetData>
  <mergeCells count="77">
    <mergeCell ref="E11:F11"/>
    <mergeCell ref="G11:H11"/>
    <mergeCell ref="B2:H2"/>
    <mergeCell ref="B3:H3"/>
    <mergeCell ref="B4:H4"/>
    <mergeCell ref="B5:H5"/>
    <mergeCell ref="B6:C6"/>
    <mergeCell ref="D6:E6"/>
    <mergeCell ref="B7:D7"/>
    <mergeCell ref="B8:H8"/>
    <mergeCell ref="B9:H9"/>
    <mergeCell ref="E10:F10"/>
    <mergeCell ref="G10:H10"/>
    <mergeCell ref="A13:H13"/>
    <mergeCell ref="A14:H14"/>
    <mergeCell ref="A16:B17"/>
    <mergeCell ref="C16:D16"/>
    <mergeCell ref="E16:F16"/>
    <mergeCell ref="G16:H16"/>
    <mergeCell ref="C17:D17"/>
    <mergeCell ref="E17:F17"/>
    <mergeCell ref="A18:B18"/>
    <mergeCell ref="C18:D18"/>
    <mergeCell ref="E18:F18"/>
    <mergeCell ref="A19:B19"/>
    <mergeCell ref="C19:D19"/>
    <mergeCell ref="E19:F19"/>
    <mergeCell ref="A20:B20"/>
    <mergeCell ref="C20:D20"/>
    <mergeCell ref="E20:F20"/>
    <mergeCell ref="A21:B21"/>
    <mergeCell ref="C21:D21"/>
    <mergeCell ref="E21:F21"/>
    <mergeCell ref="A22:B22"/>
    <mergeCell ref="C22:D22"/>
    <mergeCell ref="E22:F22"/>
    <mergeCell ref="A23:B23"/>
    <mergeCell ref="C23:D23"/>
    <mergeCell ref="E23:F23"/>
    <mergeCell ref="A24:B24"/>
    <mergeCell ref="C24:D24"/>
    <mergeCell ref="E24:F24"/>
    <mergeCell ref="A25:B25"/>
    <mergeCell ref="C25:D25"/>
    <mergeCell ref="E25:F25"/>
    <mergeCell ref="A26:B26"/>
    <mergeCell ref="C26:D26"/>
    <mergeCell ref="E26:F26"/>
    <mergeCell ref="A27:B27"/>
    <mergeCell ref="C27:D27"/>
    <mergeCell ref="E27:F27"/>
    <mergeCell ref="A28:B28"/>
    <mergeCell ref="C28:D28"/>
    <mergeCell ref="E28:F28"/>
    <mergeCell ref="A29:B29"/>
    <mergeCell ref="C29:D29"/>
    <mergeCell ref="E29:F29"/>
    <mergeCell ref="A30:B30"/>
    <mergeCell ref="C30:D30"/>
    <mergeCell ref="E30:F30"/>
    <mergeCell ref="A31:B31"/>
    <mergeCell ref="C31:D31"/>
    <mergeCell ref="E31:F31"/>
    <mergeCell ref="A32:B32"/>
    <mergeCell ref="C32:D32"/>
    <mergeCell ref="E32:F32"/>
    <mergeCell ref="A33:B33"/>
    <mergeCell ref="C33:D33"/>
    <mergeCell ref="E33:F33"/>
    <mergeCell ref="G35:H35"/>
    <mergeCell ref="A37:H41"/>
    <mergeCell ref="A34:B34"/>
    <mergeCell ref="C34:D34"/>
    <mergeCell ref="E34:F34"/>
    <mergeCell ref="A35:B35"/>
    <mergeCell ref="C35:D35"/>
    <mergeCell ref="E35:F3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D9D9C-266B-4E47-9F35-53BFB72EB4DE}">
  <dimension ref="A2:H33"/>
  <sheetViews>
    <sheetView workbookViewId="0">
      <selection sqref="A1:XFD1048576"/>
    </sheetView>
  </sheetViews>
  <sheetFormatPr baseColWidth="10" defaultRowHeight="15" x14ac:dyDescent="0.25"/>
  <cols>
    <col min="1" max="1" width="30.42578125" customWidth="1"/>
    <col min="2" max="2" width="4.5703125" customWidth="1"/>
    <col min="3" max="3" width="8.7109375" customWidth="1"/>
    <col min="4" max="4" width="11.28515625" customWidth="1"/>
    <col min="5" max="5" width="11.85546875" customWidth="1"/>
    <col min="6" max="6" width="16.85546875" customWidth="1"/>
    <col min="7" max="7" width="17.5703125" customWidth="1"/>
    <col min="8" max="8" width="8" customWidth="1"/>
  </cols>
  <sheetData>
    <row r="2" spans="1:8" x14ac:dyDescent="0.25">
      <c r="A2" s="198" t="s">
        <v>466</v>
      </c>
      <c r="B2" s="619">
        <v>4444444444</v>
      </c>
      <c r="C2" s="619"/>
      <c r="D2" s="619"/>
      <c r="E2" s="619"/>
      <c r="F2" s="619"/>
      <c r="G2" s="619"/>
      <c r="H2" s="619"/>
    </row>
    <row r="3" spans="1:8" x14ac:dyDescent="0.25">
      <c r="A3" s="198"/>
      <c r="B3" s="620">
        <v>56565665</v>
      </c>
      <c r="C3" s="620"/>
      <c r="D3" s="620"/>
      <c r="E3" s="620"/>
      <c r="F3" s="620"/>
      <c r="G3" s="620"/>
      <c r="H3" s="620"/>
    </row>
    <row r="4" spans="1:8" x14ac:dyDescent="0.25">
      <c r="A4" s="198" t="s">
        <v>364</v>
      </c>
      <c r="B4" s="620" t="s">
        <v>6</v>
      </c>
      <c r="C4" s="620"/>
      <c r="D4" s="620"/>
      <c r="E4" s="620"/>
      <c r="F4" s="620"/>
      <c r="G4" s="620"/>
      <c r="H4" s="620"/>
    </row>
    <row r="5" spans="1:8" x14ac:dyDescent="0.25">
      <c r="A5" s="198" t="s">
        <v>365</v>
      </c>
      <c r="B5" s="620" t="s">
        <v>699</v>
      </c>
      <c r="C5" s="620"/>
      <c r="D5" s="620"/>
      <c r="E5" s="620"/>
      <c r="F5" s="620"/>
      <c r="G5" s="620"/>
      <c r="H5" s="620"/>
    </row>
    <row r="6" spans="1:8" x14ac:dyDescent="0.25">
      <c r="A6" s="198" t="s">
        <v>366</v>
      </c>
      <c r="B6" s="620">
        <v>125545</v>
      </c>
      <c r="C6" s="620"/>
      <c r="D6" s="616" t="s">
        <v>367</v>
      </c>
      <c r="E6" s="616"/>
      <c r="F6" s="209">
        <v>46022</v>
      </c>
      <c r="G6" s="47" t="s">
        <v>467</v>
      </c>
      <c r="H6" s="241">
        <v>12</v>
      </c>
    </row>
    <row r="7" spans="1:8" x14ac:dyDescent="0.25">
      <c r="A7" s="204" t="s">
        <v>369</v>
      </c>
      <c r="B7" s="619" t="s">
        <v>8</v>
      </c>
      <c r="C7" s="619"/>
      <c r="D7" s="619"/>
      <c r="E7" s="200"/>
      <c r="F7" s="200"/>
      <c r="G7" s="200"/>
      <c r="H7" s="200"/>
    </row>
    <row r="8" spans="1:8" x14ac:dyDescent="0.25">
      <c r="A8" s="200" t="s">
        <v>468</v>
      </c>
      <c r="B8" s="619" t="s">
        <v>35</v>
      </c>
      <c r="C8" s="619"/>
      <c r="D8" s="619"/>
      <c r="E8" s="619"/>
      <c r="F8" s="619"/>
      <c r="G8" s="619"/>
      <c r="H8" s="619"/>
    </row>
    <row r="9" spans="1:8" x14ac:dyDescent="0.25">
      <c r="A9" s="200"/>
      <c r="B9" s="620" t="s">
        <v>36</v>
      </c>
      <c r="C9" s="620"/>
      <c r="D9" s="620"/>
      <c r="E9" s="620"/>
      <c r="F9" s="620"/>
      <c r="G9" s="620"/>
      <c r="H9" s="620"/>
    </row>
    <row r="10" spans="1:8" x14ac:dyDescent="0.25">
      <c r="A10" s="200" t="s">
        <v>469</v>
      </c>
      <c r="B10" s="620" t="s">
        <v>40</v>
      </c>
      <c r="C10" s="620"/>
      <c r="D10" s="620"/>
      <c r="E10" s="616" t="s">
        <v>470</v>
      </c>
      <c r="F10" s="616"/>
      <c r="G10" s="620" t="s">
        <v>38</v>
      </c>
      <c r="H10" s="620"/>
    </row>
    <row r="11" spans="1:8" x14ac:dyDescent="0.25">
      <c r="A11" s="200" t="s">
        <v>471</v>
      </c>
      <c r="B11" s="876">
        <v>44713</v>
      </c>
      <c r="C11" s="876"/>
      <c r="D11" s="876"/>
      <c r="E11" s="610" t="s">
        <v>472</v>
      </c>
      <c r="F11" s="610"/>
      <c r="G11" s="876">
        <v>45991</v>
      </c>
      <c r="H11" s="876"/>
    </row>
    <row r="12" spans="1:8" ht="6.6" customHeight="1" x14ac:dyDescent="0.25"/>
    <row r="13" spans="1:8" x14ac:dyDescent="0.25">
      <c r="A13" s="691" t="s">
        <v>989</v>
      </c>
      <c r="B13" s="691"/>
      <c r="C13" s="691"/>
      <c r="D13" s="691"/>
      <c r="E13" s="691"/>
      <c r="F13" s="691"/>
      <c r="G13" s="691"/>
      <c r="H13" s="691"/>
    </row>
    <row r="14" spans="1:8" x14ac:dyDescent="0.25">
      <c r="A14" s="691" t="s">
        <v>990</v>
      </c>
      <c r="B14" s="691"/>
      <c r="C14" s="691"/>
      <c r="D14" s="691"/>
      <c r="E14" s="691"/>
      <c r="F14" s="691"/>
      <c r="G14" s="691"/>
      <c r="H14" s="691"/>
    </row>
    <row r="15" spans="1:8" ht="6.6" customHeight="1" x14ac:dyDescent="0.25">
      <c r="A15" s="263"/>
      <c r="B15" s="263"/>
      <c r="C15" s="263"/>
      <c r="D15" s="263"/>
      <c r="E15" s="263"/>
      <c r="F15" s="263"/>
      <c r="G15" s="263"/>
      <c r="H15" s="263"/>
    </row>
    <row r="16" spans="1:8" x14ac:dyDescent="0.25">
      <c r="A16" s="911" t="s">
        <v>812</v>
      </c>
      <c r="B16" s="911"/>
      <c r="C16" s="1144" t="s">
        <v>813</v>
      </c>
      <c r="D16" s="1144"/>
      <c r="E16" s="1144" t="s">
        <v>813</v>
      </c>
      <c r="F16" s="1144"/>
      <c r="G16" s="1145" t="s">
        <v>855</v>
      </c>
      <c r="H16" s="1146"/>
    </row>
    <row r="17" spans="1:8" x14ac:dyDescent="0.25">
      <c r="A17" s="911"/>
      <c r="B17" s="911"/>
      <c r="C17" s="1143">
        <v>46022</v>
      </c>
      <c r="D17" s="1143"/>
      <c r="E17" s="1143">
        <v>46022</v>
      </c>
      <c r="F17" s="1143"/>
      <c r="G17" s="254" t="s">
        <v>815</v>
      </c>
      <c r="H17" s="254" t="s">
        <v>846</v>
      </c>
    </row>
    <row r="18" spans="1:8" x14ac:dyDescent="0.25">
      <c r="A18" s="1165" t="s">
        <v>991</v>
      </c>
      <c r="B18" s="1166"/>
      <c r="C18" s="1048">
        <v>0</v>
      </c>
      <c r="D18" s="1049"/>
      <c r="E18" s="1048">
        <v>0</v>
      </c>
      <c r="F18" s="1049"/>
      <c r="G18" s="347">
        <v>0</v>
      </c>
      <c r="H18" s="337">
        <v>0</v>
      </c>
    </row>
    <row r="19" spans="1:8" x14ac:dyDescent="0.25">
      <c r="A19" s="1165" t="s">
        <v>992</v>
      </c>
      <c r="B19" s="1166"/>
      <c r="C19" s="1048">
        <v>0</v>
      </c>
      <c r="D19" s="1049"/>
      <c r="E19" s="1048">
        <v>0</v>
      </c>
      <c r="F19" s="1049"/>
      <c r="G19" s="347">
        <v>0</v>
      </c>
      <c r="H19" s="337">
        <v>0</v>
      </c>
    </row>
    <row r="20" spans="1:8" x14ac:dyDescent="0.25">
      <c r="A20" s="1165" t="s">
        <v>993</v>
      </c>
      <c r="B20" s="1166"/>
      <c r="C20" s="1048">
        <v>0</v>
      </c>
      <c r="D20" s="1049"/>
      <c r="E20" s="1048">
        <v>0</v>
      </c>
      <c r="F20" s="1049"/>
      <c r="G20" s="347">
        <v>0</v>
      </c>
      <c r="H20" s="337">
        <v>0</v>
      </c>
    </row>
    <row r="21" spans="1:8" x14ac:dyDescent="0.25">
      <c r="A21" s="1165" t="s">
        <v>994</v>
      </c>
      <c r="B21" s="1166"/>
      <c r="C21" s="1048">
        <v>0</v>
      </c>
      <c r="D21" s="1049"/>
      <c r="E21" s="1048">
        <v>0</v>
      </c>
      <c r="F21" s="1049"/>
      <c r="G21" s="347">
        <v>0</v>
      </c>
      <c r="H21" s="337">
        <v>0</v>
      </c>
    </row>
    <row r="22" spans="1:8" x14ac:dyDescent="0.25">
      <c r="A22" s="1165" t="s">
        <v>995</v>
      </c>
      <c r="B22" s="1166"/>
      <c r="C22" s="1067">
        <v>0</v>
      </c>
      <c r="D22" s="1068"/>
      <c r="E22" s="1067">
        <v>0</v>
      </c>
      <c r="F22" s="1068"/>
      <c r="G22" s="347">
        <v>0</v>
      </c>
      <c r="H22" s="337">
        <v>0</v>
      </c>
    </row>
    <row r="23" spans="1:8" x14ac:dyDescent="0.25">
      <c r="A23" s="1165" t="s">
        <v>996</v>
      </c>
      <c r="B23" s="1166"/>
      <c r="C23" s="1048">
        <v>0</v>
      </c>
      <c r="D23" s="1049"/>
      <c r="E23" s="1048">
        <v>0</v>
      </c>
      <c r="F23" s="1049"/>
      <c r="G23" s="347">
        <v>0</v>
      </c>
      <c r="H23" s="337">
        <v>0</v>
      </c>
    </row>
    <row r="24" spans="1:8" x14ac:dyDescent="0.25">
      <c r="A24" s="1165" t="s">
        <v>987</v>
      </c>
      <c r="B24" s="1166"/>
      <c r="C24" s="1067">
        <v>0</v>
      </c>
      <c r="D24" s="1068"/>
      <c r="E24" s="1067">
        <v>0</v>
      </c>
      <c r="F24" s="1068"/>
      <c r="G24" s="347">
        <v>0</v>
      </c>
      <c r="H24" s="337">
        <v>0</v>
      </c>
    </row>
    <row r="25" spans="1:8" x14ac:dyDescent="0.25">
      <c r="A25" s="1157" t="s">
        <v>825</v>
      </c>
      <c r="B25" s="1157"/>
      <c r="C25" s="1112">
        <v>0</v>
      </c>
      <c r="D25" s="1112"/>
      <c r="E25" s="1112">
        <v>0</v>
      </c>
      <c r="F25" s="1112"/>
      <c r="G25" s="381">
        <v>0</v>
      </c>
      <c r="H25" s="342">
        <v>0</v>
      </c>
    </row>
    <row r="26" spans="1:8" ht="9" customHeight="1" x14ac:dyDescent="0.25">
      <c r="A26" s="1164"/>
      <c r="B26" s="1164"/>
      <c r="C26" s="1147"/>
      <c r="D26" s="1147"/>
      <c r="E26" s="1147"/>
      <c r="F26" s="1147"/>
      <c r="G26" s="1147"/>
      <c r="H26" s="1147"/>
    </row>
    <row r="27" spans="1:8" x14ac:dyDescent="0.25">
      <c r="A27" s="245" t="s">
        <v>796</v>
      </c>
      <c r="B27" s="245"/>
      <c r="C27" s="245"/>
      <c r="D27" s="245"/>
      <c r="E27" s="245"/>
      <c r="F27" s="245"/>
      <c r="G27" s="245"/>
      <c r="H27" s="245"/>
    </row>
    <row r="28" spans="1:8" x14ac:dyDescent="0.25">
      <c r="A28" s="940"/>
      <c r="B28" s="941"/>
      <c r="C28" s="941"/>
      <c r="D28" s="941"/>
      <c r="E28" s="941"/>
      <c r="F28" s="941"/>
      <c r="G28" s="941"/>
      <c r="H28" s="942"/>
    </row>
    <row r="29" spans="1:8" x14ac:dyDescent="0.25">
      <c r="A29" s="943"/>
      <c r="B29" s="944"/>
      <c r="C29" s="944"/>
      <c r="D29" s="944"/>
      <c r="E29" s="944"/>
      <c r="F29" s="944"/>
      <c r="G29" s="944"/>
      <c r="H29" s="945"/>
    </row>
    <row r="30" spans="1:8" x14ac:dyDescent="0.25">
      <c r="A30" s="943"/>
      <c r="B30" s="944"/>
      <c r="C30" s="944"/>
      <c r="D30" s="944"/>
      <c r="E30" s="944"/>
      <c r="F30" s="944"/>
      <c r="G30" s="944"/>
      <c r="H30" s="945"/>
    </row>
    <row r="31" spans="1:8" x14ac:dyDescent="0.25">
      <c r="A31" s="943"/>
      <c r="B31" s="944"/>
      <c r="C31" s="944"/>
      <c r="D31" s="944"/>
      <c r="E31" s="944"/>
      <c r="F31" s="944"/>
      <c r="G31" s="944"/>
      <c r="H31" s="945"/>
    </row>
    <row r="32" spans="1:8" x14ac:dyDescent="0.25">
      <c r="A32" s="943"/>
      <c r="B32" s="944"/>
      <c r="C32" s="944"/>
      <c r="D32" s="944"/>
      <c r="E32" s="944"/>
      <c r="F32" s="944"/>
      <c r="G32" s="944"/>
      <c r="H32" s="945"/>
    </row>
    <row r="33" spans="1:8" x14ac:dyDescent="0.25">
      <c r="A33" s="946"/>
      <c r="B33" s="947"/>
      <c r="C33" s="947"/>
      <c r="D33" s="947"/>
      <c r="E33" s="947"/>
      <c r="F33" s="947"/>
      <c r="G33" s="947"/>
      <c r="H33" s="948"/>
    </row>
  </sheetData>
  <mergeCells count="52">
    <mergeCell ref="B2:H2"/>
    <mergeCell ref="B3:H3"/>
    <mergeCell ref="B4:H4"/>
    <mergeCell ref="B5:H5"/>
    <mergeCell ref="B6:C6"/>
    <mergeCell ref="D6:E6"/>
    <mergeCell ref="G16:H16"/>
    <mergeCell ref="C17:D17"/>
    <mergeCell ref="B7:D7"/>
    <mergeCell ref="B8:H8"/>
    <mergeCell ref="B9:H9"/>
    <mergeCell ref="B10:D10"/>
    <mergeCell ref="E10:F10"/>
    <mergeCell ref="G10:H10"/>
    <mergeCell ref="B11:D11"/>
    <mergeCell ref="E11:F11"/>
    <mergeCell ref="G11:H11"/>
    <mergeCell ref="A13:H13"/>
    <mergeCell ref="A14:H14"/>
    <mergeCell ref="E17:F17"/>
    <mergeCell ref="A18:B18"/>
    <mergeCell ref="C18:D18"/>
    <mergeCell ref="E18:F18"/>
    <mergeCell ref="A19:B19"/>
    <mergeCell ref="C19:D19"/>
    <mergeCell ref="E19:F19"/>
    <mergeCell ref="A16:B17"/>
    <mergeCell ref="C16:D16"/>
    <mergeCell ref="E16:F16"/>
    <mergeCell ref="A20:B20"/>
    <mergeCell ref="C20:D20"/>
    <mergeCell ref="E20:F20"/>
    <mergeCell ref="A21:B21"/>
    <mergeCell ref="C21:D21"/>
    <mergeCell ref="E21:F21"/>
    <mergeCell ref="A22:B22"/>
    <mergeCell ref="C22:D22"/>
    <mergeCell ref="E22:F22"/>
    <mergeCell ref="A23:B23"/>
    <mergeCell ref="C23:D23"/>
    <mergeCell ref="E23:F23"/>
    <mergeCell ref="A24:B24"/>
    <mergeCell ref="C24:D24"/>
    <mergeCell ref="E24:F24"/>
    <mergeCell ref="A25:B25"/>
    <mergeCell ref="C25:D25"/>
    <mergeCell ref="E25:F25"/>
    <mergeCell ref="A26:B26"/>
    <mergeCell ref="C26:D26"/>
    <mergeCell ref="E26:F26"/>
    <mergeCell ref="G26:H26"/>
    <mergeCell ref="A28:H3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4694D-06EE-4AB6-8CEC-6685F86369E9}">
  <dimension ref="A2:H42"/>
  <sheetViews>
    <sheetView workbookViewId="0">
      <selection sqref="A1:XFD1048576"/>
    </sheetView>
  </sheetViews>
  <sheetFormatPr baseColWidth="10" defaultRowHeight="15" x14ac:dyDescent="0.25"/>
  <cols>
    <col min="1" max="1" width="30.42578125" customWidth="1"/>
    <col min="2" max="2" width="9.85546875" customWidth="1"/>
    <col min="3" max="3" width="8.7109375" customWidth="1"/>
    <col min="4" max="4" width="12.85546875" customWidth="1"/>
    <col min="5" max="5" width="6.140625" customWidth="1"/>
    <col min="6" max="6" width="19.5703125" customWidth="1"/>
    <col min="7" max="7" width="17.5703125" customWidth="1"/>
    <col min="8" max="8" width="7.7109375" customWidth="1"/>
  </cols>
  <sheetData>
    <row r="2" spans="1:8" x14ac:dyDescent="0.25">
      <c r="A2" s="198" t="s">
        <v>466</v>
      </c>
      <c r="B2" s="619">
        <v>4444444444</v>
      </c>
      <c r="C2" s="619"/>
      <c r="D2" s="619"/>
      <c r="E2" s="619"/>
      <c r="F2" s="619"/>
      <c r="G2" s="619"/>
      <c r="H2" s="619"/>
    </row>
    <row r="3" spans="1:8" x14ac:dyDescent="0.25">
      <c r="A3" s="198"/>
      <c r="B3" s="620">
        <v>56565665</v>
      </c>
      <c r="C3" s="620"/>
      <c r="D3" s="620"/>
      <c r="E3" s="620"/>
      <c r="F3" s="620"/>
      <c r="G3" s="620"/>
      <c r="H3" s="620"/>
    </row>
    <row r="4" spans="1:8" x14ac:dyDescent="0.25">
      <c r="A4" s="198" t="s">
        <v>364</v>
      </c>
      <c r="B4" s="620" t="s">
        <v>6</v>
      </c>
      <c r="C4" s="620"/>
      <c r="D4" s="620"/>
      <c r="E4" s="620"/>
      <c r="F4" s="620"/>
      <c r="G4" s="620"/>
      <c r="H4" s="620"/>
    </row>
    <row r="5" spans="1:8" x14ac:dyDescent="0.25">
      <c r="A5" s="198" t="s">
        <v>365</v>
      </c>
      <c r="B5" s="620" t="s">
        <v>699</v>
      </c>
      <c r="C5" s="620"/>
      <c r="D5" s="620"/>
      <c r="E5" s="620"/>
      <c r="F5" s="620"/>
      <c r="G5" s="620"/>
      <c r="H5" s="620"/>
    </row>
    <row r="6" spans="1:8" x14ac:dyDescent="0.25">
      <c r="A6" s="198" t="s">
        <v>366</v>
      </c>
      <c r="B6" s="620">
        <v>125545</v>
      </c>
      <c r="C6" s="620"/>
      <c r="D6" s="616" t="s">
        <v>367</v>
      </c>
      <c r="E6" s="616"/>
      <c r="F6" s="209">
        <v>46022</v>
      </c>
      <c r="G6" s="47" t="s">
        <v>467</v>
      </c>
      <c r="H6" s="241">
        <v>12</v>
      </c>
    </row>
    <row r="7" spans="1:8" x14ac:dyDescent="0.25">
      <c r="A7" s="204" t="s">
        <v>369</v>
      </c>
      <c r="B7" s="619" t="s">
        <v>8</v>
      </c>
      <c r="C7" s="619"/>
      <c r="D7" s="619"/>
      <c r="E7" s="200"/>
      <c r="F7" s="200"/>
      <c r="G7" s="200"/>
      <c r="H7" s="200"/>
    </row>
    <row r="8" spans="1:8" x14ac:dyDescent="0.25">
      <c r="A8" s="200" t="s">
        <v>468</v>
      </c>
      <c r="B8" s="619" t="s">
        <v>35</v>
      </c>
      <c r="C8" s="619"/>
      <c r="D8" s="619"/>
      <c r="E8" s="619"/>
      <c r="F8" s="619"/>
      <c r="G8" s="619"/>
      <c r="H8" s="619"/>
    </row>
    <row r="9" spans="1:8" x14ac:dyDescent="0.25">
      <c r="A9" s="200"/>
      <c r="B9" s="620" t="s">
        <v>36</v>
      </c>
      <c r="C9" s="620"/>
      <c r="D9" s="620"/>
      <c r="E9" s="620"/>
      <c r="F9" s="620"/>
      <c r="G9" s="620"/>
      <c r="H9" s="620"/>
    </row>
    <row r="10" spans="1:8" x14ac:dyDescent="0.25">
      <c r="A10" s="200" t="s">
        <v>469</v>
      </c>
      <c r="B10" s="620" t="s">
        <v>40</v>
      </c>
      <c r="C10" s="620"/>
      <c r="D10" s="207"/>
      <c r="E10" s="616" t="s">
        <v>470</v>
      </c>
      <c r="F10" s="616"/>
      <c r="G10" s="620" t="s">
        <v>38</v>
      </c>
      <c r="H10" s="620"/>
    </row>
    <row r="11" spans="1:8" x14ac:dyDescent="0.25">
      <c r="A11" s="200" t="s">
        <v>471</v>
      </c>
      <c r="B11" s="876">
        <v>44713</v>
      </c>
      <c r="C11" s="876"/>
      <c r="D11" s="242"/>
      <c r="E11" s="610" t="s">
        <v>472</v>
      </c>
      <c r="F11" s="610"/>
      <c r="G11" s="876">
        <v>45991</v>
      </c>
      <c r="H11" s="876"/>
    </row>
    <row r="12" spans="1:8" ht="4.9000000000000004" customHeight="1" x14ac:dyDescent="0.25"/>
    <row r="13" spans="1:8" x14ac:dyDescent="0.25">
      <c r="A13" s="691" t="s">
        <v>997</v>
      </c>
      <c r="B13" s="691"/>
      <c r="C13" s="691"/>
      <c r="D13" s="691"/>
      <c r="E13" s="691"/>
      <c r="F13" s="691"/>
      <c r="G13" s="691"/>
      <c r="H13" s="691"/>
    </row>
    <row r="14" spans="1:8" x14ac:dyDescent="0.25">
      <c r="A14" s="691" t="s">
        <v>998</v>
      </c>
      <c r="B14" s="691"/>
      <c r="C14" s="691"/>
      <c r="D14" s="691"/>
      <c r="E14" s="691"/>
      <c r="F14" s="691"/>
      <c r="G14" s="691"/>
      <c r="H14" s="691"/>
    </row>
    <row r="15" spans="1:8" ht="4.9000000000000004" customHeight="1" x14ac:dyDescent="0.25">
      <c r="A15" s="263"/>
      <c r="B15" s="263"/>
      <c r="C15" s="263"/>
      <c r="D15" s="263"/>
      <c r="E15" s="263"/>
      <c r="F15" s="263"/>
      <c r="G15" s="263"/>
      <c r="H15" s="263"/>
    </row>
    <row r="16" spans="1:8" x14ac:dyDescent="0.25">
      <c r="A16" s="911" t="s">
        <v>812</v>
      </c>
      <c r="B16" s="911"/>
      <c r="C16" s="1144" t="s">
        <v>813</v>
      </c>
      <c r="D16" s="1144"/>
      <c r="E16" s="1144" t="s">
        <v>813</v>
      </c>
      <c r="F16" s="1144"/>
      <c r="G16" s="1145" t="s">
        <v>855</v>
      </c>
      <c r="H16" s="1146"/>
    </row>
    <row r="17" spans="1:8" x14ac:dyDescent="0.25">
      <c r="A17" s="911"/>
      <c r="B17" s="911"/>
      <c r="C17" s="1143">
        <v>46022</v>
      </c>
      <c r="D17" s="1143"/>
      <c r="E17" s="1143">
        <v>46022</v>
      </c>
      <c r="F17" s="1143"/>
      <c r="G17" s="254" t="s">
        <v>815</v>
      </c>
      <c r="H17" s="254" t="s">
        <v>846</v>
      </c>
    </row>
    <row r="18" spans="1:8" x14ac:dyDescent="0.25">
      <c r="A18" s="1159" t="s">
        <v>999</v>
      </c>
      <c r="B18" s="1160"/>
      <c r="C18" s="1048">
        <v>0</v>
      </c>
      <c r="D18" s="1049"/>
      <c r="E18" s="1048">
        <v>0</v>
      </c>
      <c r="F18" s="1049"/>
      <c r="G18" s="347">
        <v>0</v>
      </c>
      <c r="H18" s="337">
        <v>0</v>
      </c>
    </row>
    <row r="19" spans="1:8" x14ac:dyDescent="0.25">
      <c r="A19" s="1159" t="s">
        <v>1000</v>
      </c>
      <c r="B19" s="1160"/>
      <c r="C19" s="1048">
        <v>0</v>
      </c>
      <c r="D19" s="1049"/>
      <c r="E19" s="1048">
        <v>0</v>
      </c>
      <c r="F19" s="1049"/>
      <c r="G19" s="347">
        <v>0</v>
      </c>
      <c r="H19" s="337">
        <v>0</v>
      </c>
    </row>
    <row r="20" spans="1:8" x14ac:dyDescent="0.25">
      <c r="A20" s="1159" t="s">
        <v>1001</v>
      </c>
      <c r="B20" s="1160"/>
      <c r="C20" s="1048">
        <v>0</v>
      </c>
      <c r="D20" s="1049"/>
      <c r="E20" s="1048">
        <v>0</v>
      </c>
      <c r="F20" s="1049"/>
      <c r="G20" s="347">
        <v>0</v>
      </c>
      <c r="H20" s="337">
        <v>0</v>
      </c>
    </row>
    <row r="21" spans="1:8" x14ac:dyDescent="0.25">
      <c r="A21" s="1159" t="s">
        <v>1002</v>
      </c>
      <c r="B21" s="1160"/>
      <c r="C21" s="1048">
        <v>0</v>
      </c>
      <c r="D21" s="1049"/>
      <c r="E21" s="1048">
        <v>0</v>
      </c>
      <c r="F21" s="1049"/>
      <c r="G21" s="347">
        <v>0</v>
      </c>
      <c r="H21" s="337">
        <v>0</v>
      </c>
    </row>
    <row r="22" spans="1:8" x14ac:dyDescent="0.25">
      <c r="A22" s="1159" t="s">
        <v>1003</v>
      </c>
      <c r="B22" s="1160"/>
      <c r="C22" s="1048">
        <v>0</v>
      </c>
      <c r="D22" s="1049"/>
      <c r="E22" s="1048">
        <v>0</v>
      </c>
      <c r="F22" s="1049"/>
      <c r="G22" s="347">
        <v>0</v>
      </c>
      <c r="H22" s="337">
        <v>0</v>
      </c>
    </row>
    <row r="23" spans="1:8" x14ac:dyDescent="0.25">
      <c r="A23" s="1159" t="s">
        <v>1004</v>
      </c>
      <c r="B23" s="1160"/>
      <c r="C23" s="1048">
        <v>0</v>
      </c>
      <c r="D23" s="1049"/>
      <c r="E23" s="1048">
        <v>0</v>
      </c>
      <c r="F23" s="1049"/>
      <c r="G23" s="347">
        <v>0</v>
      </c>
      <c r="H23" s="337">
        <v>0</v>
      </c>
    </row>
    <row r="24" spans="1:8" x14ac:dyDescent="0.25">
      <c r="A24" s="1159" t="s">
        <v>1005</v>
      </c>
      <c r="B24" s="1160"/>
      <c r="C24" s="1048">
        <v>0</v>
      </c>
      <c r="D24" s="1049"/>
      <c r="E24" s="1048">
        <v>0</v>
      </c>
      <c r="F24" s="1049"/>
      <c r="G24" s="347">
        <v>0</v>
      </c>
      <c r="H24" s="337">
        <v>0</v>
      </c>
    </row>
    <row r="25" spans="1:8" x14ac:dyDescent="0.25">
      <c r="A25" s="1159" t="s">
        <v>1006</v>
      </c>
      <c r="B25" s="1160"/>
      <c r="C25" s="1048">
        <v>0</v>
      </c>
      <c r="D25" s="1049"/>
      <c r="E25" s="1048">
        <v>0</v>
      </c>
      <c r="F25" s="1049"/>
      <c r="G25" s="347">
        <v>0</v>
      </c>
      <c r="H25" s="337">
        <v>0</v>
      </c>
    </row>
    <row r="26" spans="1:8" x14ac:dyDescent="0.25">
      <c r="A26" s="1159" t="s">
        <v>1007</v>
      </c>
      <c r="B26" s="1160"/>
      <c r="C26" s="1048">
        <v>0</v>
      </c>
      <c r="D26" s="1049"/>
      <c r="E26" s="1048">
        <v>0</v>
      </c>
      <c r="F26" s="1049"/>
      <c r="G26" s="347">
        <v>0</v>
      </c>
      <c r="H26" s="337">
        <v>0</v>
      </c>
    </row>
    <row r="27" spans="1:8" x14ac:dyDescent="0.25">
      <c r="A27" s="1159" t="s">
        <v>1008</v>
      </c>
      <c r="B27" s="1160"/>
      <c r="C27" s="1048">
        <v>0</v>
      </c>
      <c r="D27" s="1049"/>
      <c r="E27" s="1048">
        <v>0</v>
      </c>
      <c r="F27" s="1049"/>
      <c r="G27" s="347">
        <v>0</v>
      </c>
      <c r="H27" s="337">
        <v>0</v>
      </c>
    </row>
    <row r="28" spans="1:8" x14ac:dyDescent="0.25">
      <c r="A28" s="1159" t="s">
        <v>1009</v>
      </c>
      <c r="B28" s="1160"/>
      <c r="C28" s="1048">
        <v>0</v>
      </c>
      <c r="D28" s="1049"/>
      <c r="E28" s="1048">
        <v>0</v>
      </c>
      <c r="F28" s="1049"/>
      <c r="G28" s="347">
        <v>0</v>
      </c>
      <c r="H28" s="337">
        <v>0</v>
      </c>
    </row>
    <row r="29" spans="1:8" ht="28.9" customHeight="1" x14ac:dyDescent="0.25">
      <c r="A29" s="1159" t="s">
        <v>1010</v>
      </c>
      <c r="B29" s="1160"/>
      <c r="C29" s="1048">
        <v>0</v>
      </c>
      <c r="D29" s="1049"/>
      <c r="E29" s="1048">
        <v>0</v>
      </c>
      <c r="F29" s="1049"/>
      <c r="G29" s="347">
        <v>0</v>
      </c>
      <c r="H29" s="337">
        <v>0</v>
      </c>
    </row>
    <row r="30" spans="1:8" x14ac:dyDescent="0.25">
      <c r="A30" s="1159" t="s">
        <v>1011</v>
      </c>
      <c r="B30" s="1160"/>
      <c r="C30" s="1048">
        <v>0</v>
      </c>
      <c r="D30" s="1049"/>
      <c r="E30" s="1048">
        <v>0</v>
      </c>
      <c r="F30" s="1049"/>
      <c r="G30" s="347">
        <v>0</v>
      </c>
      <c r="H30" s="337">
        <v>0</v>
      </c>
    </row>
    <row r="31" spans="1:8" x14ac:dyDescent="0.25">
      <c r="A31" s="1159" t="s">
        <v>1012</v>
      </c>
      <c r="B31" s="1160"/>
      <c r="C31" s="1048">
        <v>0</v>
      </c>
      <c r="D31" s="1049"/>
      <c r="E31" s="1048">
        <v>0</v>
      </c>
      <c r="F31" s="1049"/>
      <c r="G31" s="347">
        <v>0</v>
      </c>
      <c r="H31" s="337">
        <v>0</v>
      </c>
    </row>
    <row r="32" spans="1:8" x14ac:dyDescent="0.25">
      <c r="A32" s="1159" t="s">
        <v>1013</v>
      </c>
      <c r="B32" s="1160"/>
      <c r="C32" s="1048">
        <v>0</v>
      </c>
      <c r="D32" s="1049"/>
      <c r="E32" s="1048">
        <v>0</v>
      </c>
      <c r="F32" s="1049"/>
      <c r="G32" s="347">
        <v>0</v>
      </c>
      <c r="H32" s="337">
        <v>0</v>
      </c>
    </row>
    <row r="33" spans="1:8" x14ac:dyDescent="0.25">
      <c r="A33" s="1157" t="s">
        <v>825</v>
      </c>
      <c r="B33" s="1157"/>
      <c r="C33" s="1112">
        <v>0</v>
      </c>
      <c r="D33" s="1112"/>
      <c r="E33" s="1112">
        <v>0</v>
      </c>
      <c r="F33" s="1112"/>
      <c r="G33" s="381">
        <v>0</v>
      </c>
      <c r="H33" s="342">
        <v>0</v>
      </c>
    </row>
    <row r="34" spans="1:8" ht="6" customHeight="1" x14ac:dyDescent="0.25">
      <c r="A34" s="1164"/>
      <c r="B34" s="1164"/>
      <c r="C34" s="1147"/>
      <c r="D34" s="1147"/>
      <c r="E34" s="1147"/>
      <c r="F34" s="1147"/>
      <c r="G34" s="1147"/>
      <c r="H34" s="1147"/>
    </row>
    <row r="35" spans="1:8" x14ac:dyDescent="0.25">
      <c r="A35" s="245" t="s">
        <v>796</v>
      </c>
      <c r="B35" s="245"/>
      <c r="C35" s="245"/>
      <c r="D35" s="245"/>
      <c r="E35" s="245"/>
      <c r="F35" s="245"/>
      <c r="G35" s="245"/>
      <c r="H35" s="245"/>
    </row>
    <row r="36" spans="1:8" x14ac:dyDescent="0.25">
      <c r="A36" s="940"/>
      <c r="B36" s="941"/>
      <c r="C36" s="941"/>
      <c r="D36" s="941"/>
      <c r="E36" s="941"/>
      <c r="F36" s="941"/>
      <c r="G36" s="941"/>
      <c r="H36" s="942"/>
    </row>
    <row r="37" spans="1:8" x14ac:dyDescent="0.25">
      <c r="A37" s="943"/>
      <c r="B37" s="944"/>
      <c r="C37" s="944"/>
      <c r="D37" s="944"/>
      <c r="E37" s="944"/>
      <c r="F37" s="944"/>
      <c r="G37" s="944"/>
      <c r="H37" s="945"/>
    </row>
    <row r="38" spans="1:8" x14ac:dyDescent="0.25">
      <c r="A38" s="943"/>
      <c r="B38" s="944"/>
      <c r="C38" s="944"/>
      <c r="D38" s="944"/>
      <c r="E38" s="944"/>
      <c r="F38" s="944"/>
      <c r="G38" s="944"/>
      <c r="H38" s="945"/>
    </row>
    <row r="39" spans="1:8" x14ac:dyDescent="0.25">
      <c r="A39" s="943"/>
      <c r="B39" s="944"/>
      <c r="C39" s="944"/>
      <c r="D39" s="944"/>
      <c r="E39" s="944"/>
      <c r="F39" s="944"/>
      <c r="G39" s="944"/>
      <c r="H39" s="945"/>
    </row>
    <row r="40" spans="1:8" x14ac:dyDescent="0.25">
      <c r="A40" s="943"/>
      <c r="B40" s="944"/>
      <c r="C40" s="944"/>
      <c r="D40" s="944"/>
      <c r="E40" s="944"/>
      <c r="F40" s="944"/>
      <c r="G40" s="944"/>
      <c r="H40" s="945"/>
    </row>
    <row r="41" spans="1:8" x14ac:dyDescent="0.25">
      <c r="A41" s="943"/>
      <c r="B41" s="944"/>
      <c r="C41" s="944"/>
      <c r="D41" s="944"/>
      <c r="E41" s="944"/>
      <c r="F41" s="944"/>
      <c r="G41" s="944"/>
      <c r="H41" s="945"/>
    </row>
    <row r="42" spans="1:8" x14ac:dyDescent="0.25">
      <c r="A42" s="946"/>
      <c r="B42" s="947"/>
      <c r="C42" s="947"/>
      <c r="D42" s="947"/>
      <c r="E42" s="947"/>
      <c r="F42" s="947"/>
      <c r="G42" s="947"/>
      <c r="H42" s="948"/>
    </row>
  </sheetData>
  <mergeCells count="76">
    <mergeCell ref="B2:H2"/>
    <mergeCell ref="B3:H3"/>
    <mergeCell ref="B4:H4"/>
    <mergeCell ref="B5:H5"/>
    <mergeCell ref="B6:C6"/>
    <mergeCell ref="D6:E6"/>
    <mergeCell ref="G16:H16"/>
    <mergeCell ref="C17:D17"/>
    <mergeCell ref="B7:D7"/>
    <mergeCell ref="B8:H8"/>
    <mergeCell ref="B9:H9"/>
    <mergeCell ref="B10:C10"/>
    <mergeCell ref="E10:F10"/>
    <mergeCell ref="G10:H10"/>
    <mergeCell ref="B11:C11"/>
    <mergeCell ref="E11:F11"/>
    <mergeCell ref="G11:H11"/>
    <mergeCell ref="A13:H13"/>
    <mergeCell ref="A14:H14"/>
    <mergeCell ref="E17:F17"/>
    <mergeCell ref="A18:B18"/>
    <mergeCell ref="C18:D18"/>
    <mergeCell ref="E18:F18"/>
    <mergeCell ref="A19:B19"/>
    <mergeCell ref="C19:D19"/>
    <mergeCell ref="E19:F19"/>
    <mergeCell ref="A16:B17"/>
    <mergeCell ref="C16:D16"/>
    <mergeCell ref="E16:F16"/>
    <mergeCell ref="A20:B20"/>
    <mergeCell ref="C20:D20"/>
    <mergeCell ref="E20:F20"/>
    <mergeCell ref="A21:B21"/>
    <mergeCell ref="C21:D21"/>
    <mergeCell ref="E21:F21"/>
    <mergeCell ref="A22:B22"/>
    <mergeCell ref="C22:D22"/>
    <mergeCell ref="E22:F22"/>
    <mergeCell ref="A23:B23"/>
    <mergeCell ref="C23:D23"/>
    <mergeCell ref="E23:F23"/>
    <mergeCell ref="A24:B24"/>
    <mergeCell ref="C24:D24"/>
    <mergeCell ref="E24:F24"/>
    <mergeCell ref="A25:B25"/>
    <mergeCell ref="C25:D25"/>
    <mergeCell ref="E25:F25"/>
    <mergeCell ref="A26:B26"/>
    <mergeCell ref="C26:D26"/>
    <mergeCell ref="E26:F26"/>
    <mergeCell ref="A27:B27"/>
    <mergeCell ref="C27:D27"/>
    <mergeCell ref="E27:F27"/>
    <mergeCell ref="A28:B28"/>
    <mergeCell ref="C28:D28"/>
    <mergeCell ref="E28:F28"/>
    <mergeCell ref="A29:B29"/>
    <mergeCell ref="C29:D29"/>
    <mergeCell ref="E29:F29"/>
    <mergeCell ref="A30:B30"/>
    <mergeCell ref="C30:D30"/>
    <mergeCell ref="E30:F30"/>
    <mergeCell ref="A31:B31"/>
    <mergeCell ref="C31:D31"/>
    <mergeCell ref="E31:F31"/>
    <mergeCell ref="A32:B32"/>
    <mergeCell ref="C32:D32"/>
    <mergeCell ref="E32:F32"/>
    <mergeCell ref="A33:B33"/>
    <mergeCell ref="C33:D33"/>
    <mergeCell ref="E33:F33"/>
    <mergeCell ref="A34:B34"/>
    <mergeCell ref="C34:D34"/>
    <mergeCell ref="E34:F34"/>
    <mergeCell ref="G34:H34"/>
    <mergeCell ref="A36:H42"/>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216D-E518-463D-AF00-509CDE08B055}">
  <dimension ref="A2:H33"/>
  <sheetViews>
    <sheetView workbookViewId="0">
      <selection sqref="A1:XFD1048576"/>
    </sheetView>
  </sheetViews>
  <sheetFormatPr baseColWidth="10" defaultRowHeight="15" x14ac:dyDescent="0.25"/>
  <cols>
    <col min="1" max="1" width="25.5703125" customWidth="1"/>
    <col min="2" max="2" width="9.85546875" customWidth="1"/>
    <col min="3" max="3" width="8.7109375" customWidth="1"/>
    <col min="4" max="4" width="16.85546875" customWidth="1"/>
    <col min="5" max="5" width="9.42578125" customWidth="1"/>
    <col min="6" max="7" width="17.5703125" customWidth="1"/>
    <col min="8" max="8" width="7.7109375" customWidth="1"/>
  </cols>
  <sheetData>
    <row r="2" spans="1:8" x14ac:dyDescent="0.25">
      <c r="A2" s="198" t="s">
        <v>466</v>
      </c>
      <c r="B2" s="619">
        <v>4444444444</v>
      </c>
      <c r="C2" s="619"/>
      <c r="D2" s="619"/>
      <c r="E2" s="619"/>
      <c r="F2" s="619"/>
      <c r="G2" s="619"/>
      <c r="H2" s="619"/>
    </row>
    <row r="3" spans="1:8" x14ac:dyDescent="0.25">
      <c r="A3" s="198"/>
      <c r="B3" s="620">
        <v>56565665</v>
      </c>
      <c r="C3" s="620"/>
      <c r="D3" s="620"/>
      <c r="E3" s="620"/>
      <c r="F3" s="620"/>
      <c r="G3" s="620"/>
      <c r="H3" s="620"/>
    </row>
    <row r="4" spans="1:8" x14ac:dyDescent="0.25">
      <c r="A4" s="198" t="s">
        <v>364</v>
      </c>
      <c r="B4" s="620" t="s">
        <v>6</v>
      </c>
      <c r="C4" s="620"/>
      <c r="D4" s="620"/>
      <c r="E4" s="620"/>
      <c r="F4" s="620"/>
      <c r="G4" s="620"/>
      <c r="H4" s="620"/>
    </row>
    <row r="5" spans="1:8" x14ac:dyDescent="0.25">
      <c r="A5" s="198" t="s">
        <v>365</v>
      </c>
      <c r="B5" s="620" t="s">
        <v>699</v>
      </c>
      <c r="C5" s="620"/>
      <c r="D5" s="620"/>
      <c r="E5" s="620"/>
      <c r="F5" s="620"/>
      <c r="G5" s="620"/>
      <c r="H5" s="620"/>
    </row>
    <row r="6" spans="1:8" x14ac:dyDescent="0.25">
      <c r="A6" s="198" t="s">
        <v>366</v>
      </c>
      <c r="B6" s="620">
        <v>125545</v>
      </c>
      <c r="C6" s="620"/>
      <c r="D6" s="616" t="s">
        <v>367</v>
      </c>
      <c r="E6" s="616"/>
      <c r="F6" s="209">
        <v>46022</v>
      </c>
      <c r="G6" s="47" t="s">
        <v>467</v>
      </c>
      <c r="H6" s="241">
        <v>12</v>
      </c>
    </row>
    <row r="7" spans="1:8" x14ac:dyDescent="0.25">
      <c r="A7" s="204" t="s">
        <v>369</v>
      </c>
      <c r="B7" s="619" t="s">
        <v>8</v>
      </c>
      <c r="C7" s="619"/>
      <c r="D7" s="619"/>
      <c r="E7" s="200"/>
      <c r="F7" s="200"/>
      <c r="G7" s="200"/>
      <c r="H7" s="200"/>
    </row>
    <row r="8" spans="1:8" x14ac:dyDescent="0.25">
      <c r="A8" s="200" t="s">
        <v>468</v>
      </c>
      <c r="B8" s="619" t="s">
        <v>35</v>
      </c>
      <c r="C8" s="619"/>
      <c r="D8" s="619"/>
      <c r="E8" s="619"/>
      <c r="F8" s="619"/>
      <c r="G8" s="619"/>
      <c r="H8" s="619"/>
    </row>
    <row r="9" spans="1:8" x14ac:dyDescent="0.25">
      <c r="A9" s="200"/>
      <c r="B9" s="620" t="s">
        <v>36</v>
      </c>
      <c r="C9" s="620"/>
      <c r="D9" s="620"/>
      <c r="E9" s="620"/>
      <c r="F9" s="620"/>
      <c r="G9" s="620"/>
      <c r="H9" s="620"/>
    </row>
    <row r="10" spans="1:8" x14ac:dyDescent="0.25">
      <c r="A10" s="200" t="s">
        <v>469</v>
      </c>
      <c r="B10" s="620" t="s">
        <v>40</v>
      </c>
      <c r="C10" s="620"/>
      <c r="D10" s="207"/>
      <c r="E10" s="616" t="s">
        <v>470</v>
      </c>
      <c r="F10" s="616"/>
      <c r="G10" s="620" t="s">
        <v>38</v>
      </c>
      <c r="H10" s="620"/>
    </row>
    <row r="11" spans="1:8" x14ac:dyDescent="0.25">
      <c r="A11" s="200" t="s">
        <v>471</v>
      </c>
      <c r="B11" s="876">
        <v>44713</v>
      </c>
      <c r="C11" s="876"/>
      <c r="D11" s="242"/>
      <c r="E11" s="610" t="s">
        <v>472</v>
      </c>
      <c r="F11" s="610"/>
      <c r="G11" s="876">
        <v>45991</v>
      </c>
      <c r="H11" s="876"/>
    </row>
    <row r="12" spans="1:8" ht="6.6" customHeight="1" x14ac:dyDescent="0.25"/>
    <row r="13" spans="1:8" x14ac:dyDescent="0.25">
      <c r="A13" s="691" t="s">
        <v>1014</v>
      </c>
      <c r="B13" s="691"/>
      <c r="C13" s="691"/>
      <c r="D13" s="691"/>
      <c r="E13" s="691"/>
      <c r="F13" s="691"/>
      <c r="G13" s="691"/>
      <c r="H13" s="691"/>
    </row>
    <row r="14" spans="1:8" x14ac:dyDescent="0.25">
      <c r="A14" s="691" t="s">
        <v>1015</v>
      </c>
      <c r="B14" s="691"/>
      <c r="C14" s="691"/>
      <c r="D14" s="691"/>
      <c r="E14" s="691"/>
      <c r="F14" s="691"/>
      <c r="G14" s="691"/>
      <c r="H14" s="691"/>
    </row>
    <row r="15" spans="1:8" ht="6.6" customHeight="1" x14ac:dyDescent="0.25">
      <c r="A15" s="263"/>
      <c r="B15" s="263"/>
      <c r="C15" s="263"/>
      <c r="D15" s="263"/>
      <c r="E15" s="263"/>
      <c r="F15" s="263"/>
      <c r="G15" s="263"/>
      <c r="H15" s="263"/>
    </row>
    <row r="16" spans="1:8" x14ac:dyDescent="0.25">
      <c r="A16" s="911" t="s">
        <v>812</v>
      </c>
      <c r="B16" s="911"/>
      <c r="C16" s="1144" t="s">
        <v>813</v>
      </c>
      <c r="D16" s="1144"/>
      <c r="E16" s="1144" t="s">
        <v>813</v>
      </c>
      <c r="F16" s="1144"/>
      <c r="G16" s="1145" t="s">
        <v>855</v>
      </c>
      <c r="H16" s="1146"/>
    </row>
    <row r="17" spans="1:8" x14ac:dyDescent="0.25">
      <c r="A17" s="911"/>
      <c r="B17" s="911"/>
      <c r="C17" s="1143">
        <v>46022</v>
      </c>
      <c r="D17" s="1143"/>
      <c r="E17" s="1143">
        <v>46022</v>
      </c>
      <c r="F17" s="1143"/>
      <c r="G17" s="254" t="s">
        <v>815</v>
      </c>
      <c r="H17" s="254" t="s">
        <v>846</v>
      </c>
    </row>
    <row r="18" spans="1:8" x14ac:dyDescent="0.25">
      <c r="A18" s="1165" t="s">
        <v>1016</v>
      </c>
      <c r="B18" s="1166"/>
      <c r="C18" s="1048">
        <v>0</v>
      </c>
      <c r="D18" s="1049"/>
      <c r="E18" s="1048">
        <v>0</v>
      </c>
      <c r="F18" s="1049"/>
      <c r="G18" s="347">
        <v>0</v>
      </c>
      <c r="H18" s="337">
        <v>0</v>
      </c>
    </row>
    <row r="19" spans="1:8" x14ac:dyDescent="0.25">
      <c r="A19" s="1165" t="s">
        <v>1017</v>
      </c>
      <c r="B19" s="1166"/>
      <c r="C19" s="1048">
        <v>0</v>
      </c>
      <c r="D19" s="1049"/>
      <c r="E19" s="1048">
        <v>0</v>
      </c>
      <c r="F19" s="1049"/>
      <c r="G19" s="347">
        <v>0</v>
      </c>
      <c r="H19" s="337">
        <v>0</v>
      </c>
    </row>
    <row r="20" spans="1:8" x14ac:dyDescent="0.25">
      <c r="A20" s="1165" t="s">
        <v>1018</v>
      </c>
      <c r="B20" s="1166"/>
      <c r="C20" s="1048">
        <v>0</v>
      </c>
      <c r="D20" s="1049"/>
      <c r="E20" s="1048">
        <v>0</v>
      </c>
      <c r="F20" s="1049"/>
      <c r="G20" s="347">
        <v>0</v>
      </c>
      <c r="H20" s="337">
        <v>0</v>
      </c>
    </row>
    <row r="21" spans="1:8" x14ac:dyDescent="0.25">
      <c r="A21" s="1165" t="s">
        <v>1019</v>
      </c>
      <c r="B21" s="1166"/>
      <c r="C21" s="1048">
        <v>0</v>
      </c>
      <c r="D21" s="1049"/>
      <c r="E21" s="1048">
        <v>0</v>
      </c>
      <c r="F21" s="1049"/>
      <c r="G21" s="347">
        <v>0</v>
      </c>
      <c r="H21" s="337">
        <v>0</v>
      </c>
    </row>
    <row r="22" spans="1:8" x14ac:dyDescent="0.25">
      <c r="A22" s="1165" t="s">
        <v>1020</v>
      </c>
      <c r="B22" s="1166"/>
      <c r="C22" s="1048">
        <v>0</v>
      </c>
      <c r="D22" s="1049"/>
      <c r="E22" s="1048">
        <v>0</v>
      </c>
      <c r="F22" s="1049"/>
      <c r="G22" s="347">
        <v>0</v>
      </c>
      <c r="H22" s="337">
        <v>0</v>
      </c>
    </row>
    <row r="23" spans="1:8" ht="29.45" customHeight="1" x14ac:dyDescent="0.25">
      <c r="A23" s="931" t="s">
        <v>1021</v>
      </c>
      <c r="B23" s="933"/>
      <c r="C23" s="1067">
        <v>0</v>
      </c>
      <c r="D23" s="1068"/>
      <c r="E23" s="1067">
        <v>0</v>
      </c>
      <c r="F23" s="1068"/>
      <c r="G23" s="347">
        <v>0</v>
      </c>
      <c r="H23" s="337">
        <v>0</v>
      </c>
    </row>
    <row r="24" spans="1:8" x14ac:dyDescent="0.25">
      <c r="A24" s="1157" t="s">
        <v>825</v>
      </c>
      <c r="B24" s="1157"/>
      <c r="C24" s="1112">
        <v>0</v>
      </c>
      <c r="D24" s="1112"/>
      <c r="E24" s="1112">
        <v>0</v>
      </c>
      <c r="F24" s="1112"/>
      <c r="G24" s="381">
        <v>0</v>
      </c>
      <c r="H24" s="342">
        <v>0</v>
      </c>
    </row>
    <row r="25" spans="1:8" x14ac:dyDescent="0.25">
      <c r="A25" s="1164"/>
      <c r="B25" s="1164"/>
      <c r="C25" s="1147"/>
      <c r="D25" s="1147"/>
      <c r="E25" s="1147"/>
      <c r="F25" s="1147"/>
      <c r="G25" s="1147"/>
      <c r="H25" s="1147"/>
    </row>
    <row r="26" spans="1:8" x14ac:dyDescent="0.25">
      <c r="A26" s="382" t="s">
        <v>1022</v>
      </c>
      <c r="B26" s="245"/>
      <c r="C26" s="245"/>
      <c r="D26" s="245"/>
      <c r="E26" s="245"/>
      <c r="F26" s="245"/>
      <c r="G26" s="245"/>
      <c r="H26" s="245"/>
    </row>
    <row r="27" spans="1:8" x14ac:dyDescent="0.25">
      <c r="A27" s="245" t="s">
        <v>796</v>
      </c>
      <c r="B27" s="245"/>
      <c r="C27" s="245"/>
      <c r="D27" s="245"/>
      <c r="E27" s="245"/>
      <c r="F27" s="245"/>
      <c r="G27" s="245"/>
      <c r="H27" s="245"/>
    </row>
    <row r="28" spans="1:8" x14ac:dyDescent="0.25">
      <c r="A28" s="940"/>
      <c r="B28" s="941"/>
      <c r="C28" s="941"/>
      <c r="D28" s="941"/>
      <c r="E28" s="941"/>
      <c r="F28" s="941"/>
      <c r="G28" s="941"/>
      <c r="H28" s="942"/>
    </row>
    <row r="29" spans="1:8" x14ac:dyDescent="0.25">
      <c r="A29" s="943"/>
      <c r="B29" s="944"/>
      <c r="C29" s="944"/>
      <c r="D29" s="944"/>
      <c r="E29" s="944"/>
      <c r="F29" s="944"/>
      <c r="G29" s="944"/>
      <c r="H29" s="945"/>
    </row>
    <row r="30" spans="1:8" x14ac:dyDescent="0.25">
      <c r="A30" s="943"/>
      <c r="B30" s="944"/>
      <c r="C30" s="944"/>
      <c r="D30" s="944"/>
      <c r="E30" s="944"/>
      <c r="F30" s="944"/>
      <c r="G30" s="944"/>
      <c r="H30" s="945"/>
    </row>
    <row r="31" spans="1:8" x14ac:dyDescent="0.25">
      <c r="A31" s="943"/>
      <c r="B31" s="944"/>
      <c r="C31" s="944"/>
      <c r="D31" s="944"/>
      <c r="E31" s="944"/>
      <c r="F31" s="944"/>
      <c r="G31" s="944"/>
      <c r="H31" s="945"/>
    </row>
    <row r="32" spans="1:8" x14ac:dyDescent="0.25">
      <c r="A32" s="943"/>
      <c r="B32" s="944"/>
      <c r="C32" s="944"/>
      <c r="D32" s="944"/>
      <c r="E32" s="944"/>
      <c r="F32" s="944"/>
      <c r="G32" s="944"/>
      <c r="H32" s="945"/>
    </row>
    <row r="33" spans="1:8" x14ac:dyDescent="0.25">
      <c r="A33" s="946"/>
      <c r="B33" s="947"/>
      <c r="C33" s="947"/>
      <c r="D33" s="947"/>
      <c r="E33" s="947"/>
      <c r="F33" s="947"/>
      <c r="G33" s="947"/>
      <c r="H33" s="948"/>
    </row>
  </sheetData>
  <mergeCells count="49">
    <mergeCell ref="B2:H2"/>
    <mergeCell ref="B3:H3"/>
    <mergeCell ref="B4:H4"/>
    <mergeCell ref="B5:H5"/>
    <mergeCell ref="B6:C6"/>
    <mergeCell ref="D6:E6"/>
    <mergeCell ref="G16:H16"/>
    <mergeCell ref="C17:D17"/>
    <mergeCell ref="B7:D7"/>
    <mergeCell ref="B8:H8"/>
    <mergeCell ref="B9:H9"/>
    <mergeCell ref="B10:C10"/>
    <mergeCell ref="E10:F10"/>
    <mergeCell ref="G10:H10"/>
    <mergeCell ref="B11:C11"/>
    <mergeCell ref="E11:F11"/>
    <mergeCell ref="G11:H11"/>
    <mergeCell ref="A13:H13"/>
    <mergeCell ref="A14:H14"/>
    <mergeCell ref="E17:F17"/>
    <mergeCell ref="A18:B18"/>
    <mergeCell ref="C18:D18"/>
    <mergeCell ref="E18:F18"/>
    <mergeCell ref="A19:B19"/>
    <mergeCell ref="C19:D19"/>
    <mergeCell ref="E19:F19"/>
    <mergeCell ref="A16:B17"/>
    <mergeCell ref="C16:D16"/>
    <mergeCell ref="E16:F16"/>
    <mergeCell ref="A20:B20"/>
    <mergeCell ref="C20:D20"/>
    <mergeCell ref="E20:F20"/>
    <mergeCell ref="A21:B21"/>
    <mergeCell ref="C21:D21"/>
    <mergeCell ref="E21:F21"/>
    <mergeCell ref="A22:B22"/>
    <mergeCell ref="C22:D22"/>
    <mergeCell ref="E22:F22"/>
    <mergeCell ref="A23:B23"/>
    <mergeCell ref="C23:D23"/>
    <mergeCell ref="E23:F23"/>
    <mergeCell ref="G25:H25"/>
    <mergeCell ref="A28:H33"/>
    <mergeCell ref="A24:B24"/>
    <mergeCell ref="C24:D24"/>
    <mergeCell ref="E24:F24"/>
    <mergeCell ref="A25:B25"/>
    <mergeCell ref="C25:D25"/>
    <mergeCell ref="E25:F25"/>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C200D-3508-409D-8ECE-CCADB6A8CC0E}">
  <dimension ref="A2:H32"/>
  <sheetViews>
    <sheetView workbookViewId="0">
      <selection sqref="A1:XFD1048576"/>
    </sheetView>
  </sheetViews>
  <sheetFormatPr baseColWidth="10" defaultRowHeight="15" x14ac:dyDescent="0.25"/>
  <cols>
    <col min="1" max="1" width="45.7109375" customWidth="1"/>
    <col min="2" max="2" width="9.85546875" customWidth="1"/>
    <col min="3" max="3" width="8.7109375" customWidth="1"/>
    <col min="4" max="4" width="16.85546875" customWidth="1"/>
    <col min="5" max="5" width="9.42578125" customWidth="1"/>
    <col min="6" max="7" width="17.5703125" customWidth="1"/>
    <col min="8" max="8" width="7.7109375" customWidth="1"/>
  </cols>
  <sheetData>
    <row r="2" spans="1:8" x14ac:dyDescent="0.25">
      <c r="A2" s="198" t="s">
        <v>466</v>
      </c>
      <c r="B2" s="619">
        <v>4444444444</v>
      </c>
      <c r="C2" s="619"/>
      <c r="D2" s="619"/>
      <c r="E2" s="619"/>
      <c r="F2" s="619"/>
      <c r="G2" s="619"/>
      <c r="H2" s="619"/>
    </row>
    <row r="3" spans="1:8" x14ac:dyDescent="0.25">
      <c r="A3" s="198"/>
      <c r="B3" s="620">
        <v>56565665</v>
      </c>
      <c r="C3" s="620"/>
      <c r="D3" s="620"/>
      <c r="E3" s="620"/>
      <c r="F3" s="620"/>
      <c r="G3" s="620"/>
      <c r="H3" s="620"/>
    </row>
    <row r="4" spans="1:8" x14ac:dyDescent="0.25">
      <c r="A4" s="198" t="s">
        <v>364</v>
      </c>
      <c r="B4" s="620" t="s">
        <v>6</v>
      </c>
      <c r="C4" s="620"/>
      <c r="D4" s="620"/>
      <c r="E4" s="620"/>
      <c r="F4" s="620"/>
      <c r="G4" s="620"/>
      <c r="H4" s="620"/>
    </row>
    <row r="5" spans="1:8" x14ac:dyDescent="0.25">
      <c r="A5" s="198" t="s">
        <v>365</v>
      </c>
      <c r="B5" s="620" t="s">
        <v>699</v>
      </c>
      <c r="C5" s="620"/>
      <c r="D5" s="620"/>
      <c r="E5" s="620"/>
      <c r="F5" s="620"/>
      <c r="G5" s="620"/>
      <c r="H5" s="620"/>
    </row>
    <row r="6" spans="1:8" x14ac:dyDescent="0.25">
      <c r="A6" s="198" t="s">
        <v>366</v>
      </c>
      <c r="B6" s="620">
        <v>125545</v>
      </c>
      <c r="C6" s="620"/>
      <c r="D6" s="616" t="s">
        <v>367</v>
      </c>
      <c r="E6" s="616"/>
      <c r="F6" s="209">
        <v>46022</v>
      </c>
      <c r="G6" s="47" t="s">
        <v>467</v>
      </c>
      <c r="H6" s="241">
        <v>12</v>
      </c>
    </row>
    <row r="7" spans="1:8" x14ac:dyDescent="0.25">
      <c r="A7" s="204" t="s">
        <v>369</v>
      </c>
      <c r="B7" s="619" t="s">
        <v>8</v>
      </c>
      <c r="C7" s="619"/>
      <c r="D7" s="619"/>
      <c r="E7" s="200"/>
      <c r="F7" s="200"/>
      <c r="G7" s="200"/>
      <c r="H7" s="200"/>
    </row>
    <row r="8" spans="1:8" x14ac:dyDescent="0.25">
      <c r="A8" s="200" t="s">
        <v>468</v>
      </c>
      <c r="B8" s="619" t="s">
        <v>35</v>
      </c>
      <c r="C8" s="619"/>
      <c r="D8" s="619"/>
      <c r="E8" s="619"/>
      <c r="F8" s="619"/>
      <c r="G8" s="619"/>
      <c r="H8" s="619"/>
    </row>
    <row r="9" spans="1:8" x14ac:dyDescent="0.25">
      <c r="A9" s="200"/>
      <c r="B9" s="620" t="s">
        <v>36</v>
      </c>
      <c r="C9" s="620"/>
      <c r="D9" s="620"/>
      <c r="E9" s="620"/>
      <c r="F9" s="620"/>
      <c r="G9" s="620"/>
      <c r="H9" s="620"/>
    </row>
    <row r="10" spans="1:8" x14ac:dyDescent="0.25">
      <c r="A10" s="200" t="s">
        <v>469</v>
      </c>
      <c r="B10" s="620" t="s">
        <v>40</v>
      </c>
      <c r="C10" s="620"/>
      <c r="D10" s="207"/>
      <c r="E10" s="616" t="s">
        <v>470</v>
      </c>
      <c r="F10" s="616"/>
      <c r="G10" s="620" t="s">
        <v>38</v>
      </c>
      <c r="H10" s="620"/>
    </row>
    <row r="11" spans="1:8" x14ac:dyDescent="0.25">
      <c r="A11" s="200" t="s">
        <v>471</v>
      </c>
      <c r="B11" s="876">
        <v>44713</v>
      </c>
      <c r="C11" s="876"/>
      <c r="D11" s="242"/>
      <c r="E11" s="610" t="s">
        <v>472</v>
      </c>
      <c r="F11" s="610"/>
      <c r="G11" s="876">
        <v>45991</v>
      </c>
      <c r="H11" s="876"/>
    </row>
    <row r="12" spans="1:8" ht="7.9" customHeight="1" x14ac:dyDescent="0.25"/>
    <row r="13" spans="1:8" x14ac:dyDescent="0.25">
      <c r="A13" s="691" t="s">
        <v>1023</v>
      </c>
      <c r="B13" s="691"/>
      <c r="C13" s="691"/>
      <c r="D13" s="691"/>
      <c r="E13" s="691"/>
      <c r="F13" s="691"/>
      <c r="G13" s="691"/>
      <c r="H13" s="691"/>
    </row>
    <row r="14" spans="1:8" x14ac:dyDescent="0.25">
      <c r="A14" s="691" t="s">
        <v>1024</v>
      </c>
      <c r="B14" s="691"/>
      <c r="C14" s="691"/>
      <c r="D14" s="691"/>
      <c r="E14" s="691"/>
      <c r="F14" s="691"/>
      <c r="G14" s="691"/>
      <c r="H14" s="691"/>
    </row>
    <row r="15" spans="1:8" ht="7.9" customHeight="1" x14ac:dyDescent="0.25">
      <c r="A15" s="263"/>
      <c r="B15" s="263"/>
      <c r="C15" s="263"/>
      <c r="D15" s="263"/>
      <c r="E15" s="263"/>
      <c r="F15" s="263"/>
      <c r="G15" s="263"/>
      <c r="H15" s="263"/>
    </row>
    <row r="16" spans="1:8" x14ac:dyDescent="0.25">
      <c r="A16" s="911" t="s">
        <v>812</v>
      </c>
      <c r="B16" s="911"/>
      <c r="C16" s="1144" t="s">
        <v>813</v>
      </c>
      <c r="D16" s="1144"/>
      <c r="E16" s="1144" t="s">
        <v>813</v>
      </c>
      <c r="F16" s="1144"/>
      <c r="G16" s="1145" t="s">
        <v>855</v>
      </c>
      <c r="H16" s="1146"/>
    </row>
    <row r="17" spans="1:8" x14ac:dyDescent="0.25">
      <c r="A17" s="911"/>
      <c r="B17" s="911"/>
      <c r="C17" s="1143">
        <v>46022</v>
      </c>
      <c r="D17" s="1143"/>
      <c r="E17" s="1143">
        <v>46022</v>
      </c>
      <c r="F17" s="1143"/>
      <c r="G17" s="254" t="s">
        <v>815</v>
      </c>
      <c r="H17" s="254" t="s">
        <v>846</v>
      </c>
    </row>
    <row r="18" spans="1:8" x14ac:dyDescent="0.25">
      <c r="A18" s="905" t="s">
        <v>1025</v>
      </c>
      <c r="B18" s="907"/>
      <c r="C18" s="1048">
        <v>0</v>
      </c>
      <c r="D18" s="1049"/>
      <c r="E18" s="1048">
        <v>0</v>
      </c>
      <c r="F18" s="1049"/>
      <c r="G18" s="347">
        <v>0</v>
      </c>
      <c r="H18" s="337">
        <v>0</v>
      </c>
    </row>
    <row r="19" spans="1:8" x14ac:dyDescent="0.25">
      <c r="A19" s="905" t="s">
        <v>1026</v>
      </c>
      <c r="B19" s="907"/>
      <c r="C19" s="1048">
        <v>0</v>
      </c>
      <c r="D19" s="1049"/>
      <c r="E19" s="1048">
        <v>0</v>
      </c>
      <c r="F19" s="1049"/>
      <c r="G19" s="347">
        <v>0</v>
      </c>
      <c r="H19" s="337">
        <v>0</v>
      </c>
    </row>
    <row r="20" spans="1:8" x14ac:dyDescent="0.25">
      <c r="A20" s="900" t="s">
        <v>1027</v>
      </c>
      <c r="B20" s="902"/>
      <c r="C20" s="1048">
        <v>0</v>
      </c>
      <c r="D20" s="1049"/>
      <c r="E20" s="1048">
        <v>0</v>
      </c>
      <c r="F20" s="1049"/>
      <c r="G20" s="347">
        <v>0</v>
      </c>
      <c r="H20" s="337">
        <v>0</v>
      </c>
    </row>
    <row r="21" spans="1:8" x14ac:dyDescent="0.25">
      <c r="A21" s="900" t="s">
        <v>1028</v>
      </c>
      <c r="B21" s="902"/>
      <c r="C21" s="1067">
        <v>0</v>
      </c>
      <c r="D21" s="1068"/>
      <c r="E21" s="1067">
        <v>0</v>
      </c>
      <c r="F21" s="1068"/>
      <c r="G21" s="347">
        <v>0</v>
      </c>
      <c r="H21" s="337">
        <v>0</v>
      </c>
    </row>
    <row r="22" spans="1:8" x14ac:dyDescent="0.25">
      <c r="A22" s="1129" t="s">
        <v>1029</v>
      </c>
      <c r="B22" s="1130"/>
      <c r="C22" s="1067">
        <v>0</v>
      </c>
      <c r="D22" s="1068"/>
      <c r="E22" s="1067">
        <v>0</v>
      </c>
      <c r="F22" s="1068"/>
      <c r="G22" s="347"/>
      <c r="H22" s="337"/>
    </row>
    <row r="23" spans="1:8" x14ac:dyDescent="0.25">
      <c r="A23" s="900" t="s">
        <v>1030</v>
      </c>
      <c r="B23" s="902"/>
      <c r="C23" s="1048">
        <v>0</v>
      </c>
      <c r="D23" s="1049"/>
      <c r="E23" s="1048">
        <v>0</v>
      </c>
      <c r="F23" s="1049"/>
      <c r="G23" s="347">
        <v>0</v>
      </c>
      <c r="H23" s="337">
        <v>0</v>
      </c>
    </row>
    <row r="24" spans="1:8" x14ac:dyDescent="0.25">
      <c r="A24" s="1157" t="s">
        <v>825</v>
      </c>
      <c r="B24" s="1157"/>
      <c r="C24" s="1112">
        <v>0</v>
      </c>
      <c r="D24" s="1112"/>
      <c r="E24" s="1112">
        <v>0</v>
      </c>
      <c r="F24" s="1112"/>
      <c r="G24" s="381">
        <v>0</v>
      </c>
      <c r="H24" s="342">
        <v>0</v>
      </c>
    </row>
    <row r="25" spans="1:8" x14ac:dyDescent="0.25">
      <c r="A25" s="1164"/>
      <c r="B25" s="1164"/>
      <c r="C25" s="1147"/>
      <c r="D25" s="1147"/>
      <c r="E25" s="1147"/>
      <c r="F25" s="1147"/>
      <c r="G25" s="1147"/>
      <c r="H25" s="1147"/>
    </row>
    <row r="26" spans="1:8" x14ac:dyDescent="0.25">
      <c r="A26" s="245" t="s">
        <v>796</v>
      </c>
      <c r="B26" s="245"/>
      <c r="C26" s="245"/>
      <c r="D26" s="245"/>
      <c r="E26" s="245"/>
      <c r="F26" s="245"/>
      <c r="G26" s="245"/>
      <c r="H26" s="245"/>
    </row>
    <row r="27" spans="1:8" x14ac:dyDescent="0.25">
      <c r="A27" s="940"/>
      <c r="B27" s="941"/>
      <c r="C27" s="941"/>
      <c r="D27" s="941"/>
      <c r="E27" s="941"/>
      <c r="F27" s="941"/>
      <c r="G27" s="941"/>
      <c r="H27" s="942"/>
    </row>
    <row r="28" spans="1:8" x14ac:dyDescent="0.25">
      <c r="A28" s="943"/>
      <c r="B28" s="944"/>
      <c r="C28" s="944"/>
      <c r="D28" s="944"/>
      <c r="E28" s="944"/>
      <c r="F28" s="944"/>
      <c r="G28" s="944"/>
      <c r="H28" s="945"/>
    </row>
    <row r="29" spans="1:8" x14ac:dyDescent="0.25">
      <c r="A29" s="943"/>
      <c r="B29" s="944"/>
      <c r="C29" s="944"/>
      <c r="D29" s="944"/>
      <c r="E29" s="944"/>
      <c r="F29" s="944"/>
      <c r="G29" s="944"/>
      <c r="H29" s="945"/>
    </row>
    <row r="30" spans="1:8" x14ac:dyDescent="0.25">
      <c r="A30" s="943"/>
      <c r="B30" s="944"/>
      <c r="C30" s="944"/>
      <c r="D30" s="944"/>
      <c r="E30" s="944"/>
      <c r="F30" s="944"/>
      <c r="G30" s="944"/>
      <c r="H30" s="945"/>
    </row>
    <row r="31" spans="1:8" x14ac:dyDescent="0.25">
      <c r="A31" s="943"/>
      <c r="B31" s="944"/>
      <c r="C31" s="944"/>
      <c r="D31" s="944"/>
      <c r="E31" s="944"/>
      <c r="F31" s="944"/>
      <c r="G31" s="944"/>
      <c r="H31" s="945"/>
    </row>
    <row r="32" spans="1:8" x14ac:dyDescent="0.25">
      <c r="A32" s="946"/>
      <c r="B32" s="947"/>
      <c r="C32" s="947"/>
      <c r="D32" s="947"/>
      <c r="E32" s="947"/>
      <c r="F32" s="947"/>
      <c r="G32" s="947"/>
      <c r="H32" s="948"/>
    </row>
  </sheetData>
  <mergeCells count="49">
    <mergeCell ref="B2:H2"/>
    <mergeCell ref="B3:H3"/>
    <mergeCell ref="B4:H4"/>
    <mergeCell ref="B5:H5"/>
    <mergeCell ref="B6:C6"/>
    <mergeCell ref="D6:E6"/>
    <mergeCell ref="G16:H16"/>
    <mergeCell ref="C17:D17"/>
    <mergeCell ref="B7:D7"/>
    <mergeCell ref="B8:H8"/>
    <mergeCell ref="B9:H9"/>
    <mergeCell ref="B10:C10"/>
    <mergeCell ref="E10:F10"/>
    <mergeCell ref="G10:H10"/>
    <mergeCell ref="B11:C11"/>
    <mergeCell ref="E11:F11"/>
    <mergeCell ref="G11:H11"/>
    <mergeCell ref="A13:H13"/>
    <mergeCell ref="A14:H14"/>
    <mergeCell ref="E17:F17"/>
    <mergeCell ref="A18:B18"/>
    <mergeCell ref="C18:D18"/>
    <mergeCell ref="E18:F18"/>
    <mergeCell ref="A19:B19"/>
    <mergeCell ref="C19:D19"/>
    <mergeCell ref="E19:F19"/>
    <mergeCell ref="A16:B17"/>
    <mergeCell ref="C16:D16"/>
    <mergeCell ref="E16:F16"/>
    <mergeCell ref="A20:B20"/>
    <mergeCell ref="C20:D20"/>
    <mergeCell ref="E20:F20"/>
    <mergeCell ref="A21:B21"/>
    <mergeCell ref="C21:D21"/>
    <mergeCell ref="E21:F21"/>
    <mergeCell ref="A22:B22"/>
    <mergeCell ref="C22:D22"/>
    <mergeCell ref="E22:F22"/>
    <mergeCell ref="A23:B23"/>
    <mergeCell ref="C23:D23"/>
    <mergeCell ref="E23:F23"/>
    <mergeCell ref="G25:H25"/>
    <mergeCell ref="A27:H32"/>
    <mergeCell ref="A24:B24"/>
    <mergeCell ref="C24:D24"/>
    <mergeCell ref="E24:F24"/>
    <mergeCell ref="A25:B25"/>
    <mergeCell ref="C25:D25"/>
    <mergeCell ref="E25:F25"/>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874B2-BDF7-4780-B769-9C3E9313F7BE}">
  <dimension ref="A2:H36"/>
  <sheetViews>
    <sheetView workbookViewId="0">
      <selection sqref="A1:XFD1048576"/>
    </sheetView>
  </sheetViews>
  <sheetFormatPr baseColWidth="10" defaultRowHeight="15" x14ac:dyDescent="0.25"/>
  <cols>
    <col min="1" max="1" width="25.5703125" customWidth="1"/>
    <col min="2" max="2" width="25" customWidth="1"/>
    <col min="3" max="3" width="8.7109375" customWidth="1"/>
    <col min="4" max="4" width="16.85546875" customWidth="1"/>
    <col min="5" max="5" width="9.42578125" customWidth="1"/>
    <col min="6" max="7" width="17.5703125" customWidth="1"/>
    <col min="8" max="8" width="7.7109375" customWidth="1"/>
  </cols>
  <sheetData>
    <row r="2" spans="1:8" x14ac:dyDescent="0.25">
      <c r="A2" s="198" t="s">
        <v>466</v>
      </c>
      <c r="B2" s="619">
        <v>4444444444</v>
      </c>
      <c r="C2" s="619"/>
      <c r="D2" s="619"/>
      <c r="E2" s="619"/>
      <c r="F2" s="619"/>
      <c r="G2" s="619"/>
      <c r="H2" s="619"/>
    </row>
    <row r="3" spans="1:8" x14ac:dyDescent="0.25">
      <c r="A3" s="198"/>
      <c r="B3" s="620">
        <v>56565665</v>
      </c>
      <c r="C3" s="620"/>
      <c r="D3" s="620"/>
      <c r="E3" s="620"/>
      <c r="F3" s="620"/>
      <c r="G3" s="620"/>
      <c r="H3" s="620"/>
    </row>
    <row r="4" spans="1:8" x14ac:dyDescent="0.25">
      <c r="A4" s="198" t="s">
        <v>364</v>
      </c>
      <c r="B4" s="620" t="s">
        <v>6</v>
      </c>
      <c r="C4" s="620"/>
      <c r="D4" s="620"/>
      <c r="E4" s="620"/>
      <c r="F4" s="620"/>
      <c r="G4" s="620"/>
      <c r="H4" s="620"/>
    </row>
    <row r="5" spans="1:8" x14ac:dyDescent="0.25">
      <c r="A5" s="198" t="s">
        <v>365</v>
      </c>
      <c r="B5" s="620" t="s">
        <v>699</v>
      </c>
      <c r="C5" s="620"/>
      <c r="D5" s="620"/>
      <c r="E5" s="620"/>
      <c r="F5" s="620"/>
      <c r="G5" s="620"/>
      <c r="H5" s="620"/>
    </row>
    <row r="6" spans="1:8" x14ac:dyDescent="0.25">
      <c r="A6" s="198" t="s">
        <v>366</v>
      </c>
      <c r="B6" s="620">
        <v>125545</v>
      </c>
      <c r="C6" s="620"/>
      <c r="D6" s="616" t="s">
        <v>367</v>
      </c>
      <c r="E6" s="616"/>
      <c r="F6" s="209">
        <v>46022</v>
      </c>
      <c r="G6" s="47" t="s">
        <v>467</v>
      </c>
      <c r="H6" s="241">
        <v>12</v>
      </c>
    </row>
    <row r="7" spans="1:8" x14ac:dyDescent="0.25">
      <c r="A7" s="204" t="s">
        <v>369</v>
      </c>
      <c r="B7" s="619" t="s">
        <v>8</v>
      </c>
      <c r="C7" s="619"/>
      <c r="D7" s="619"/>
      <c r="E7" s="200"/>
      <c r="F7" s="200"/>
      <c r="G7" s="200"/>
      <c r="H7" s="200"/>
    </row>
    <row r="8" spans="1:8" x14ac:dyDescent="0.25">
      <c r="A8" s="200" t="s">
        <v>468</v>
      </c>
      <c r="B8" s="619" t="s">
        <v>35</v>
      </c>
      <c r="C8" s="619"/>
      <c r="D8" s="619"/>
      <c r="E8" s="619"/>
      <c r="F8" s="619"/>
      <c r="G8" s="619"/>
      <c r="H8" s="619"/>
    </row>
    <row r="9" spans="1:8" x14ac:dyDescent="0.25">
      <c r="A9" s="200"/>
      <c r="B9" s="620" t="s">
        <v>36</v>
      </c>
      <c r="C9" s="620"/>
      <c r="D9" s="620"/>
      <c r="E9" s="620"/>
      <c r="F9" s="620"/>
      <c r="G9" s="620"/>
      <c r="H9" s="620"/>
    </row>
    <row r="10" spans="1:8" x14ac:dyDescent="0.25">
      <c r="A10" s="200" t="s">
        <v>469</v>
      </c>
      <c r="B10" s="199" t="s">
        <v>40</v>
      </c>
      <c r="C10" s="207"/>
      <c r="D10" s="207"/>
      <c r="E10" s="616" t="s">
        <v>470</v>
      </c>
      <c r="F10" s="616"/>
      <c r="G10" s="620" t="s">
        <v>38</v>
      </c>
      <c r="H10" s="620"/>
    </row>
    <row r="11" spans="1:8" x14ac:dyDescent="0.25">
      <c r="A11" s="200" t="s">
        <v>471</v>
      </c>
      <c r="B11" s="240">
        <v>44713</v>
      </c>
      <c r="C11" s="242"/>
      <c r="D11" s="242"/>
      <c r="E11" s="610" t="s">
        <v>472</v>
      </c>
      <c r="F11" s="610"/>
      <c r="G11" s="876">
        <v>45991</v>
      </c>
      <c r="H11" s="876"/>
    </row>
    <row r="12" spans="1:8" ht="6" customHeight="1" x14ac:dyDescent="0.25"/>
    <row r="13" spans="1:8" x14ac:dyDescent="0.25">
      <c r="A13" s="691" t="s">
        <v>1031</v>
      </c>
      <c r="B13" s="691"/>
      <c r="C13" s="691"/>
      <c r="D13" s="691"/>
      <c r="E13" s="691"/>
      <c r="F13" s="691"/>
      <c r="G13" s="691"/>
      <c r="H13" s="691"/>
    </row>
    <row r="14" spans="1:8" x14ac:dyDescent="0.25">
      <c r="A14" s="691" t="s">
        <v>1032</v>
      </c>
      <c r="B14" s="691"/>
      <c r="C14" s="691"/>
      <c r="D14" s="691"/>
      <c r="E14" s="691"/>
      <c r="F14" s="691"/>
      <c r="G14" s="691"/>
      <c r="H14" s="691"/>
    </row>
    <row r="15" spans="1:8" ht="6" customHeight="1" x14ac:dyDescent="0.25">
      <c r="A15" s="263"/>
      <c r="B15" s="263"/>
      <c r="C15" s="263"/>
      <c r="D15" s="263"/>
      <c r="E15" s="263"/>
      <c r="F15" s="263"/>
      <c r="G15" s="263"/>
      <c r="H15" s="263"/>
    </row>
    <row r="16" spans="1:8" x14ac:dyDescent="0.25">
      <c r="A16" s="911" t="s">
        <v>812</v>
      </c>
      <c r="B16" s="911"/>
      <c r="C16" s="1144" t="s">
        <v>813</v>
      </c>
      <c r="D16" s="1144"/>
      <c r="E16" s="1144" t="s">
        <v>813</v>
      </c>
      <c r="F16" s="1144"/>
      <c r="G16" s="1145" t="s">
        <v>855</v>
      </c>
      <c r="H16" s="1146"/>
    </row>
    <row r="17" spans="1:8" x14ac:dyDescent="0.25">
      <c r="A17" s="911"/>
      <c r="B17" s="911"/>
      <c r="C17" s="1143">
        <v>46022</v>
      </c>
      <c r="D17" s="1143"/>
      <c r="E17" s="1143">
        <v>46022</v>
      </c>
      <c r="F17" s="1143"/>
      <c r="G17" s="254" t="s">
        <v>815</v>
      </c>
      <c r="H17" s="254" t="s">
        <v>846</v>
      </c>
    </row>
    <row r="18" spans="1:8" x14ac:dyDescent="0.25">
      <c r="A18" s="905" t="s">
        <v>1033</v>
      </c>
      <c r="B18" s="907"/>
      <c r="C18" s="1048">
        <v>0</v>
      </c>
      <c r="D18" s="1049"/>
      <c r="E18" s="1048">
        <v>0</v>
      </c>
      <c r="F18" s="1049"/>
      <c r="G18" s="347">
        <v>0</v>
      </c>
      <c r="H18" s="337">
        <v>0</v>
      </c>
    </row>
    <row r="19" spans="1:8" x14ac:dyDescent="0.25">
      <c r="A19" s="1064" t="s">
        <v>1034</v>
      </c>
      <c r="B19" s="1066"/>
      <c r="C19" s="1048">
        <v>0</v>
      </c>
      <c r="D19" s="1049"/>
      <c r="E19" s="1048">
        <v>0</v>
      </c>
      <c r="F19" s="1049"/>
      <c r="G19" s="347">
        <v>0</v>
      </c>
      <c r="H19" s="337">
        <v>0</v>
      </c>
    </row>
    <row r="20" spans="1:8" x14ac:dyDescent="0.25">
      <c r="A20" s="905" t="s">
        <v>1035</v>
      </c>
      <c r="B20" s="907"/>
      <c r="C20" s="1048">
        <v>0</v>
      </c>
      <c r="D20" s="1049"/>
      <c r="E20" s="1048">
        <v>0</v>
      </c>
      <c r="F20" s="1049"/>
      <c r="G20" s="347">
        <v>0</v>
      </c>
      <c r="H20" s="337">
        <v>0</v>
      </c>
    </row>
    <row r="21" spans="1:8" x14ac:dyDescent="0.25">
      <c r="A21" s="900" t="s">
        <v>1036</v>
      </c>
      <c r="B21" s="902"/>
      <c r="C21" s="1048">
        <v>0</v>
      </c>
      <c r="D21" s="1049"/>
      <c r="E21" s="1048">
        <v>0</v>
      </c>
      <c r="F21" s="1049"/>
      <c r="G21" s="347">
        <v>0</v>
      </c>
      <c r="H21" s="337">
        <v>0</v>
      </c>
    </row>
    <row r="22" spans="1:8" x14ac:dyDescent="0.25">
      <c r="A22" s="900" t="s">
        <v>1037</v>
      </c>
      <c r="B22" s="902"/>
      <c r="C22" s="1048">
        <v>0</v>
      </c>
      <c r="D22" s="1049"/>
      <c r="E22" s="1048">
        <v>0</v>
      </c>
      <c r="F22" s="1049"/>
      <c r="G22" s="347">
        <v>0</v>
      </c>
      <c r="H22" s="337">
        <v>0</v>
      </c>
    </row>
    <row r="23" spans="1:8" x14ac:dyDescent="0.25">
      <c r="A23" s="900" t="s">
        <v>1038</v>
      </c>
      <c r="B23" s="902"/>
      <c r="C23" s="1048">
        <v>0</v>
      </c>
      <c r="D23" s="1049"/>
      <c r="E23" s="1048">
        <v>0</v>
      </c>
      <c r="F23" s="1049"/>
      <c r="G23" s="347">
        <v>0</v>
      </c>
      <c r="H23" s="337">
        <v>0</v>
      </c>
    </row>
    <row r="24" spans="1:8" x14ac:dyDescent="0.25">
      <c r="A24" s="900" t="s">
        <v>1039</v>
      </c>
      <c r="B24" s="902"/>
      <c r="C24" s="1048">
        <v>0</v>
      </c>
      <c r="D24" s="1049"/>
      <c r="E24" s="1048">
        <v>0</v>
      </c>
      <c r="F24" s="1049"/>
      <c r="G24" s="347">
        <v>0</v>
      </c>
      <c r="H24" s="337">
        <v>0</v>
      </c>
    </row>
    <row r="25" spans="1:8" x14ac:dyDescent="0.25">
      <c r="A25" s="905" t="s">
        <v>1040</v>
      </c>
      <c r="B25" s="907"/>
      <c r="C25" s="1048">
        <v>0</v>
      </c>
      <c r="D25" s="1049"/>
      <c r="E25" s="1048">
        <v>0</v>
      </c>
      <c r="F25" s="1049"/>
      <c r="G25" s="347">
        <v>0</v>
      </c>
      <c r="H25" s="337">
        <v>0</v>
      </c>
    </row>
    <row r="26" spans="1:8" x14ac:dyDescent="0.25">
      <c r="A26" s="1064" t="s">
        <v>1041</v>
      </c>
      <c r="B26" s="1066"/>
      <c r="C26" s="1048">
        <v>0</v>
      </c>
      <c r="D26" s="1049"/>
      <c r="E26" s="1048">
        <v>0</v>
      </c>
      <c r="F26" s="1049"/>
      <c r="G26" s="347">
        <v>0</v>
      </c>
      <c r="H26" s="337">
        <v>0</v>
      </c>
    </row>
    <row r="27" spans="1:8" x14ac:dyDescent="0.25">
      <c r="A27" s="1157" t="s">
        <v>825</v>
      </c>
      <c r="B27" s="1157"/>
      <c r="C27" s="1112">
        <v>0</v>
      </c>
      <c r="D27" s="1112"/>
      <c r="E27" s="1112">
        <v>0</v>
      </c>
      <c r="F27" s="1112"/>
      <c r="G27" s="381">
        <v>0</v>
      </c>
      <c r="H27" s="342">
        <v>0</v>
      </c>
    </row>
    <row r="28" spans="1:8" ht="7.9" customHeight="1" x14ac:dyDescent="0.25">
      <c r="A28" s="1164"/>
      <c r="B28" s="1164"/>
      <c r="C28" s="1147"/>
      <c r="D28" s="1147"/>
      <c r="E28" s="1147"/>
      <c r="F28" s="1147"/>
      <c r="G28" s="1147"/>
      <c r="H28" s="1147"/>
    </row>
    <row r="29" spans="1:8" x14ac:dyDescent="0.25">
      <c r="A29" s="382" t="s">
        <v>1042</v>
      </c>
      <c r="B29" s="245"/>
      <c r="C29" s="245"/>
      <c r="D29" s="245"/>
      <c r="E29" s="245"/>
      <c r="F29" s="245"/>
      <c r="G29" s="245"/>
      <c r="H29" s="245"/>
    </row>
    <row r="30" spans="1:8" x14ac:dyDescent="0.25">
      <c r="A30" s="245" t="s">
        <v>796</v>
      </c>
      <c r="B30" s="245"/>
      <c r="C30" s="245"/>
      <c r="D30" s="245"/>
      <c r="E30" s="245"/>
      <c r="F30" s="245"/>
      <c r="G30" s="245"/>
      <c r="H30" s="245"/>
    </row>
    <row r="31" spans="1:8" x14ac:dyDescent="0.25">
      <c r="A31" s="940"/>
      <c r="B31" s="941"/>
      <c r="C31" s="941"/>
      <c r="D31" s="941"/>
      <c r="E31" s="941"/>
      <c r="F31" s="941"/>
      <c r="G31" s="941"/>
      <c r="H31" s="942"/>
    </row>
    <row r="32" spans="1:8" x14ac:dyDescent="0.25">
      <c r="A32" s="943"/>
      <c r="B32" s="944"/>
      <c r="C32" s="944"/>
      <c r="D32" s="944"/>
      <c r="E32" s="944"/>
      <c r="F32" s="944"/>
      <c r="G32" s="944"/>
      <c r="H32" s="945"/>
    </row>
    <row r="33" spans="1:8" x14ac:dyDescent="0.25">
      <c r="A33" s="943"/>
      <c r="B33" s="944"/>
      <c r="C33" s="944"/>
      <c r="D33" s="944"/>
      <c r="E33" s="944"/>
      <c r="F33" s="944"/>
      <c r="G33" s="944"/>
      <c r="H33" s="945"/>
    </row>
    <row r="34" spans="1:8" x14ac:dyDescent="0.25">
      <c r="A34" s="943"/>
      <c r="B34" s="944"/>
      <c r="C34" s="944"/>
      <c r="D34" s="944"/>
      <c r="E34" s="944"/>
      <c r="F34" s="944"/>
      <c r="G34" s="944"/>
      <c r="H34" s="945"/>
    </row>
    <row r="35" spans="1:8" x14ac:dyDescent="0.25">
      <c r="A35" s="943"/>
      <c r="B35" s="944"/>
      <c r="C35" s="944"/>
      <c r="D35" s="944"/>
      <c r="E35" s="944"/>
      <c r="F35" s="944"/>
      <c r="G35" s="944"/>
      <c r="H35" s="945"/>
    </row>
    <row r="36" spans="1:8" x14ac:dyDescent="0.25">
      <c r="A36" s="946"/>
      <c r="B36" s="947"/>
      <c r="C36" s="947"/>
      <c r="D36" s="947"/>
      <c r="E36" s="947"/>
      <c r="F36" s="947"/>
      <c r="G36" s="947"/>
      <c r="H36" s="948"/>
    </row>
  </sheetData>
  <mergeCells count="56">
    <mergeCell ref="E11:F11"/>
    <mergeCell ref="G11:H11"/>
    <mergeCell ref="B2:H2"/>
    <mergeCell ref="B3:H3"/>
    <mergeCell ref="B4:H4"/>
    <mergeCell ref="B5:H5"/>
    <mergeCell ref="B6:C6"/>
    <mergeCell ref="D6:E6"/>
    <mergeCell ref="B7:D7"/>
    <mergeCell ref="B8:H8"/>
    <mergeCell ref="B9:H9"/>
    <mergeCell ref="E10:F10"/>
    <mergeCell ref="G10:H10"/>
    <mergeCell ref="A13:H13"/>
    <mergeCell ref="A14:H14"/>
    <mergeCell ref="A16:B17"/>
    <mergeCell ref="C16:D16"/>
    <mergeCell ref="E16:F16"/>
    <mergeCell ref="G16:H16"/>
    <mergeCell ref="C17:D17"/>
    <mergeCell ref="E17:F17"/>
    <mergeCell ref="A18:B18"/>
    <mergeCell ref="C18:D18"/>
    <mergeCell ref="E18:F18"/>
    <mergeCell ref="A19:B19"/>
    <mergeCell ref="C19:D19"/>
    <mergeCell ref="E19:F19"/>
    <mergeCell ref="A20:B20"/>
    <mergeCell ref="C20:D20"/>
    <mergeCell ref="E20:F20"/>
    <mergeCell ref="A21:B21"/>
    <mergeCell ref="C21:D21"/>
    <mergeCell ref="E21:F21"/>
    <mergeCell ref="A22:B22"/>
    <mergeCell ref="C22:D22"/>
    <mergeCell ref="E22:F22"/>
    <mergeCell ref="A23:B23"/>
    <mergeCell ref="C23:D23"/>
    <mergeCell ref="E23:F23"/>
    <mergeCell ref="A24:B24"/>
    <mergeCell ref="C24:D24"/>
    <mergeCell ref="E24:F24"/>
    <mergeCell ref="A25:B25"/>
    <mergeCell ref="C25:D25"/>
    <mergeCell ref="E25:F25"/>
    <mergeCell ref="A26:B26"/>
    <mergeCell ref="C26:D26"/>
    <mergeCell ref="E26:F26"/>
    <mergeCell ref="A27:B27"/>
    <mergeCell ref="C27:D27"/>
    <mergeCell ref="E27:F27"/>
    <mergeCell ref="A28:B28"/>
    <mergeCell ref="C28:D28"/>
    <mergeCell ref="E28:F28"/>
    <mergeCell ref="G28:H28"/>
    <mergeCell ref="A31:H3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DD06A-B873-46F4-9158-1656D67D12C2}">
  <dimension ref="A2:P38"/>
  <sheetViews>
    <sheetView workbookViewId="0">
      <selection sqref="A1:XFD1048576"/>
    </sheetView>
  </sheetViews>
  <sheetFormatPr baseColWidth="10" defaultRowHeight="15" x14ac:dyDescent="0.25"/>
  <cols>
    <col min="1" max="1" width="2.85546875" customWidth="1"/>
    <col min="2" max="2" width="36.85546875" customWidth="1"/>
    <col min="3" max="9" width="6" customWidth="1"/>
    <col min="10" max="16" width="11.5703125" customWidth="1"/>
  </cols>
  <sheetData>
    <row r="2" spans="1:16" x14ac:dyDescent="0.25">
      <c r="B2" s="198" t="s">
        <v>466</v>
      </c>
      <c r="C2" s="619">
        <v>4444444444</v>
      </c>
      <c r="D2" s="619"/>
      <c r="E2" s="619"/>
      <c r="F2" s="619"/>
      <c r="G2" s="619"/>
      <c r="H2" s="619"/>
      <c r="I2" s="619"/>
      <c r="J2" s="619"/>
      <c r="K2" s="619"/>
      <c r="L2" s="619"/>
      <c r="M2" s="619"/>
      <c r="N2" s="619"/>
      <c r="O2" s="619"/>
      <c r="P2" s="619"/>
    </row>
    <row r="3" spans="1:16" x14ac:dyDescent="0.25">
      <c r="B3" s="198"/>
      <c r="C3" s="620">
        <v>56565665</v>
      </c>
      <c r="D3" s="620"/>
      <c r="E3" s="620"/>
      <c r="F3" s="620"/>
      <c r="G3" s="620"/>
      <c r="H3" s="620"/>
      <c r="I3" s="620"/>
      <c r="J3" s="620"/>
      <c r="K3" s="620"/>
      <c r="L3" s="620"/>
      <c r="M3" s="620"/>
      <c r="N3" s="620"/>
      <c r="O3" s="620"/>
      <c r="P3" s="620"/>
    </row>
    <row r="4" spans="1:16" x14ac:dyDescent="0.25">
      <c r="B4" s="198" t="s">
        <v>364</v>
      </c>
      <c r="C4" s="620" t="s">
        <v>6</v>
      </c>
      <c r="D4" s="620"/>
      <c r="E4" s="620"/>
      <c r="F4" s="620"/>
      <c r="G4" s="620"/>
      <c r="H4" s="620"/>
      <c r="I4" s="620"/>
      <c r="J4" s="620"/>
      <c r="K4" s="620"/>
      <c r="L4" s="620"/>
      <c r="M4" s="620"/>
      <c r="N4" s="620"/>
      <c r="O4" s="620"/>
      <c r="P4" s="620"/>
    </row>
    <row r="5" spans="1:16" x14ac:dyDescent="0.25">
      <c r="B5" s="198" t="s">
        <v>365</v>
      </c>
      <c r="C5" s="620" t="s">
        <v>699</v>
      </c>
      <c r="D5" s="620"/>
      <c r="E5" s="620"/>
      <c r="F5" s="620"/>
      <c r="G5" s="620"/>
      <c r="H5" s="620"/>
      <c r="I5" s="620"/>
      <c r="J5" s="620"/>
      <c r="K5" s="620"/>
      <c r="L5" s="620"/>
      <c r="M5" s="620"/>
      <c r="N5" s="620"/>
      <c r="O5" s="620"/>
      <c r="P5" s="620"/>
    </row>
    <row r="6" spans="1:16" x14ac:dyDescent="0.25">
      <c r="B6" s="198" t="s">
        <v>366</v>
      </c>
      <c r="C6" s="1184">
        <v>125545</v>
      </c>
      <c r="D6" s="1184"/>
      <c r="E6" s="1184"/>
      <c r="F6" s="1184"/>
      <c r="G6" s="1184"/>
      <c r="H6" s="1184"/>
      <c r="I6" s="1186" t="s">
        <v>367</v>
      </c>
      <c r="J6" s="1186"/>
      <c r="K6" s="1186"/>
      <c r="L6" s="1173">
        <v>46022</v>
      </c>
      <c r="M6" s="1173"/>
      <c r="N6" s="1186" t="s">
        <v>467</v>
      </c>
      <c r="O6" s="1186"/>
      <c r="P6" s="404">
        <v>12</v>
      </c>
    </row>
    <row r="7" spans="1:16" x14ac:dyDescent="0.25">
      <c r="B7" s="204" t="s">
        <v>369</v>
      </c>
      <c r="C7" s="1184" t="s">
        <v>8</v>
      </c>
      <c r="D7" s="1184"/>
      <c r="E7" s="1184"/>
      <c r="F7" s="1184"/>
      <c r="G7" s="1184"/>
      <c r="H7" s="1184"/>
      <c r="I7" s="198"/>
      <c r="J7" s="198"/>
      <c r="K7" s="198"/>
      <c r="L7" s="198"/>
      <c r="M7" s="198"/>
      <c r="N7" s="198"/>
      <c r="O7" s="198"/>
      <c r="P7" s="198"/>
    </row>
    <row r="8" spans="1:16" x14ac:dyDescent="0.25">
      <c r="B8" s="200" t="s">
        <v>468</v>
      </c>
      <c r="C8" s="1185" t="s">
        <v>35</v>
      </c>
      <c r="D8" s="1185"/>
      <c r="E8" s="1185"/>
      <c r="F8" s="1185"/>
      <c r="G8" s="1185"/>
      <c r="H8" s="1185"/>
      <c r="I8" s="1185"/>
      <c r="J8" s="1185"/>
      <c r="K8" s="1185"/>
      <c r="L8" s="1185"/>
      <c r="M8" s="1185"/>
      <c r="N8" s="1185"/>
      <c r="O8" s="1185"/>
      <c r="P8" s="1185"/>
    </row>
    <row r="9" spans="1:16" x14ac:dyDescent="0.25">
      <c r="B9" s="200"/>
      <c r="C9" s="1184" t="s">
        <v>36</v>
      </c>
      <c r="D9" s="1184"/>
      <c r="E9" s="1184"/>
      <c r="F9" s="1184"/>
      <c r="G9" s="1184"/>
      <c r="H9" s="1184"/>
      <c r="I9" s="1184"/>
      <c r="J9" s="1184"/>
      <c r="K9" s="1184"/>
      <c r="L9" s="1184"/>
      <c r="M9" s="1184"/>
      <c r="N9" s="1184"/>
      <c r="O9" s="1184"/>
      <c r="P9" s="1184"/>
    </row>
    <row r="10" spans="1:16" x14ac:dyDescent="0.25">
      <c r="B10" s="200" t="s">
        <v>469</v>
      </c>
      <c r="C10" s="1184" t="s">
        <v>40</v>
      </c>
      <c r="D10" s="1184"/>
      <c r="E10" s="1184"/>
      <c r="F10" s="405"/>
      <c r="G10" s="405"/>
      <c r="H10" s="405"/>
      <c r="I10" s="405"/>
      <c r="J10" s="1186" t="s">
        <v>470</v>
      </c>
      <c r="K10" s="1186"/>
      <c r="L10" s="1186"/>
      <c r="M10" s="1184" t="s">
        <v>38</v>
      </c>
      <c r="N10" s="1184"/>
      <c r="O10" s="1184"/>
      <c r="P10" s="1184"/>
    </row>
    <row r="11" spans="1:16" x14ac:dyDescent="0.25">
      <c r="B11" s="200" t="s">
        <v>471</v>
      </c>
      <c r="C11" s="1173">
        <v>44713</v>
      </c>
      <c r="D11" s="1173"/>
      <c r="E11" s="1173"/>
      <c r="F11" s="406"/>
      <c r="G11" s="406"/>
      <c r="H11" s="406"/>
      <c r="I11" s="406"/>
      <c r="J11" s="1174" t="s">
        <v>472</v>
      </c>
      <c r="K11" s="1174"/>
      <c r="L11" s="1174"/>
      <c r="M11" s="1173">
        <v>45991</v>
      </c>
      <c r="N11" s="1173"/>
      <c r="O11" s="1173"/>
      <c r="P11" s="1173"/>
    </row>
    <row r="13" spans="1:16" ht="15.75" x14ac:dyDescent="0.25">
      <c r="A13" s="287"/>
      <c r="B13" s="1175" t="s">
        <v>1043</v>
      </c>
      <c r="C13" s="1175"/>
      <c r="D13" s="1175"/>
      <c r="E13" s="1175"/>
      <c r="F13" s="1175"/>
      <c r="G13" s="1175"/>
      <c r="H13" s="1175"/>
      <c r="I13" s="1175"/>
      <c r="J13" s="1175"/>
      <c r="K13" s="1175"/>
      <c r="L13" s="1175"/>
      <c r="M13" s="1175"/>
      <c r="N13" s="1175"/>
      <c r="O13" s="1175"/>
      <c r="P13" s="1175"/>
    </row>
    <row r="14" spans="1:16" ht="15.75" x14ac:dyDescent="0.25">
      <c r="A14" s="287"/>
      <c r="B14" s="1176" t="s">
        <v>1044</v>
      </c>
      <c r="C14" s="1176"/>
      <c r="D14" s="1176"/>
      <c r="E14" s="1176"/>
      <c r="F14" s="1176"/>
      <c r="G14" s="1176"/>
      <c r="H14" s="1176"/>
      <c r="I14" s="1176"/>
      <c r="J14" s="1176"/>
      <c r="K14" s="1176"/>
      <c r="L14" s="1176"/>
      <c r="M14" s="1176"/>
      <c r="N14" s="1176"/>
      <c r="O14" s="1176"/>
      <c r="P14" s="1176"/>
    </row>
    <row r="15" spans="1:16" ht="7.15" customHeight="1" x14ac:dyDescent="0.25">
      <c r="A15" s="287"/>
      <c r="B15" s="287"/>
      <c r="C15" s="287"/>
      <c r="D15" s="287"/>
      <c r="E15" s="287"/>
      <c r="F15" s="287"/>
      <c r="G15" s="287"/>
      <c r="H15" s="287"/>
      <c r="I15" s="287"/>
      <c r="J15" s="287"/>
      <c r="K15" s="287"/>
      <c r="L15" s="287"/>
      <c r="M15" s="287"/>
      <c r="N15" s="287"/>
      <c r="O15" s="287"/>
      <c r="P15" s="287"/>
    </row>
    <row r="16" spans="1:16" x14ac:dyDescent="0.25">
      <c r="A16" s="287"/>
      <c r="B16" s="287" t="s">
        <v>1045</v>
      </c>
      <c r="C16" s="287"/>
      <c r="D16" s="287"/>
      <c r="E16" s="287"/>
      <c r="F16" s="287"/>
      <c r="G16" s="287"/>
      <c r="H16" s="287"/>
      <c r="I16" s="287"/>
      <c r="J16" s="287"/>
      <c r="K16" s="287"/>
      <c r="L16" s="287"/>
      <c r="M16" s="287"/>
      <c r="N16" s="287"/>
      <c r="O16" s="287"/>
      <c r="P16" s="287"/>
    </row>
    <row r="17" spans="1:16" x14ac:dyDescent="0.25">
      <c r="A17" s="407"/>
      <c r="B17" s="408" t="s">
        <v>1046</v>
      </c>
      <c r="C17" s="409"/>
      <c r="D17" s="410"/>
      <c r="E17" s="411" t="s">
        <v>1047</v>
      </c>
      <c r="F17" s="410"/>
      <c r="G17" s="410"/>
      <c r="H17" s="410"/>
      <c r="I17" s="412"/>
      <c r="J17" s="413" t="s">
        <v>1048</v>
      </c>
      <c r="K17" s="414"/>
      <c r="L17" s="414"/>
      <c r="M17" s="414"/>
      <c r="N17" s="414"/>
      <c r="O17" s="414"/>
      <c r="P17" s="415"/>
    </row>
    <row r="18" spans="1:16" x14ac:dyDescent="0.25">
      <c r="A18" s="407"/>
      <c r="B18" s="416"/>
      <c r="C18" s="1177" t="s">
        <v>1049</v>
      </c>
      <c r="D18" s="1178"/>
      <c r="E18" s="417" t="s">
        <v>1050</v>
      </c>
      <c r="F18" s="418"/>
      <c r="G18" s="1177" t="s">
        <v>1051</v>
      </c>
      <c r="H18" s="1181"/>
      <c r="I18" s="1167" t="s">
        <v>825</v>
      </c>
      <c r="J18" s="1177" t="s">
        <v>1049</v>
      </c>
      <c r="K18" s="1181"/>
      <c r="L18" s="417" t="s">
        <v>1050</v>
      </c>
      <c r="M18" s="419"/>
      <c r="N18" s="1177" t="s">
        <v>1051</v>
      </c>
      <c r="O18" s="1181"/>
      <c r="P18" s="1167" t="s">
        <v>825</v>
      </c>
    </row>
    <row r="19" spans="1:16" x14ac:dyDescent="0.25">
      <c r="A19" s="407"/>
      <c r="B19" s="310"/>
      <c r="C19" s="1179"/>
      <c r="D19" s="1180"/>
      <c r="E19" s="420" t="s">
        <v>1052</v>
      </c>
      <c r="F19" s="421"/>
      <c r="G19" s="1182"/>
      <c r="H19" s="1183"/>
      <c r="I19" s="1005"/>
      <c r="J19" s="1182"/>
      <c r="K19" s="1183"/>
      <c r="L19" s="420" t="s">
        <v>1052</v>
      </c>
      <c r="M19" s="422"/>
      <c r="N19" s="1182"/>
      <c r="O19" s="1183"/>
      <c r="P19" s="1005"/>
    </row>
    <row r="20" spans="1:16" x14ac:dyDescent="0.25">
      <c r="A20" s="407"/>
      <c r="B20" s="423" t="s">
        <v>1053</v>
      </c>
      <c r="C20" s="424" t="s">
        <v>1054</v>
      </c>
      <c r="D20" s="424" t="s">
        <v>692</v>
      </c>
      <c r="E20" s="424" t="s">
        <v>1054</v>
      </c>
      <c r="F20" s="424" t="s">
        <v>692</v>
      </c>
      <c r="G20" s="424" t="s">
        <v>1054</v>
      </c>
      <c r="H20" s="424" t="s">
        <v>692</v>
      </c>
      <c r="I20" s="425"/>
      <c r="J20" s="424" t="s">
        <v>1054</v>
      </c>
      <c r="K20" s="424" t="s">
        <v>692</v>
      </c>
      <c r="L20" s="424" t="s">
        <v>1054</v>
      </c>
      <c r="M20" s="424" t="s">
        <v>692</v>
      </c>
      <c r="N20" s="424" t="s">
        <v>1054</v>
      </c>
      <c r="O20" s="424" t="s">
        <v>692</v>
      </c>
      <c r="P20" s="426"/>
    </row>
    <row r="21" spans="1:16" x14ac:dyDescent="0.25">
      <c r="A21" s="427" t="s">
        <v>1055</v>
      </c>
      <c r="B21" s="428" t="s">
        <v>1056</v>
      </c>
      <c r="C21" s="315"/>
      <c r="D21" s="315"/>
      <c r="E21" s="315"/>
      <c r="F21" s="315"/>
      <c r="G21" s="315"/>
      <c r="H21" s="315"/>
      <c r="I21" s="429">
        <v>0</v>
      </c>
      <c r="J21" s="315"/>
      <c r="K21" s="315"/>
      <c r="L21" s="315"/>
      <c r="M21" s="315"/>
      <c r="N21" s="315"/>
      <c r="O21" s="315"/>
      <c r="P21" s="429">
        <v>0</v>
      </c>
    </row>
    <row r="22" spans="1:16" x14ac:dyDescent="0.25">
      <c r="A22" s="427" t="s">
        <v>1057</v>
      </c>
      <c r="B22" s="428" t="s">
        <v>1058</v>
      </c>
      <c r="C22" s="315"/>
      <c r="D22" s="315"/>
      <c r="E22" s="315"/>
      <c r="F22" s="315"/>
      <c r="G22" s="315"/>
      <c r="H22" s="315"/>
      <c r="I22" s="429"/>
      <c r="J22" s="315"/>
      <c r="K22" s="315"/>
      <c r="L22" s="315"/>
      <c r="M22" s="315"/>
      <c r="N22" s="315"/>
      <c r="O22" s="315"/>
      <c r="P22" s="429"/>
    </row>
    <row r="23" spans="1:16" ht="22.5" x14ac:dyDescent="0.25">
      <c r="A23" s="427" t="s">
        <v>1059</v>
      </c>
      <c r="B23" s="428" t="s">
        <v>1060</v>
      </c>
      <c r="C23" s="315"/>
      <c r="D23" s="315"/>
      <c r="E23" s="315"/>
      <c r="F23" s="315"/>
      <c r="G23" s="315"/>
      <c r="H23" s="315"/>
      <c r="I23" s="429"/>
      <c r="J23" s="315"/>
      <c r="K23" s="315"/>
      <c r="L23" s="315"/>
      <c r="M23" s="315"/>
      <c r="N23" s="315"/>
      <c r="O23" s="315"/>
      <c r="P23" s="429"/>
    </row>
    <row r="24" spans="1:16" ht="22.5" x14ac:dyDescent="0.25">
      <c r="A24" s="427" t="s">
        <v>1061</v>
      </c>
      <c r="B24" s="428" t="s">
        <v>1062</v>
      </c>
      <c r="C24" s="315"/>
      <c r="D24" s="315"/>
      <c r="E24" s="315"/>
      <c r="F24" s="315"/>
      <c r="G24" s="315"/>
      <c r="H24" s="315"/>
      <c r="I24" s="429"/>
      <c r="J24" s="315"/>
      <c r="K24" s="315"/>
      <c r="L24" s="315"/>
      <c r="M24" s="315"/>
      <c r="N24" s="315"/>
      <c r="O24" s="315"/>
      <c r="P24" s="429"/>
    </row>
    <row r="25" spans="1:16" x14ac:dyDescent="0.25">
      <c r="A25" s="427" t="s">
        <v>1063</v>
      </c>
      <c r="B25" s="430" t="s">
        <v>1064</v>
      </c>
      <c r="C25" s="431">
        <v>0</v>
      </c>
      <c r="D25" s="431">
        <v>0</v>
      </c>
      <c r="E25" s="431">
        <v>0</v>
      </c>
      <c r="F25" s="431">
        <v>0</v>
      </c>
      <c r="G25" s="431">
        <v>0</v>
      </c>
      <c r="H25" s="431">
        <v>0</v>
      </c>
      <c r="I25" s="432">
        <v>0</v>
      </c>
      <c r="J25" s="431">
        <v>0</v>
      </c>
      <c r="K25" s="431">
        <v>0</v>
      </c>
      <c r="L25" s="431">
        <v>0</v>
      </c>
      <c r="M25" s="431">
        <v>0</v>
      </c>
      <c r="N25" s="431">
        <v>0</v>
      </c>
      <c r="O25" s="431">
        <v>0</v>
      </c>
      <c r="P25" s="432">
        <v>0</v>
      </c>
    </row>
    <row r="26" spans="1:16" x14ac:dyDescent="0.25">
      <c r="A26" s="427" t="s">
        <v>1065</v>
      </c>
      <c r="B26" s="433" t="s">
        <v>1066</v>
      </c>
      <c r="C26" s="315"/>
      <c r="D26" s="315"/>
      <c r="E26" s="315"/>
      <c r="F26" s="315"/>
      <c r="G26" s="315"/>
      <c r="H26" s="315"/>
      <c r="I26" s="429">
        <v>0</v>
      </c>
      <c r="J26" s="315"/>
      <c r="K26" s="315"/>
      <c r="L26" s="315"/>
      <c r="M26" s="315"/>
      <c r="N26" s="315"/>
      <c r="O26" s="315"/>
      <c r="P26" s="429">
        <v>0</v>
      </c>
    </row>
    <row r="27" spans="1:16" x14ac:dyDescent="0.25">
      <c r="A27" s="427" t="s">
        <v>1067</v>
      </c>
      <c r="B27" s="433" t="s">
        <v>1068</v>
      </c>
      <c r="C27" s="315"/>
      <c r="D27" s="315"/>
      <c r="E27" s="315"/>
      <c r="F27" s="315"/>
      <c r="G27" s="315"/>
      <c r="H27" s="315"/>
      <c r="I27" s="429">
        <v>0</v>
      </c>
      <c r="J27" s="315"/>
      <c r="K27" s="315"/>
      <c r="L27" s="315"/>
      <c r="M27" s="315"/>
      <c r="N27" s="315"/>
      <c r="O27" s="315"/>
      <c r="P27" s="429">
        <v>0</v>
      </c>
    </row>
    <row r="28" spans="1:16" ht="7.9" customHeight="1" x14ac:dyDescent="0.25">
      <c r="A28" s="287"/>
      <c r="B28" s="434"/>
      <c r="C28" s="287"/>
      <c r="D28" s="287"/>
      <c r="E28" s="287"/>
      <c r="F28" s="287"/>
      <c r="G28" s="287"/>
      <c r="H28" s="287"/>
      <c r="I28" s="287"/>
      <c r="J28" s="287"/>
      <c r="K28" s="287"/>
      <c r="L28" s="287"/>
      <c r="M28" s="287"/>
      <c r="N28" s="287"/>
      <c r="O28" s="287"/>
      <c r="P28" s="287"/>
    </row>
    <row r="29" spans="1:16" x14ac:dyDescent="0.25">
      <c r="A29" s="287"/>
      <c r="B29" s="434"/>
      <c r="C29" s="287"/>
      <c r="D29" s="287"/>
      <c r="E29" s="287"/>
      <c r="F29" s="287"/>
      <c r="G29" s="287"/>
      <c r="H29" s="287"/>
      <c r="I29" s="407"/>
      <c r="J29" s="1168" t="s">
        <v>1069</v>
      </c>
      <c r="K29" s="1169"/>
      <c r="L29" s="287"/>
      <c r="M29" s="287"/>
      <c r="N29" s="287"/>
      <c r="O29" s="287"/>
      <c r="P29" s="435"/>
    </row>
    <row r="30" spans="1:16" x14ac:dyDescent="0.25">
      <c r="A30" s="287"/>
      <c r="B30" s="436" t="s">
        <v>1070</v>
      </c>
      <c r="C30" s="287"/>
      <c r="D30" s="287"/>
      <c r="E30" s="287"/>
      <c r="F30" s="287"/>
      <c r="G30" s="287"/>
      <c r="H30" s="287"/>
      <c r="I30" s="407"/>
      <c r="J30" s="1170" t="s">
        <v>1071</v>
      </c>
      <c r="K30" s="1171"/>
      <c r="L30" s="287"/>
      <c r="M30" s="287"/>
      <c r="N30" s="287"/>
      <c r="O30" s="287"/>
      <c r="P30" s="435"/>
    </row>
    <row r="31" spans="1:16" x14ac:dyDescent="0.25">
      <c r="A31" s="427" t="s">
        <v>1072</v>
      </c>
      <c r="B31" s="437" t="s">
        <v>1056</v>
      </c>
      <c r="C31" s="438"/>
      <c r="D31" s="438"/>
      <c r="E31" s="438"/>
      <c r="F31" s="438"/>
      <c r="G31" s="438"/>
      <c r="H31" s="438"/>
      <c r="I31" s="432">
        <v>0</v>
      </c>
      <c r="J31" s="438"/>
      <c r="K31" s="439"/>
      <c r="L31" s="440" t="s">
        <v>1073</v>
      </c>
      <c r="M31" s="440"/>
      <c r="N31" s="440"/>
      <c r="O31" s="441"/>
      <c r="P31" s="442"/>
    </row>
    <row r="32" spans="1:16" x14ac:dyDescent="0.25">
      <c r="A32" s="427" t="s">
        <v>1074</v>
      </c>
      <c r="B32" s="428" t="s">
        <v>1058</v>
      </c>
      <c r="C32" s="315"/>
      <c r="D32" s="315"/>
      <c r="E32" s="315"/>
      <c r="F32" s="315"/>
      <c r="G32" s="315"/>
      <c r="H32" s="315"/>
      <c r="I32" s="429"/>
      <c r="J32" s="315"/>
      <c r="K32" s="313"/>
      <c r="L32" s="1172"/>
      <c r="M32" s="1172"/>
      <c r="N32" s="1172"/>
      <c r="O32" s="1172"/>
      <c r="P32" s="1172"/>
    </row>
    <row r="33" spans="1:16" ht="22.5" x14ac:dyDescent="0.25">
      <c r="A33" s="427" t="s">
        <v>1075</v>
      </c>
      <c r="B33" s="428" t="s">
        <v>1060</v>
      </c>
      <c r="C33" s="315"/>
      <c r="D33" s="315"/>
      <c r="E33" s="315"/>
      <c r="F33" s="315"/>
      <c r="G33" s="315"/>
      <c r="H33" s="315"/>
      <c r="I33" s="429"/>
      <c r="J33" s="315"/>
      <c r="K33" s="313"/>
      <c r="L33" s="1172"/>
      <c r="M33" s="1172"/>
      <c r="N33" s="1172"/>
      <c r="O33" s="1172"/>
      <c r="P33" s="1172"/>
    </row>
    <row r="34" spans="1:16" ht="22.5" x14ac:dyDescent="0.25">
      <c r="A34" s="427" t="s">
        <v>1076</v>
      </c>
      <c r="B34" s="428" t="s">
        <v>1062</v>
      </c>
      <c r="C34" s="443"/>
      <c r="D34" s="443"/>
      <c r="E34" s="443"/>
      <c r="F34" s="443"/>
      <c r="G34" s="443"/>
      <c r="H34" s="443"/>
      <c r="I34" s="444"/>
      <c r="J34" s="445"/>
      <c r="K34" s="446"/>
      <c r="L34" s="1172"/>
      <c r="M34" s="1172"/>
      <c r="N34" s="1172"/>
      <c r="O34" s="1172"/>
      <c r="P34" s="1172"/>
    </row>
    <row r="35" spans="1:16" x14ac:dyDescent="0.25">
      <c r="A35" s="427" t="s">
        <v>1077</v>
      </c>
      <c r="B35" s="430" t="s">
        <v>1078</v>
      </c>
      <c r="C35" s="431">
        <v>0</v>
      </c>
      <c r="D35" s="431">
        <v>0</v>
      </c>
      <c r="E35" s="431">
        <v>0</v>
      </c>
      <c r="F35" s="431">
        <v>0</v>
      </c>
      <c r="G35" s="431">
        <v>0</v>
      </c>
      <c r="H35" s="431">
        <v>0</v>
      </c>
      <c r="I35" s="432">
        <v>0</v>
      </c>
      <c r="J35" s="431">
        <v>0</v>
      </c>
      <c r="K35" s="432">
        <v>0</v>
      </c>
      <c r="L35" s="1172"/>
      <c r="M35" s="1172"/>
      <c r="N35" s="1172"/>
      <c r="O35" s="1172"/>
      <c r="P35" s="1172"/>
    </row>
    <row r="36" spans="1:16" x14ac:dyDescent="0.25">
      <c r="A36" s="427" t="s">
        <v>1079</v>
      </c>
      <c r="B36" s="430" t="s">
        <v>1066</v>
      </c>
      <c r="C36" s="315"/>
      <c r="D36" s="315"/>
      <c r="E36" s="315"/>
      <c r="F36" s="315"/>
      <c r="G36" s="315"/>
      <c r="H36" s="315"/>
      <c r="I36" s="429">
        <v>0</v>
      </c>
      <c r="J36" s="315"/>
      <c r="K36" s="313"/>
      <c r="L36" s="1172"/>
      <c r="M36" s="1172"/>
      <c r="N36" s="1172"/>
      <c r="O36" s="1172"/>
      <c r="P36" s="1172"/>
    </row>
    <row r="37" spans="1:16" x14ac:dyDescent="0.25">
      <c r="A37" s="427" t="s">
        <v>1080</v>
      </c>
      <c r="B37" s="430" t="s">
        <v>1068</v>
      </c>
      <c r="C37" s="315"/>
      <c r="D37" s="315"/>
      <c r="E37" s="315"/>
      <c r="F37" s="315"/>
      <c r="G37" s="315"/>
      <c r="H37" s="315"/>
      <c r="I37" s="429">
        <v>0</v>
      </c>
      <c r="J37" s="315"/>
      <c r="K37" s="313"/>
      <c r="L37" s="447" t="s">
        <v>1081</v>
      </c>
      <c r="M37" s="448"/>
      <c r="N37" s="448"/>
      <c r="O37" s="448"/>
      <c r="P37" s="448"/>
    </row>
    <row r="38" spans="1:16" x14ac:dyDescent="0.25">
      <c r="A38" s="427" t="s">
        <v>1082</v>
      </c>
      <c r="B38" s="449" t="s">
        <v>1083</v>
      </c>
      <c r="C38" s="450">
        <v>0</v>
      </c>
      <c r="D38" s="450">
        <v>0</v>
      </c>
      <c r="E38" s="450">
        <v>0</v>
      </c>
      <c r="F38" s="450">
        <v>0</v>
      </c>
      <c r="G38" s="450">
        <v>0</v>
      </c>
      <c r="H38" s="450">
        <v>0</v>
      </c>
      <c r="I38" s="450">
        <v>0</v>
      </c>
      <c r="J38" s="451"/>
      <c r="K38" s="452"/>
      <c r="L38" s="447" t="s">
        <v>1084</v>
      </c>
      <c r="M38" s="448"/>
      <c r="N38" s="448"/>
      <c r="O38" s="448"/>
      <c r="P38" s="448"/>
    </row>
  </sheetData>
  <mergeCells count="28">
    <mergeCell ref="C2:P2"/>
    <mergeCell ref="C3:P3"/>
    <mergeCell ref="C4:P4"/>
    <mergeCell ref="C5:P5"/>
    <mergeCell ref="C6:H6"/>
    <mergeCell ref="I6:K6"/>
    <mergeCell ref="L6:M6"/>
    <mergeCell ref="N6:O6"/>
    <mergeCell ref="C7:H7"/>
    <mergeCell ref="C8:P8"/>
    <mergeCell ref="C9:P9"/>
    <mergeCell ref="C10:E10"/>
    <mergeCell ref="J10:L10"/>
    <mergeCell ref="M10:P10"/>
    <mergeCell ref="P18:P19"/>
    <mergeCell ref="J29:K29"/>
    <mergeCell ref="J30:K30"/>
    <mergeCell ref="L32:P36"/>
    <mergeCell ref="C11:E11"/>
    <mergeCell ref="J11:L11"/>
    <mergeCell ref="M11:P11"/>
    <mergeCell ref="B13:P13"/>
    <mergeCell ref="B14:P14"/>
    <mergeCell ref="C18:D19"/>
    <mergeCell ref="G18:H19"/>
    <mergeCell ref="I18:I19"/>
    <mergeCell ref="J18:K19"/>
    <mergeCell ref="N18:O1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817CF-2701-4B6E-92AA-8FCFB6E6063D}">
  <dimension ref="A2:H43"/>
  <sheetViews>
    <sheetView workbookViewId="0">
      <selection sqref="A1:XFD1048576"/>
    </sheetView>
  </sheetViews>
  <sheetFormatPr baseColWidth="10" defaultRowHeight="15" x14ac:dyDescent="0.25"/>
  <cols>
    <col min="1" max="1" width="25.5703125" customWidth="1"/>
    <col min="2" max="2" width="19.85546875" customWidth="1"/>
    <col min="3" max="3" width="8.7109375" customWidth="1"/>
    <col min="4" max="4" width="13.7109375" customWidth="1"/>
    <col min="5" max="5" width="6.28515625" customWidth="1"/>
    <col min="6" max="6" width="20.28515625" customWidth="1"/>
    <col min="7" max="7" width="17.5703125" customWidth="1"/>
    <col min="8" max="8" width="7.7109375" customWidth="1"/>
  </cols>
  <sheetData>
    <row r="2" spans="1:8" x14ac:dyDescent="0.25">
      <c r="A2" s="198" t="s">
        <v>466</v>
      </c>
      <c r="B2" s="619">
        <v>4444444444</v>
      </c>
      <c r="C2" s="619"/>
      <c r="D2" s="619"/>
      <c r="E2" s="619"/>
      <c r="F2" s="619"/>
      <c r="G2" s="619"/>
      <c r="H2" s="619"/>
    </row>
    <row r="3" spans="1:8" x14ac:dyDescent="0.25">
      <c r="A3" s="198"/>
      <c r="B3" s="620">
        <v>56565665</v>
      </c>
      <c r="C3" s="620"/>
      <c r="D3" s="620"/>
      <c r="E3" s="620"/>
      <c r="F3" s="620"/>
      <c r="G3" s="620"/>
      <c r="H3" s="620"/>
    </row>
    <row r="4" spans="1:8" x14ac:dyDescent="0.25">
      <c r="A4" s="198" t="s">
        <v>364</v>
      </c>
      <c r="B4" s="620" t="s">
        <v>6</v>
      </c>
      <c r="C4" s="620"/>
      <c r="D4" s="620"/>
      <c r="E4" s="620"/>
      <c r="F4" s="620"/>
      <c r="G4" s="620"/>
      <c r="H4" s="620"/>
    </row>
    <row r="5" spans="1:8" x14ac:dyDescent="0.25">
      <c r="A5" s="198" t="s">
        <v>365</v>
      </c>
      <c r="B5" s="620" t="s">
        <v>699</v>
      </c>
      <c r="C5" s="620"/>
      <c r="D5" s="620"/>
      <c r="E5" s="620"/>
      <c r="F5" s="620"/>
      <c r="G5" s="620"/>
      <c r="H5" s="620"/>
    </row>
    <row r="6" spans="1:8" x14ac:dyDescent="0.25">
      <c r="A6" s="198" t="s">
        <v>366</v>
      </c>
      <c r="B6" s="620">
        <v>125545</v>
      </c>
      <c r="C6" s="620"/>
      <c r="D6" s="616" t="s">
        <v>367</v>
      </c>
      <c r="E6" s="616"/>
      <c r="F6" s="209">
        <v>46022</v>
      </c>
      <c r="G6" s="47" t="s">
        <v>467</v>
      </c>
      <c r="H6" s="241">
        <v>12</v>
      </c>
    </row>
    <row r="7" spans="1:8" x14ac:dyDescent="0.25">
      <c r="A7" s="204" t="s">
        <v>369</v>
      </c>
      <c r="B7" s="619" t="s">
        <v>8</v>
      </c>
      <c r="C7" s="619"/>
      <c r="D7" s="619"/>
      <c r="E7" s="200"/>
      <c r="F7" s="200"/>
      <c r="G7" s="200"/>
      <c r="H7" s="200"/>
    </row>
    <row r="8" spans="1:8" x14ac:dyDescent="0.25">
      <c r="A8" s="200" t="s">
        <v>468</v>
      </c>
      <c r="B8" s="619" t="s">
        <v>35</v>
      </c>
      <c r="C8" s="619"/>
      <c r="D8" s="619"/>
      <c r="E8" s="619"/>
      <c r="F8" s="619"/>
      <c r="G8" s="619"/>
      <c r="H8" s="619"/>
    </row>
    <row r="9" spans="1:8" x14ac:dyDescent="0.25">
      <c r="A9" s="200"/>
      <c r="B9" s="620" t="s">
        <v>36</v>
      </c>
      <c r="C9" s="620"/>
      <c r="D9" s="620"/>
      <c r="E9" s="620"/>
      <c r="F9" s="620"/>
      <c r="G9" s="620"/>
      <c r="H9" s="620"/>
    </row>
    <row r="10" spans="1:8" x14ac:dyDescent="0.25">
      <c r="A10" s="200" t="s">
        <v>469</v>
      </c>
      <c r="B10" s="199" t="s">
        <v>40</v>
      </c>
      <c r="C10" s="207"/>
      <c r="D10" s="207"/>
      <c r="E10" s="616" t="s">
        <v>470</v>
      </c>
      <c r="F10" s="616"/>
      <c r="G10" s="620" t="s">
        <v>38</v>
      </c>
      <c r="H10" s="620"/>
    </row>
    <row r="11" spans="1:8" x14ac:dyDescent="0.25">
      <c r="A11" s="200" t="s">
        <v>471</v>
      </c>
      <c r="B11" s="240">
        <v>44713</v>
      </c>
      <c r="C11" s="242"/>
      <c r="D11" s="242"/>
      <c r="E11" s="610" t="s">
        <v>472</v>
      </c>
      <c r="F11" s="610"/>
      <c r="G11" s="876">
        <v>45991</v>
      </c>
      <c r="H11" s="876"/>
    </row>
    <row r="12" spans="1:8" ht="9" customHeight="1" x14ac:dyDescent="0.25"/>
    <row r="13" spans="1:8" x14ac:dyDescent="0.25">
      <c r="A13" s="691" t="s">
        <v>1085</v>
      </c>
      <c r="B13" s="691"/>
      <c r="C13" s="691"/>
      <c r="D13" s="691"/>
      <c r="E13" s="691"/>
      <c r="F13" s="691"/>
      <c r="G13" s="691"/>
      <c r="H13" s="691"/>
    </row>
    <row r="14" spans="1:8" x14ac:dyDescent="0.25">
      <c r="A14" s="691" t="s">
        <v>1086</v>
      </c>
      <c r="B14" s="691"/>
      <c r="C14" s="691"/>
      <c r="D14" s="691"/>
      <c r="E14" s="691"/>
      <c r="F14" s="691"/>
      <c r="G14" s="691"/>
      <c r="H14" s="691"/>
    </row>
    <row r="15" spans="1:8" ht="10.15" customHeight="1" x14ac:dyDescent="0.25">
      <c r="A15" s="263"/>
      <c r="B15" s="263"/>
      <c r="C15" s="263"/>
      <c r="D15" s="263"/>
      <c r="E15" s="263"/>
      <c r="F15" s="263"/>
      <c r="G15" s="263"/>
      <c r="H15" s="263"/>
    </row>
    <row r="16" spans="1:8" ht="14.45" customHeight="1" x14ac:dyDescent="0.25">
      <c r="A16" s="911" t="s">
        <v>812</v>
      </c>
      <c r="B16" s="911"/>
      <c r="C16" s="1144" t="s">
        <v>813</v>
      </c>
      <c r="D16" s="1144"/>
      <c r="E16" s="1144" t="s">
        <v>813</v>
      </c>
      <c r="F16" s="1144"/>
      <c r="G16" s="1187" t="s">
        <v>855</v>
      </c>
      <c r="H16" s="1188"/>
    </row>
    <row r="17" spans="1:8" x14ac:dyDescent="0.25">
      <c r="A17" s="911"/>
      <c r="B17" s="911"/>
      <c r="C17" s="1143">
        <v>46022</v>
      </c>
      <c r="D17" s="1143"/>
      <c r="E17" s="1143">
        <v>46022</v>
      </c>
      <c r="F17" s="1143"/>
      <c r="G17" s="254" t="s">
        <v>815</v>
      </c>
      <c r="H17" s="254" t="s">
        <v>846</v>
      </c>
    </row>
    <row r="18" spans="1:8" x14ac:dyDescent="0.25">
      <c r="A18" s="905" t="s">
        <v>1087</v>
      </c>
      <c r="B18" s="907"/>
      <c r="C18" s="1048">
        <v>0</v>
      </c>
      <c r="D18" s="1049"/>
      <c r="E18" s="1048">
        <v>0</v>
      </c>
      <c r="F18" s="1049"/>
      <c r="G18" s="347">
        <v>0</v>
      </c>
      <c r="H18" s="337">
        <v>0</v>
      </c>
    </row>
    <row r="19" spans="1:8" x14ac:dyDescent="0.25">
      <c r="A19" s="905" t="s">
        <v>1088</v>
      </c>
      <c r="B19" s="907"/>
      <c r="C19" s="1048">
        <v>0</v>
      </c>
      <c r="D19" s="1049"/>
      <c r="E19" s="1048">
        <v>0</v>
      </c>
      <c r="F19" s="1049"/>
      <c r="G19" s="347">
        <v>0</v>
      </c>
      <c r="H19" s="337">
        <v>0</v>
      </c>
    </row>
    <row r="20" spans="1:8" x14ac:dyDescent="0.25">
      <c r="A20" s="905" t="s">
        <v>1089</v>
      </c>
      <c r="B20" s="907"/>
      <c r="C20" s="1048">
        <v>0</v>
      </c>
      <c r="D20" s="1049"/>
      <c r="E20" s="1048">
        <v>0</v>
      </c>
      <c r="F20" s="1049"/>
      <c r="G20" s="347">
        <v>0</v>
      </c>
      <c r="H20" s="337">
        <v>0</v>
      </c>
    </row>
    <row r="21" spans="1:8" x14ac:dyDescent="0.25">
      <c r="A21" s="905" t="s">
        <v>1090</v>
      </c>
      <c r="B21" s="907"/>
      <c r="C21" s="1048">
        <v>0</v>
      </c>
      <c r="D21" s="1049"/>
      <c r="E21" s="1048">
        <v>0</v>
      </c>
      <c r="F21" s="1049"/>
      <c r="G21" s="347">
        <v>0</v>
      </c>
      <c r="H21" s="337">
        <v>0</v>
      </c>
    </row>
    <row r="22" spans="1:8" x14ac:dyDescent="0.25">
      <c r="A22" s="905" t="s">
        <v>1091</v>
      </c>
      <c r="B22" s="907"/>
      <c r="C22" s="1048">
        <v>0</v>
      </c>
      <c r="D22" s="1049"/>
      <c r="E22" s="1048">
        <v>0</v>
      </c>
      <c r="F22" s="1049"/>
      <c r="G22" s="347">
        <v>0</v>
      </c>
      <c r="H22" s="337">
        <v>0</v>
      </c>
    </row>
    <row r="23" spans="1:8" x14ac:dyDescent="0.25">
      <c r="A23" s="905" t="s">
        <v>1092</v>
      </c>
      <c r="B23" s="907"/>
      <c r="C23" s="1048">
        <v>0</v>
      </c>
      <c r="D23" s="1049"/>
      <c r="E23" s="1048">
        <v>0</v>
      </c>
      <c r="F23" s="1049"/>
      <c r="G23" s="347">
        <v>0</v>
      </c>
      <c r="H23" s="337">
        <v>0</v>
      </c>
    </row>
    <row r="24" spans="1:8" ht="32.450000000000003" customHeight="1" x14ac:dyDescent="0.25">
      <c r="A24" s="900" t="s">
        <v>1093</v>
      </c>
      <c r="B24" s="902"/>
      <c r="C24" s="1048">
        <v>0</v>
      </c>
      <c r="D24" s="1049"/>
      <c r="E24" s="1048">
        <v>0</v>
      </c>
      <c r="F24" s="1049"/>
      <c r="G24" s="347">
        <v>0</v>
      </c>
      <c r="H24" s="337">
        <v>0</v>
      </c>
    </row>
    <row r="25" spans="1:8" x14ac:dyDescent="0.25">
      <c r="A25" s="1126" t="s">
        <v>1094</v>
      </c>
      <c r="B25" s="1127"/>
      <c r="C25" s="1119">
        <v>0</v>
      </c>
      <c r="D25" s="1120"/>
      <c r="E25" s="1119">
        <v>0</v>
      </c>
      <c r="F25" s="1120"/>
      <c r="G25" s="381">
        <v>0</v>
      </c>
      <c r="H25" s="342">
        <v>0</v>
      </c>
    </row>
    <row r="26" spans="1:8" x14ac:dyDescent="0.25">
      <c r="A26" s="900" t="s">
        <v>1095</v>
      </c>
      <c r="B26" s="902"/>
      <c r="C26" s="1048">
        <v>0</v>
      </c>
      <c r="D26" s="1049"/>
      <c r="E26" s="1048">
        <v>0</v>
      </c>
      <c r="F26" s="1049"/>
      <c r="G26" s="347">
        <v>0</v>
      </c>
      <c r="H26" s="337">
        <v>0</v>
      </c>
    </row>
    <row r="27" spans="1:8" x14ac:dyDescent="0.25">
      <c r="A27" s="900" t="s">
        <v>1096</v>
      </c>
      <c r="B27" s="902"/>
      <c r="C27" s="1048">
        <v>0</v>
      </c>
      <c r="D27" s="1049"/>
      <c r="E27" s="1048">
        <v>0</v>
      </c>
      <c r="F27" s="1049"/>
      <c r="G27" s="347">
        <v>0</v>
      </c>
      <c r="H27" s="337">
        <v>0</v>
      </c>
    </row>
    <row r="28" spans="1:8" x14ac:dyDescent="0.25">
      <c r="A28" s="900" t="s">
        <v>1097</v>
      </c>
      <c r="B28" s="902"/>
      <c r="C28" s="1048">
        <v>0</v>
      </c>
      <c r="D28" s="1049"/>
      <c r="E28" s="1048">
        <v>0</v>
      </c>
      <c r="F28" s="1049"/>
      <c r="G28" s="347">
        <v>0</v>
      </c>
      <c r="H28" s="337">
        <v>0</v>
      </c>
    </row>
    <row r="29" spans="1:8" x14ac:dyDescent="0.25">
      <c r="A29" s="900" t="s">
        <v>1098</v>
      </c>
      <c r="B29" s="902"/>
      <c r="C29" s="1048">
        <v>0</v>
      </c>
      <c r="D29" s="1049"/>
      <c r="E29" s="1048">
        <v>0</v>
      </c>
      <c r="F29" s="1049"/>
      <c r="G29" s="347">
        <v>0</v>
      </c>
      <c r="H29" s="337">
        <v>0</v>
      </c>
    </row>
    <row r="30" spans="1:8" x14ac:dyDescent="0.25">
      <c r="A30" s="1129" t="s">
        <v>1099</v>
      </c>
      <c r="B30" s="1130"/>
      <c r="C30" s="1067">
        <v>0</v>
      </c>
      <c r="D30" s="1068"/>
      <c r="E30" s="1067">
        <v>0</v>
      </c>
      <c r="F30" s="1068"/>
      <c r="G30" s="347">
        <v>0</v>
      </c>
      <c r="H30" s="337">
        <v>0</v>
      </c>
    </row>
    <row r="31" spans="1:8" x14ac:dyDescent="0.25">
      <c r="A31" s="900" t="s">
        <v>1100</v>
      </c>
      <c r="B31" s="902"/>
      <c r="C31" s="1048">
        <v>0</v>
      </c>
      <c r="D31" s="1049"/>
      <c r="E31" s="1048">
        <v>0</v>
      </c>
      <c r="F31" s="1049"/>
      <c r="G31" s="347">
        <v>0</v>
      </c>
      <c r="H31" s="337">
        <v>0</v>
      </c>
    </row>
    <row r="32" spans="1:8" x14ac:dyDescent="0.25">
      <c r="A32" s="1129" t="s">
        <v>1101</v>
      </c>
      <c r="B32" s="1130"/>
      <c r="C32" s="1067">
        <v>0</v>
      </c>
      <c r="D32" s="1068"/>
      <c r="E32" s="1067">
        <v>0</v>
      </c>
      <c r="F32" s="1068"/>
      <c r="G32" s="347">
        <v>0</v>
      </c>
      <c r="H32" s="337">
        <v>0</v>
      </c>
    </row>
    <row r="33" spans="1:8" ht="37.15" customHeight="1" x14ac:dyDescent="0.25">
      <c r="A33" s="900" t="s">
        <v>1102</v>
      </c>
      <c r="B33" s="902"/>
      <c r="C33" s="1048">
        <v>0</v>
      </c>
      <c r="D33" s="1049"/>
      <c r="E33" s="1048">
        <v>0</v>
      </c>
      <c r="F33" s="1049"/>
      <c r="G33" s="347">
        <v>0</v>
      </c>
      <c r="H33" s="337">
        <v>0</v>
      </c>
    </row>
    <row r="34" spans="1:8" x14ac:dyDescent="0.25">
      <c r="A34" s="1126" t="s">
        <v>1103</v>
      </c>
      <c r="B34" s="1127"/>
      <c r="C34" s="1119">
        <v>0</v>
      </c>
      <c r="D34" s="1120"/>
      <c r="E34" s="1119">
        <v>0</v>
      </c>
      <c r="F34" s="1120"/>
      <c r="G34" s="381">
        <v>0</v>
      </c>
      <c r="H34" s="342">
        <v>0</v>
      </c>
    </row>
    <row r="35" spans="1:8" ht="8.4499999999999993" customHeight="1" x14ac:dyDescent="0.25">
      <c r="A35" s="1164"/>
      <c r="B35" s="1164"/>
      <c r="C35" s="1147"/>
      <c r="D35" s="1147"/>
      <c r="E35" s="1147"/>
      <c r="F35" s="1147"/>
      <c r="G35" s="1147"/>
      <c r="H35" s="1147"/>
    </row>
    <row r="36" spans="1:8" x14ac:dyDescent="0.25">
      <c r="A36" s="245" t="s">
        <v>796</v>
      </c>
      <c r="B36" s="245"/>
      <c r="C36" s="245"/>
      <c r="D36" s="245"/>
      <c r="E36" s="245"/>
      <c r="F36" s="245"/>
      <c r="G36" s="245"/>
      <c r="H36" s="245"/>
    </row>
    <row r="37" spans="1:8" x14ac:dyDescent="0.25">
      <c r="A37" s="940"/>
      <c r="B37" s="941"/>
      <c r="C37" s="941"/>
      <c r="D37" s="941"/>
      <c r="E37" s="941"/>
      <c r="F37" s="941"/>
      <c r="G37" s="941"/>
      <c r="H37" s="942"/>
    </row>
    <row r="38" spans="1:8" x14ac:dyDescent="0.25">
      <c r="A38" s="943"/>
      <c r="B38" s="944"/>
      <c r="C38" s="944"/>
      <c r="D38" s="944"/>
      <c r="E38" s="944"/>
      <c r="F38" s="944"/>
      <c r="G38" s="944"/>
      <c r="H38" s="945"/>
    </row>
    <row r="39" spans="1:8" x14ac:dyDescent="0.25">
      <c r="A39" s="943"/>
      <c r="B39" s="944"/>
      <c r="C39" s="944"/>
      <c r="D39" s="944"/>
      <c r="E39" s="944"/>
      <c r="F39" s="944"/>
      <c r="G39" s="944"/>
      <c r="H39" s="945"/>
    </row>
    <row r="40" spans="1:8" x14ac:dyDescent="0.25">
      <c r="A40" s="943"/>
      <c r="B40" s="944"/>
      <c r="C40" s="944"/>
      <c r="D40" s="944"/>
      <c r="E40" s="944"/>
      <c r="F40" s="944"/>
      <c r="G40" s="944"/>
      <c r="H40" s="945"/>
    </row>
    <row r="41" spans="1:8" x14ac:dyDescent="0.25">
      <c r="A41" s="943"/>
      <c r="B41" s="944"/>
      <c r="C41" s="944"/>
      <c r="D41" s="944"/>
      <c r="E41" s="944"/>
      <c r="F41" s="944"/>
      <c r="G41" s="944"/>
      <c r="H41" s="945"/>
    </row>
    <row r="42" spans="1:8" x14ac:dyDescent="0.25">
      <c r="A42" s="943"/>
      <c r="B42" s="944"/>
      <c r="C42" s="944"/>
      <c r="D42" s="944"/>
      <c r="E42" s="944"/>
      <c r="F42" s="944"/>
      <c r="G42" s="944"/>
      <c r="H42" s="945"/>
    </row>
    <row r="43" spans="1:8" x14ac:dyDescent="0.25">
      <c r="A43" s="946"/>
      <c r="B43" s="947"/>
      <c r="C43" s="947"/>
      <c r="D43" s="947"/>
      <c r="E43" s="947"/>
      <c r="F43" s="947"/>
      <c r="G43" s="947"/>
      <c r="H43" s="948"/>
    </row>
  </sheetData>
  <mergeCells count="77">
    <mergeCell ref="E11:F11"/>
    <mergeCell ref="G11:H11"/>
    <mergeCell ref="B2:H2"/>
    <mergeCell ref="B3:H3"/>
    <mergeCell ref="B4:H4"/>
    <mergeCell ref="B5:H5"/>
    <mergeCell ref="B6:C6"/>
    <mergeCell ref="D6:E6"/>
    <mergeCell ref="B7:D7"/>
    <mergeCell ref="B8:H8"/>
    <mergeCell ref="B9:H9"/>
    <mergeCell ref="E10:F10"/>
    <mergeCell ref="G10:H10"/>
    <mergeCell ref="A13:H13"/>
    <mergeCell ref="A14:H14"/>
    <mergeCell ref="A16:B17"/>
    <mergeCell ref="C16:D16"/>
    <mergeCell ref="E16:F16"/>
    <mergeCell ref="G16:H16"/>
    <mergeCell ref="C17:D17"/>
    <mergeCell ref="E17:F17"/>
    <mergeCell ref="A18:B18"/>
    <mergeCell ref="C18:D18"/>
    <mergeCell ref="E18:F18"/>
    <mergeCell ref="A19:B19"/>
    <mergeCell ref="C19:D19"/>
    <mergeCell ref="E19:F19"/>
    <mergeCell ref="A20:B20"/>
    <mergeCell ref="C20:D20"/>
    <mergeCell ref="E20:F20"/>
    <mergeCell ref="A21:B21"/>
    <mergeCell ref="C21:D21"/>
    <mergeCell ref="E21:F21"/>
    <mergeCell ref="A22:B22"/>
    <mergeCell ref="C22:D22"/>
    <mergeCell ref="E22:F22"/>
    <mergeCell ref="A23:B23"/>
    <mergeCell ref="C23:D23"/>
    <mergeCell ref="E23:F23"/>
    <mergeCell ref="A24:B24"/>
    <mergeCell ref="C24:D24"/>
    <mergeCell ref="E24:F24"/>
    <mergeCell ref="A25:B25"/>
    <mergeCell ref="C25:D25"/>
    <mergeCell ref="E25:F25"/>
    <mergeCell ref="A26:B26"/>
    <mergeCell ref="C26:D26"/>
    <mergeCell ref="E26:F26"/>
    <mergeCell ref="A27:B27"/>
    <mergeCell ref="C27:D27"/>
    <mergeCell ref="E27:F27"/>
    <mergeCell ref="A28:B28"/>
    <mergeCell ref="C28:D28"/>
    <mergeCell ref="E28:F28"/>
    <mergeCell ref="A29:B29"/>
    <mergeCell ref="C29:D29"/>
    <mergeCell ref="E29:F29"/>
    <mergeCell ref="A30:B30"/>
    <mergeCell ref="C30:D30"/>
    <mergeCell ref="E30:F30"/>
    <mergeCell ref="A31:B31"/>
    <mergeCell ref="C31:D31"/>
    <mergeCell ref="E31:F31"/>
    <mergeCell ref="A32:B32"/>
    <mergeCell ref="C32:D32"/>
    <mergeCell ref="E32:F32"/>
    <mergeCell ref="A33:B33"/>
    <mergeCell ref="C33:D33"/>
    <mergeCell ref="E33:F33"/>
    <mergeCell ref="G35:H35"/>
    <mergeCell ref="A37:H43"/>
    <mergeCell ref="A34:B34"/>
    <mergeCell ref="C34:D34"/>
    <mergeCell ref="E34:F34"/>
    <mergeCell ref="A35:B35"/>
    <mergeCell ref="C35:D35"/>
    <mergeCell ref="E35:F3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884B-63E2-4981-8308-F1DB5E354BC7}">
  <dimension ref="A2:I35"/>
  <sheetViews>
    <sheetView workbookViewId="0">
      <selection sqref="A1:XFD1048576"/>
    </sheetView>
  </sheetViews>
  <sheetFormatPr baseColWidth="10" defaultRowHeight="15" x14ac:dyDescent="0.25"/>
  <cols>
    <col min="1" max="1" width="46.5703125" customWidth="1"/>
    <col min="2" max="2" width="16.7109375" customWidth="1"/>
    <col min="3" max="3" width="16.28515625" customWidth="1"/>
    <col min="4" max="4" width="18.7109375" customWidth="1"/>
    <col min="5" max="5" width="18.28515625" customWidth="1"/>
    <col min="6" max="6" width="15.42578125" customWidth="1"/>
    <col min="7" max="9" width="17.5703125" customWidth="1"/>
  </cols>
  <sheetData>
    <row r="2" spans="1:9" x14ac:dyDescent="0.25">
      <c r="A2" s="198" t="s">
        <v>466</v>
      </c>
      <c r="B2" s="619">
        <v>4444444444</v>
      </c>
      <c r="C2" s="619"/>
      <c r="D2" s="619"/>
      <c r="E2" s="619"/>
      <c r="F2" s="619"/>
      <c r="G2" s="619"/>
      <c r="H2" s="619"/>
      <c r="I2" s="619"/>
    </row>
    <row r="3" spans="1:9" x14ac:dyDescent="0.25">
      <c r="A3" s="198"/>
      <c r="B3" s="620">
        <v>56565665</v>
      </c>
      <c r="C3" s="620"/>
      <c r="D3" s="620"/>
      <c r="E3" s="620"/>
      <c r="F3" s="620"/>
      <c r="G3" s="620"/>
      <c r="H3" s="620"/>
      <c r="I3" s="620"/>
    </row>
    <row r="4" spans="1:9" x14ac:dyDescent="0.25">
      <c r="A4" s="198" t="s">
        <v>364</v>
      </c>
      <c r="B4" s="620" t="s">
        <v>6</v>
      </c>
      <c r="C4" s="620"/>
      <c r="D4" s="620"/>
      <c r="E4" s="620"/>
      <c r="F4" s="620"/>
      <c r="G4" s="620"/>
      <c r="H4" s="620"/>
      <c r="I4" s="620"/>
    </row>
    <row r="5" spans="1:9" x14ac:dyDescent="0.25">
      <c r="A5" s="198" t="s">
        <v>365</v>
      </c>
      <c r="B5" s="620" t="s">
        <v>699</v>
      </c>
      <c r="C5" s="620"/>
      <c r="D5" s="620"/>
      <c r="E5" s="620"/>
      <c r="F5" s="620"/>
      <c r="G5" s="620"/>
      <c r="H5" s="620"/>
      <c r="I5" s="620"/>
    </row>
    <row r="6" spans="1:9" x14ac:dyDescent="0.25">
      <c r="A6" s="198" t="s">
        <v>366</v>
      </c>
      <c r="B6" s="620">
        <v>125545</v>
      </c>
      <c r="C6" s="620"/>
      <c r="D6" s="616" t="s">
        <v>367</v>
      </c>
      <c r="E6" s="616"/>
      <c r="F6" s="209">
        <v>46022</v>
      </c>
      <c r="G6" s="616" t="s">
        <v>467</v>
      </c>
      <c r="H6" s="616"/>
      <c r="I6" s="241">
        <v>12</v>
      </c>
    </row>
    <row r="7" spans="1:9" x14ac:dyDescent="0.25">
      <c r="A7" s="204" t="s">
        <v>369</v>
      </c>
      <c r="B7" s="620" t="s">
        <v>8</v>
      </c>
      <c r="C7" s="620"/>
      <c r="D7" s="200"/>
      <c r="E7" s="200"/>
      <c r="F7" s="200"/>
      <c r="G7" s="200"/>
      <c r="H7" s="200"/>
      <c r="I7" s="197"/>
    </row>
    <row r="8" spans="1:9" x14ac:dyDescent="0.25">
      <c r="A8" s="200" t="s">
        <v>468</v>
      </c>
      <c r="B8" s="619" t="s">
        <v>35</v>
      </c>
      <c r="C8" s="619"/>
      <c r="D8" s="619"/>
      <c r="E8" s="619"/>
      <c r="F8" s="619"/>
      <c r="G8" s="619"/>
      <c r="H8" s="619"/>
      <c r="I8" s="619"/>
    </row>
    <row r="9" spans="1:9" x14ac:dyDescent="0.25">
      <c r="A9" s="200"/>
      <c r="B9" s="620" t="s">
        <v>36</v>
      </c>
      <c r="C9" s="620"/>
      <c r="D9" s="620"/>
      <c r="E9" s="620"/>
      <c r="F9" s="620"/>
      <c r="G9" s="620"/>
      <c r="H9" s="620"/>
      <c r="I9" s="620"/>
    </row>
    <row r="10" spans="1:9" x14ac:dyDescent="0.25">
      <c r="A10" s="200" t="s">
        <v>469</v>
      </c>
      <c r="B10" s="199" t="s">
        <v>40</v>
      </c>
      <c r="C10" s="207"/>
      <c r="D10" s="207"/>
      <c r="E10" s="616" t="s">
        <v>470</v>
      </c>
      <c r="F10" s="616"/>
      <c r="G10" s="620" t="s">
        <v>38</v>
      </c>
      <c r="H10" s="620"/>
      <c r="I10" s="620"/>
    </row>
    <row r="11" spans="1:9" x14ac:dyDescent="0.25">
      <c r="A11" s="200" t="s">
        <v>471</v>
      </c>
      <c r="B11" s="240">
        <v>44713</v>
      </c>
      <c r="C11" s="242"/>
      <c r="D11" s="242"/>
      <c r="E11" s="610" t="s">
        <v>472</v>
      </c>
      <c r="F11" s="610"/>
      <c r="G11" s="876">
        <v>45991</v>
      </c>
      <c r="H11" s="876"/>
      <c r="I11" s="876"/>
    </row>
    <row r="12" spans="1:9" ht="6.6" customHeight="1" x14ac:dyDescent="0.25"/>
    <row r="13" spans="1:9" x14ac:dyDescent="0.25">
      <c r="A13" s="986" t="s">
        <v>1104</v>
      </c>
      <c r="B13" s="986"/>
      <c r="C13" s="986"/>
      <c r="D13" s="986"/>
      <c r="E13" s="986"/>
      <c r="F13" s="986"/>
      <c r="G13" s="986"/>
      <c r="H13" s="986"/>
      <c r="I13" s="986"/>
    </row>
    <row r="14" spans="1:9" ht="14.45" customHeight="1" x14ac:dyDescent="0.25">
      <c r="A14" s="986" t="s">
        <v>1105</v>
      </c>
      <c r="B14" s="986"/>
      <c r="C14" s="986"/>
      <c r="D14" s="986"/>
      <c r="E14" s="986"/>
      <c r="F14" s="986"/>
      <c r="G14" s="986"/>
      <c r="H14" s="986"/>
      <c r="I14" s="986"/>
    </row>
    <row r="15" spans="1:9" ht="6.6" customHeight="1" x14ac:dyDescent="0.25">
      <c r="A15" s="453"/>
      <c r="B15" s="453"/>
      <c r="C15" s="453"/>
      <c r="D15" s="453"/>
      <c r="E15" s="453"/>
      <c r="F15" s="453"/>
      <c r="G15" s="453"/>
      <c r="H15" s="453"/>
      <c r="I15" s="453"/>
    </row>
    <row r="16" spans="1:9" x14ac:dyDescent="0.25">
      <c r="A16" s="1201" t="s">
        <v>1106</v>
      </c>
      <c r="B16" s="454" t="s">
        <v>682</v>
      </c>
      <c r="C16" s="455" t="s">
        <v>684</v>
      </c>
      <c r="D16" s="456"/>
      <c r="E16" s="457"/>
      <c r="F16" s="455" t="s">
        <v>686</v>
      </c>
      <c r="G16" s="456"/>
      <c r="H16" s="458"/>
      <c r="I16" s="454" t="s">
        <v>775</v>
      </c>
    </row>
    <row r="17" spans="1:9" x14ac:dyDescent="0.25">
      <c r="A17" s="1202"/>
      <c r="B17" s="1189" t="s">
        <v>1107</v>
      </c>
      <c r="C17" s="459" t="s">
        <v>1108</v>
      </c>
      <c r="D17" s="460"/>
      <c r="E17" s="461"/>
      <c r="F17" s="459" t="s">
        <v>1109</v>
      </c>
      <c r="G17" s="460"/>
      <c r="H17" s="460"/>
      <c r="I17" s="462" t="s">
        <v>1110</v>
      </c>
    </row>
    <row r="18" spans="1:9" ht="8.4499999999999993" customHeight="1" x14ac:dyDescent="0.25">
      <c r="A18" s="1202"/>
      <c r="B18" s="1190"/>
      <c r="C18" s="1189" t="s">
        <v>1111</v>
      </c>
      <c r="D18" s="1204" t="s">
        <v>1112</v>
      </c>
      <c r="E18" s="1189" t="s">
        <v>1113</v>
      </c>
      <c r="F18" s="1189" t="s">
        <v>1111</v>
      </c>
      <c r="G18" s="1204" t="s">
        <v>1112</v>
      </c>
      <c r="H18" s="1189" t="s">
        <v>1113</v>
      </c>
      <c r="I18" s="1189" t="s">
        <v>1114</v>
      </c>
    </row>
    <row r="19" spans="1:9" ht="9.6" customHeight="1" x14ac:dyDescent="0.25">
      <c r="A19" s="1202"/>
      <c r="B19" s="1190"/>
      <c r="C19" s="1190"/>
      <c r="D19" s="1205"/>
      <c r="E19" s="1190"/>
      <c r="F19" s="1190"/>
      <c r="G19" s="1205"/>
      <c r="H19" s="1190"/>
      <c r="I19" s="1190"/>
    </row>
    <row r="20" spans="1:9" ht="7.9" customHeight="1" x14ac:dyDescent="0.25">
      <c r="A20" s="1202"/>
      <c r="B20" s="1190"/>
      <c r="C20" s="1190"/>
      <c r="D20" s="1205"/>
      <c r="E20" s="1190"/>
      <c r="F20" s="1190"/>
      <c r="G20" s="1205"/>
      <c r="H20" s="1190"/>
      <c r="I20" s="1190"/>
    </row>
    <row r="21" spans="1:9" ht="3" customHeight="1" x14ac:dyDescent="0.25">
      <c r="A21" s="1203"/>
      <c r="B21" s="1191"/>
      <c r="C21" s="1191"/>
      <c r="D21" s="1206"/>
      <c r="E21" s="1191"/>
      <c r="F21" s="1191"/>
      <c r="G21" s="1206"/>
      <c r="H21" s="1191"/>
      <c r="I21" s="1191"/>
    </row>
    <row r="22" spans="1:9" x14ac:dyDescent="0.25">
      <c r="A22" s="463" t="s">
        <v>506</v>
      </c>
      <c r="B22" s="464">
        <v>0</v>
      </c>
      <c r="C22" s="465"/>
      <c r="D22" s="466"/>
      <c r="E22" s="467"/>
      <c r="F22" s="465"/>
      <c r="G22" s="466"/>
      <c r="H22" s="468"/>
      <c r="I22" s="464">
        <v>0</v>
      </c>
    </row>
    <row r="23" spans="1:9" x14ac:dyDescent="0.25">
      <c r="A23" s="463" t="s">
        <v>1115</v>
      </c>
      <c r="B23" s="469"/>
      <c r="C23" s="465"/>
      <c r="D23" s="466"/>
      <c r="E23" s="467"/>
      <c r="F23" s="465"/>
      <c r="G23" s="466"/>
      <c r="H23" s="468"/>
      <c r="I23" s="464">
        <v>0</v>
      </c>
    </row>
    <row r="24" spans="1:9" x14ac:dyDescent="0.25">
      <c r="A24" s="463" t="s">
        <v>1116</v>
      </c>
      <c r="B24" s="469"/>
      <c r="C24" s="465"/>
      <c r="D24" s="466"/>
      <c r="E24" s="467"/>
      <c r="F24" s="465"/>
      <c r="G24" s="466"/>
      <c r="H24" s="468"/>
      <c r="I24" s="464">
        <v>0</v>
      </c>
    </row>
    <row r="25" spans="1:9" x14ac:dyDescent="0.25">
      <c r="A25" s="470" t="s">
        <v>1117</v>
      </c>
      <c r="B25" s="471">
        <v>0</v>
      </c>
      <c r="C25" s="471">
        <v>0</v>
      </c>
      <c r="D25" s="471">
        <v>0</v>
      </c>
      <c r="E25" s="471">
        <v>0</v>
      </c>
      <c r="F25" s="471">
        <v>0</v>
      </c>
      <c r="G25" s="471">
        <v>0</v>
      </c>
      <c r="H25" s="471">
        <v>0</v>
      </c>
      <c r="I25" s="471">
        <v>0</v>
      </c>
    </row>
    <row r="26" spans="1:9" x14ac:dyDescent="0.25">
      <c r="A26" s="472" t="s">
        <v>1118</v>
      </c>
      <c r="B26" s="464">
        <v>0</v>
      </c>
      <c r="C26" s="473"/>
      <c r="D26" s="474"/>
      <c r="E26" s="475"/>
      <c r="F26" s="473"/>
      <c r="G26" s="474"/>
      <c r="H26" s="476"/>
      <c r="I26" s="464">
        <v>0</v>
      </c>
    </row>
    <row r="27" spans="1:9" ht="25.5" x14ac:dyDescent="0.25">
      <c r="A27" s="477" t="s">
        <v>1119</v>
      </c>
      <c r="B27" s="471">
        <v>0</v>
      </c>
      <c r="C27" s="478">
        <v>0</v>
      </c>
      <c r="D27" s="478">
        <v>0</v>
      </c>
      <c r="E27" s="478">
        <v>0</v>
      </c>
      <c r="F27" s="478">
        <v>0</v>
      </c>
      <c r="G27" s="478">
        <v>0</v>
      </c>
      <c r="H27" s="478">
        <v>0</v>
      </c>
      <c r="I27" s="471">
        <v>0</v>
      </c>
    </row>
    <row r="28" spans="1:9" x14ac:dyDescent="0.25">
      <c r="A28" s="479" t="s">
        <v>1120</v>
      </c>
      <c r="B28" s="478">
        <v>0</v>
      </c>
      <c r="C28" s="478">
        <v>0</v>
      </c>
      <c r="D28" s="478">
        <v>0</v>
      </c>
      <c r="E28" s="478">
        <v>0</v>
      </c>
      <c r="F28" s="478">
        <v>0</v>
      </c>
      <c r="G28" s="478">
        <v>0</v>
      </c>
      <c r="H28" s="478">
        <v>0</v>
      </c>
      <c r="I28" s="471">
        <v>0</v>
      </c>
    </row>
    <row r="29" spans="1:9" ht="7.9" customHeight="1" x14ac:dyDescent="0.25">
      <c r="A29" s="480"/>
      <c r="B29" s="305"/>
      <c r="C29" s="305"/>
      <c r="D29" s="306"/>
      <c r="E29" s="306"/>
      <c r="F29" s="306"/>
      <c r="G29" s="306"/>
      <c r="H29" s="306"/>
      <c r="I29" s="332"/>
    </row>
    <row r="30" spans="1:9" x14ac:dyDescent="0.25">
      <c r="A30" s="305" t="s">
        <v>1121</v>
      </c>
      <c r="B30" s="305"/>
      <c r="C30" s="305"/>
      <c r="D30" s="306"/>
      <c r="E30" s="306"/>
      <c r="F30" s="306"/>
      <c r="G30" s="306"/>
      <c r="H30" s="306"/>
      <c r="I30" s="306"/>
    </row>
    <row r="31" spans="1:9" x14ac:dyDescent="0.25">
      <c r="A31" s="1192"/>
      <c r="B31" s="1193"/>
      <c r="C31" s="1193"/>
      <c r="D31" s="1193"/>
      <c r="E31" s="1193"/>
      <c r="F31" s="1193"/>
      <c r="G31" s="1193"/>
      <c r="H31" s="1193"/>
      <c r="I31" s="1194"/>
    </row>
    <row r="32" spans="1:9" x14ac:dyDescent="0.25">
      <c r="A32" s="1195"/>
      <c r="B32" s="1196"/>
      <c r="C32" s="1196"/>
      <c r="D32" s="1196"/>
      <c r="E32" s="1196"/>
      <c r="F32" s="1196"/>
      <c r="G32" s="1196"/>
      <c r="H32" s="1196"/>
      <c r="I32" s="1197"/>
    </row>
    <row r="33" spans="1:9" x14ac:dyDescent="0.25">
      <c r="A33" s="1195"/>
      <c r="B33" s="1196"/>
      <c r="C33" s="1196"/>
      <c r="D33" s="1196"/>
      <c r="E33" s="1196"/>
      <c r="F33" s="1196"/>
      <c r="G33" s="1196"/>
      <c r="H33" s="1196"/>
      <c r="I33" s="1197"/>
    </row>
    <row r="34" spans="1:9" x14ac:dyDescent="0.25">
      <c r="A34" s="1195"/>
      <c r="B34" s="1196"/>
      <c r="C34" s="1196"/>
      <c r="D34" s="1196"/>
      <c r="E34" s="1196"/>
      <c r="F34" s="1196"/>
      <c r="G34" s="1196"/>
      <c r="H34" s="1196"/>
      <c r="I34" s="1197"/>
    </row>
    <row r="35" spans="1:9" x14ac:dyDescent="0.25">
      <c r="A35" s="1198"/>
      <c r="B35" s="1199"/>
      <c r="C35" s="1199"/>
      <c r="D35" s="1199"/>
      <c r="E35" s="1199"/>
      <c r="F35" s="1199"/>
      <c r="G35" s="1199"/>
      <c r="H35" s="1199"/>
      <c r="I35" s="1200"/>
    </row>
  </sheetData>
  <mergeCells count="26">
    <mergeCell ref="E11:F11"/>
    <mergeCell ref="G11:I11"/>
    <mergeCell ref="B2:I2"/>
    <mergeCell ref="B3:I3"/>
    <mergeCell ref="B4:I4"/>
    <mergeCell ref="B5:I5"/>
    <mergeCell ref="B6:C6"/>
    <mergeCell ref="D6:E6"/>
    <mergeCell ref="G6:H6"/>
    <mergeCell ref="B7:C7"/>
    <mergeCell ref="B8:I8"/>
    <mergeCell ref="B9:I9"/>
    <mergeCell ref="E10:F10"/>
    <mergeCell ref="G10:I10"/>
    <mergeCell ref="I18:I21"/>
    <mergeCell ref="A31:I35"/>
    <mergeCell ref="A13:I13"/>
    <mergeCell ref="A14:I14"/>
    <mergeCell ref="A16:A21"/>
    <mergeCell ref="B17:B21"/>
    <mergeCell ref="C18:C21"/>
    <mergeCell ref="D18:D21"/>
    <mergeCell ref="E18:E21"/>
    <mergeCell ref="F18:F21"/>
    <mergeCell ref="G18:G21"/>
    <mergeCell ref="H18:H21"/>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E1F02-EAF2-48D0-9D89-087A1649422F}">
  <dimension ref="A2:I49"/>
  <sheetViews>
    <sheetView workbookViewId="0">
      <selection sqref="A1:XFD1048576"/>
    </sheetView>
  </sheetViews>
  <sheetFormatPr baseColWidth="10" defaultRowHeight="15" x14ac:dyDescent="0.25"/>
  <cols>
    <col min="1" max="1" width="25.5703125" customWidth="1"/>
    <col min="2" max="2" width="30.28515625" customWidth="1"/>
    <col min="3" max="3" width="8.7109375" customWidth="1"/>
    <col min="4" max="4" width="13.7109375" customWidth="1"/>
    <col min="5" max="5" width="6.28515625" customWidth="1"/>
    <col min="6" max="6" width="20.7109375" customWidth="1"/>
    <col min="7" max="7" width="17.5703125" customWidth="1"/>
    <col min="8" max="9" width="7.7109375" customWidth="1"/>
  </cols>
  <sheetData>
    <row r="2" spans="1:9" x14ac:dyDescent="0.25">
      <c r="A2" s="206" t="s">
        <v>466</v>
      </c>
      <c r="B2" s="1161">
        <f>IF(ISBLANK([1]IDENTIFICATION!$B$2),"",[1]IDENTIFICATION!$B$2)</f>
        <v>4444444444</v>
      </c>
      <c r="C2" s="1161"/>
      <c r="D2" s="1161"/>
      <c r="E2" s="1161"/>
      <c r="F2" s="1161"/>
      <c r="G2" s="1161"/>
      <c r="H2" s="1161"/>
      <c r="I2" s="1161"/>
    </row>
    <row r="3" spans="1:9" x14ac:dyDescent="0.25">
      <c r="A3" s="206"/>
      <c r="B3" s="857">
        <f>IF(ISBLANK([1]IDENTIFICATION!$B$3),"",[1]IDENTIFICATION!$B$3)</f>
        <v>56565665</v>
      </c>
      <c r="C3" s="857"/>
      <c r="D3" s="857"/>
      <c r="E3" s="857"/>
      <c r="F3" s="857"/>
      <c r="G3" s="857"/>
      <c r="H3" s="857"/>
      <c r="I3" s="857"/>
    </row>
    <row r="4" spans="1:9" x14ac:dyDescent="0.25">
      <c r="A4" s="206" t="s">
        <v>364</v>
      </c>
      <c r="B4" s="857" t="str">
        <f>IF(ISBLANK([1]IDENTIFICATION!$B$4),"",[1]IDENTIFICATION!$B$4)</f>
        <v>LS SOFT</v>
      </c>
      <c r="C4" s="857"/>
      <c r="D4" s="857"/>
      <c r="E4" s="857"/>
      <c r="F4" s="857"/>
      <c r="G4" s="857"/>
      <c r="H4" s="857"/>
      <c r="I4" s="857"/>
    </row>
    <row r="5" spans="1:9" x14ac:dyDescent="0.25">
      <c r="A5" s="206" t="s">
        <v>365</v>
      </c>
      <c r="B5" s="857" t="str">
        <f>IF(ISBLANK([1]IDENTIFICATION!$B$5),"",[1]IDENTIFICATION!$B$5)</f>
        <v>OUAGA</v>
      </c>
      <c r="C5" s="857"/>
      <c r="D5" s="857"/>
      <c r="E5" s="857"/>
      <c r="F5" s="857"/>
      <c r="G5" s="857"/>
      <c r="H5" s="857"/>
      <c r="I5" s="857"/>
    </row>
    <row r="6" spans="1:9" x14ac:dyDescent="0.25">
      <c r="A6" s="206" t="s">
        <v>366</v>
      </c>
      <c r="B6" s="208">
        <f>IF(ISBLANK([1]IDENTIFICATION!$B$7),"",[1]IDENTIFICATION!$B$7)</f>
        <v>125545</v>
      </c>
      <c r="C6" s="400"/>
      <c r="D6" s="862" t="s">
        <v>367</v>
      </c>
      <c r="E6" s="862"/>
      <c r="F6" s="396">
        <f>IF(ISBLANK([1]IDENTIFICATION!$F$11),"",[1]IDENTIFICATION!$F$11)</f>
        <v>46022</v>
      </c>
      <c r="G6" s="397" t="s">
        <v>467</v>
      </c>
      <c r="H6" s="1212">
        <f>IF(ISBLANK([1]IDENTIFICATION!$H$11),"",[1]IDENTIFICATION!$H$11)</f>
        <v>12</v>
      </c>
      <c r="I6" s="1212"/>
    </row>
    <row r="7" spans="1:9" x14ac:dyDescent="0.25">
      <c r="A7" s="399" t="s">
        <v>369</v>
      </c>
      <c r="B7" s="395" t="str">
        <f>IF(ISBLANK([1]IDENTIFICATION!$G$4),"",[1]IDENTIFICATION!$G$4)</f>
        <v>453456546656456</v>
      </c>
      <c r="C7" s="243"/>
      <c r="D7" s="243"/>
      <c r="E7" s="243"/>
      <c r="F7" s="243"/>
      <c r="G7" s="243"/>
      <c r="H7" s="243"/>
    </row>
    <row r="8" spans="1:9" x14ac:dyDescent="0.25">
      <c r="A8" s="243" t="s">
        <v>468</v>
      </c>
      <c r="B8" s="1161" t="str">
        <f>IF(ISBLANK([1]IDENTIFICATION!$B$17),"",[1]IDENTIFICATION!$B$17)</f>
        <v>Relèvement économique et promotion du genre dans la Région du Sahel</v>
      </c>
      <c r="C8" s="1161"/>
      <c r="D8" s="1161"/>
      <c r="E8" s="1161"/>
      <c r="F8" s="1161"/>
      <c r="G8" s="1161"/>
      <c r="H8" s="1161"/>
      <c r="I8" s="1161"/>
    </row>
    <row r="9" spans="1:9" x14ac:dyDescent="0.25">
      <c r="A9" s="243"/>
      <c r="B9" s="857" t="str">
        <f>IF(ISBLANK([1]IDENTIFICATION!$B$18),"",[1]IDENTIFICATION!$B$18)</f>
        <v>et du Nord</v>
      </c>
      <c r="C9" s="857"/>
      <c r="D9" s="857"/>
      <c r="E9" s="857"/>
      <c r="F9" s="857"/>
      <c r="G9" s="857"/>
      <c r="H9" s="857"/>
      <c r="I9" s="857"/>
    </row>
    <row r="10" spans="1:9" x14ac:dyDescent="0.25">
      <c r="A10" s="243" t="s">
        <v>469</v>
      </c>
      <c r="B10" s="208" t="str">
        <f>IF(ISBLANK([1]IDENTIFICATION!$B$20),"",[1]IDENTIFICATION!$B$20)</f>
        <v>BFA-000588</v>
      </c>
      <c r="C10" s="400"/>
      <c r="D10" s="400"/>
      <c r="E10" s="862" t="s">
        <v>470</v>
      </c>
      <c r="F10" s="862"/>
      <c r="G10" s="857" t="str">
        <f>IF(ISBLANK([1]IDENTIFICATION!$B$19),"",[1]IDENTIFICATION!$B$19)</f>
        <v>REC-PRO-GEN-SANO</v>
      </c>
      <c r="H10" s="857"/>
      <c r="I10" s="857"/>
    </row>
    <row r="11" spans="1:9" x14ac:dyDescent="0.25">
      <c r="A11" s="243" t="s">
        <v>471</v>
      </c>
      <c r="B11" s="401">
        <f>IF(ISBLANK([1]IDENTIFICATION!$B$21),"",[1]IDENTIFICATION!$B$21)</f>
        <v>44713</v>
      </c>
      <c r="C11" s="402"/>
      <c r="D11" s="402"/>
      <c r="E11" s="1162" t="s">
        <v>472</v>
      </c>
      <c r="F11" s="1162"/>
      <c r="G11" s="1163">
        <f>IF(ISBLANK([1]IDENTIFICATION!$G$21),"",[1]IDENTIFICATION!$G$21)</f>
        <v>45991</v>
      </c>
      <c r="H11" s="1163"/>
      <c r="I11" s="1163"/>
    </row>
    <row r="12" spans="1:9" ht="6.6" customHeight="1" x14ac:dyDescent="0.25"/>
    <row r="13" spans="1:9" x14ac:dyDescent="0.25">
      <c r="A13" s="986" t="s">
        <v>1122</v>
      </c>
      <c r="B13" s="986"/>
      <c r="C13" s="986"/>
      <c r="D13" s="986"/>
      <c r="E13" s="986"/>
      <c r="F13" s="986"/>
      <c r="G13" s="986"/>
      <c r="H13" s="986"/>
      <c r="I13" s="986"/>
    </row>
    <row r="14" spans="1:9" ht="14.45" customHeight="1" x14ac:dyDescent="0.25">
      <c r="A14" s="986" t="s">
        <v>1123</v>
      </c>
      <c r="B14" s="986"/>
      <c r="C14" s="986"/>
      <c r="D14" s="986"/>
      <c r="E14" s="986"/>
      <c r="F14" s="986"/>
      <c r="G14" s="986"/>
      <c r="H14" s="986"/>
      <c r="I14" s="986"/>
    </row>
    <row r="15" spans="1:9" ht="6.6" customHeight="1" x14ac:dyDescent="0.25">
      <c r="A15" s="453"/>
      <c r="B15" s="453"/>
      <c r="C15" s="453"/>
      <c r="D15" s="453"/>
      <c r="E15" s="453"/>
      <c r="F15" s="453"/>
      <c r="G15" s="453"/>
      <c r="H15" s="453"/>
      <c r="I15" s="453"/>
    </row>
    <row r="16" spans="1:9" x14ac:dyDescent="0.25">
      <c r="A16" s="911" t="s">
        <v>812</v>
      </c>
      <c r="B16" s="911"/>
      <c r="C16" s="1144" t="s">
        <v>813</v>
      </c>
      <c r="D16" s="1144"/>
      <c r="E16" s="1144" t="s">
        <v>813</v>
      </c>
      <c r="F16" s="1144"/>
      <c r="G16" s="887" t="s">
        <v>814</v>
      </c>
      <c r="H16" s="887"/>
      <c r="I16" s="887"/>
    </row>
    <row r="17" spans="1:9" x14ac:dyDescent="0.25">
      <c r="A17" s="911"/>
      <c r="B17" s="911"/>
      <c r="C17" s="1143">
        <v>46022</v>
      </c>
      <c r="D17" s="1143"/>
      <c r="E17" s="1143">
        <v>46022</v>
      </c>
      <c r="F17" s="1143"/>
      <c r="G17" s="1145" t="s">
        <v>815</v>
      </c>
      <c r="H17" s="1146"/>
      <c r="I17" s="254" t="s">
        <v>846</v>
      </c>
    </row>
    <row r="18" spans="1:9" x14ac:dyDescent="0.25">
      <c r="A18" s="1064" t="s">
        <v>1124</v>
      </c>
      <c r="B18" s="1066"/>
      <c r="C18" s="1048">
        <v>0</v>
      </c>
      <c r="D18" s="1049"/>
      <c r="E18" s="1048">
        <v>0</v>
      </c>
      <c r="F18" s="1049"/>
      <c r="G18" s="1067">
        <v>0</v>
      </c>
      <c r="H18" s="1068"/>
      <c r="I18" s="481">
        <v>0</v>
      </c>
    </row>
    <row r="19" spans="1:9" x14ac:dyDescent="0.25">
      <c r="A19" s="1064" t="s">
        <v>1125</v>
      </c>
      <c r="B19" s="1066"/>
      <c r="C19" s="1048">
        <v>0</v>
      </c>
      <c r="D19" s="1049"/>
      <c r="E19" s="1048">
        <v>0</v>
      </c>
      <c r="F19" s="1049"/>
      <c r="G19" s="1067">
        <v>0</v>
      </c>
      <c r="H19" s="1068"/>
      <c r="I19" s="481">
        <v>0</v>
      </c>
    </row>
    <row r="20" spans="1:9" x14ac:dyDescent="0.25">
      <c r="A20" s="1064" t="s">
        <v>1126</v>
      </c>
      <c r="B20" s="1066"/>
      <c r="C20" s="1048">
        <v>0</v>
      </c>
      <c r="D20" s="1049"/>
      <c r="E20" s="1048">
        <v>0</v>
      </c>
      <c r="F20" s="1049"/>
      <c r="G20" s="1067">
        <v>0</v>
      </c>
      <c r="H20" s="1068"/>
      <c r="I20" s="481">
        <v>0</v>
      </c>
    </row>
    <row r="21" spans="1:9" x14ac:dyDescent="0.25">
      <c r="A21" s="905" t="s">
        <v>1127</v>
      </c>
      <c r="B21" s="907"/>
      <c r="C21" s="1048">
        <v>0</v>
      </c>
      <c r="D21" s="1049"/>
      <c r="E21" s="1048">
        <v>0</v>
      </c>
      <c r="F21" s="1049"/>
      <c r="G21" s="1067">
        <v>0</v>
      </c>
      <c r="H21" s="1068"/>
      <c r="I21" s="481">
        <v>0</v>
      </c>
    </row>
    <row r="22" spans="1:9" x14ac:dyDescent="0.25">
      <c r="A22" s="905" t="s">
        <v>1128</v>
      </c>
      <c r="B22" s="907"/>
      <c r="C22" s="1048">
        <v>0</v>
      </c>
      <c r="D22" s="1049"/>
      <c r="E22" s="1048">
        <v>0</v>
      </c>
      <c r="F22" s="1049"/>
      <c r="G22" s="1067">
        <v>0</v>
      </c>
      <c r="H22" s="1068"/>
      <c r="I22" s="481">
        <v>0</v>
      </c>
    </row>
    <row r="23" spans="1:9" x14ac:dyDescent="0.25">
      <c r="A23" s="905" t="s">
        <v>1129</v>
      </c>
      <c r="B23" s="907"/>
      <c r="C23" s="1048">
        <v>0</v>
      </c>
      <c r="D23" s="1049"/>
      <c r="E23" s="1048">
        <v>0</v>
      </c>
      <c r="F23" s="1049"/>
      <c r="G23" s="1067">
        <v>0</v>
      </c>
      <c r="H23" s="1068"/>
      <c r="I23" s="481">
        <v>0</v>
      </c>
    </row>
    <row r="24" spans="1:9" ht="14.45" customHeight="1" x14ac:dyDescent="0.25">
      <c r="A24" s="900" t="s">
        <v>1130</v>
      </c>
      <c r="B24" s="902"/>
      <c r="C24" s="1048">
        <v>0</v>
      </c>
      <c r="D24" s="1049"/>
      <c r="E24" s="1048">
        <v>0</v>
      </c>
      <c r="F24" s="1049"/>
      <c r="G24" s="1067">
        <v>0</v>
      </c>
      <c r="H24" s="1068"/>
      <c r="I24" s="481">
        <v>0</v>
      </c>
    </row>
    <row r="25" spans="1:9" ht="14.45" customHeight="1" x14ac:dyDescent="0.25">
      <c r="A25" s="1129" t="s">
        <v>1131</v>
      </c>
      <c r="B25" s="1130"/>
      <c r="C25" s="1067">
        <v>0</v>
      </c>
      <c r="D25" s="1068"/>
      <c r="E25" s="1067">
        <v>0</v>
      </c>
      <c r="F25" s="1068"/>
      <c r="G25" s="1067">
        <v>0</v>
      </c>
      <c r="H25" s="1068"/>
      <c r="I25" s="481">
        <v>0</v>
      </c>
    </row>
    <row r="26" spans="1:9" ht="14.45" customHeight="1" x14ac:dyDescent="0.25">
      <c r="A26" s="1129" t="s">
        <v>1132</v>
      </c>
      <c r="B26" s="1130"/>
      <c r="C26" s="1067">
        <v>0</v>
      </c>
      <c r="D26" s="1068"/>
      <c r="E26" s="1067">
        <v>0</v>
      </c>
      <c r="F26" s="1068"/>
      <c r="G26" s="1067">
        <v>0</v>
      </c>
      <c r="H26" s="1068"/>
      <c r="I26" s="481">
        <v>0</v>
      </c>
    </row>
    <row r="27" spans="1:9" ht="14.45" customHeight="1" x14ac:dyDescent="0.25">
      <c r="A27" s="1129" t="s">
        <v>1133</v>
      </c>
      <c r="B27" s="1130"/>
      <c r="C27" s="1067">
        <v>0</v>
      </c>
      <c r="D27" s="1068"/>
      <c r="E27" s="1067">
        <v>0</v>
      </c>
      <c r="F27" s="1068"/>
      <c r="G27" s="1067">
        <v>0</v>
      </c>
      <c r="H27" s="1068"/>
      <c r="I27" s="481">
        <v>0</v>
      </c>
    </row>
    <row r="28" spans="1:9" x14ac:dyDescent="0.25">
      <c r="A28" s="905" t="s">
        <v>1134</v>
      </c>
      <c r="B28" s="907"/>
      <c r="C28" s="1048">
        <v>0</v>
      </c>
      <c r="D28" s="1049"/>
      <c r="E28" s="1048">
        <v>0</v>
      </c>
      <c r="F28" s="1049"/>
      <c r="G28" s="1067">
        <v>0</v>
      </c>
      <c r="H28" s="1068"/>
      <c r="I28" s="481">
        <v>0</v>
      </c>
    </row>
    <row r="29" spans="1:9" ht="14.45" customHeight="1" x14ac:dyDescent="0.25">
      <c r="A29" s="1126" t="s">
        <v>1135</v>
      </c>
      <c r="B29" s="1127"/>
      <c r="C29" s="1119">
        <v>0</v>
      </c>
      <c r="D29" s="1120"/>
      <c r="E29" s="1119">
        <v>0</v>
      </c>
      <c r="F29" s="1120"/>
      <c r="G29" s="1209">
        <v>0</v>
      </c>
      <c r="H29" s="1210"/>
      <c r="I29" s="482">
        <v>0</v>
      </c>
    </row>
    <row r="30" spans="1:9" x14ac:dyDescent="0.25">
      <c r="A30" s="1064" t="s">
        <v>1136</v>
      </c>
      <c r="B30" s="1066"/>
      <c r="C30" s="1048">
        <v>0</v>
      </c>
      <c r="D30" s="1049"/>
      <c r="E30" s="1048">
        <v>0</v>
      </c>
      <c r="F30" s="1049"/>
      <c r="G30" s="1067">
        <v>0</v>
      </c>
      <c r="H30" s="1068"/>
      <c r="I30" s="481">
        <v>0</v>
      </c>
    </row>
    <row r="31" spans="1:9" x14ac:dyDescent="0.25">
      <c r="A31" s="1064" t="s">
        <v>1137</v>
      </c>
      <c r="B31" s="1066"/>
      <c r="C31" s="1048">
        <v>0</v>
      </c>
      <c r="D31" s="1049"/>
      <c r="E31" s="1048">
        <v>0</v>
      </c>
      <c r="F31" s="1049"/>
      <c r="G31" s="1067">
        <v>0</v>
      </c>
      <c r="H31" s="1068"/>
      <c r="I31" s="481">
        <v>0</v>
      </c>
    </row>
    <row r="32" spans="1:9" x14ac:dyDescent="0.25">
      <c r="A32" s="1064" t="s">
        <v>1138</v>
      </c>
      <c r="B32" s="1066"/>
      <c r="C32" s="1048">
        <v>0</v>
      </c>
      <c r="D32" s="1049"/>
      <c r="E32" s="1048">
        <v>0</v>
      </c>
      <c r="F32" s="1049"/>
      <c r="G32" s="1067">
        <v>0</v>
      </c>
      <c r="H32" s="1068"/>
      <c r="I32" s="481">
        <v>0</v>
      </c>
    </row>
    <row r="33" spans="1:9" x14ac:dyDescent="0.25">
      <c r="A33" s="1064" t="s">
        <v>1139</v>
      </c>
      <c r="B33" s="1066"/>
      <c r="C33" s="1048">
        <v>0</v>
      </c>
      <c r="D33" s="1049"/>
      <c r="E33" s="1048">
        <v>0</v>
      </c>
      <c r="F33" s="1049"/>
      <c r="G33" s="1067">
        <v>0</v>
      </c>
      <c r="H33" s="1068"/>
      <c r="I33" s="481">
        <v>0</v>
      </c>
    </row>
    <row r="34" spans="1:9" x14ac:dyDescent="0.25">
      <c r="A34" s="900" t="s">
        <v>1140</v>
      </c>
      <c r="B34" s="902"/>
      <c r="C34" s="1048">
        <v>0</v>
      </c>
      <c r="D34" s="1049"/>
      <c r="E34" s="1048">
        <v>0</v>
      </c>
      <c r="F34" s="1049"/>
      <c r="G34" s="1067">
        <v>0</v>
      </c>
      <c r="H34" s="1068"/>
      <c r="I34" s="481">
        <v>0</v>
      </c>
    </row>
    <row r="35" spans="1:9" x14ac:dyDescent="0.25">
      <c r="A35" s="900" t="s">
        <v>1141</v>
      </c>
      <c r="B35" s="902"/>
      <c r="C35" s="1048">
        <v>0</v>
      </c>
      <c r="D35" s="1049"/>
      <c r="E35" s="1048">
        <v>0</v>
      </c>
      <c r="F35" s="1049"/>
      <c r="G35" s="1067">
        <v>0</v>
      </c>
      <c r="H35" s="1068"/>
      <c r="I35" s="481">
        <v>0</v>
      </c>
    </row>
    <row r="36" spans="1:9" ht="14.45" customHeight="1" x14ac:dyDescent="0.25">
      <c r="A36" s="900" t="s">
        <v>1142</v>
      </c>
      <c r="B36" s="902"/>
      <c r="C36" s="1048">
        <v>0</v>
      </c>
      <c r="D36" s="1049"/>
      <c r="E36" s="1048">
        <v>0</v>
      </c>
      <c r="F36" s="1049"/>
      <c r="G36" s="1067">
        <v>0</v>
      </c>
      <c r="H36" s="1068"/>
      <c r="I36" s="481">
        <v>0</v>
      </c>
    </row>
    <row r="37" spans="1:9" ht="14.45" customHeight="1" x14ac:dyDescent="0.25">
      <c r="A37" s="900" t="s">
        <v>1143</v>
      </c>
      <c r="B37" s="902"/>
      <c r="C37" s="1048">
        <v>0</v>
      </c>
      <c r="D37" s="1049"/>
      <c r="E37" s="1048">
        <v>0</v>
      </c>
      <c r="F37" s="1049"/>
      <c r="G37" s="1067">
        <v>0</v>
      </c>
      <c r="H37" s="1068"/>
      <c r="I37" s="481">
        <v>0</v>
      </c>
    </row>
    <row r="38" spans="1:9" ht="14.45" customHeight="1" x14ac:dyDescent="0.25">
      <c r="A38" s="1129" t="s">
        <v>1144</v>
      </c>
      <c r="B38" s="1130"/>
      <c r="C38" s="1067">
        <v>0</v>
      </c>
      <c r="D38" s="1068"/>
      <c r="E38" s="1067">
        <v>0</v>
      </c>
      <c r="F38" s="1068"/>
      <c r="G38" s="1067">
        <v>0</v>
      </c>
      <c r="H38" s="1068"/>
      <c r="I38" s="481">
        <v>0</v>
      </c>
    </row>
    <row r="39" spans="1:9" x14ac:dyDescent="0.25">
      <c r="A39" s="900" t="s">
        <v>1145</v>
      </c>
      <c r="B39" s="902"/>
      <c r="C39" s="1048">
        <v>0</v>
      </c>
      <c r="D39" s="1049"/>
      <c r="E39" s="1048">
        <v>0</v>
      </c>
      <c r="F39" s="1049"/>
      <c r="G39" s="1067">
        <v>0</v>
      </c>
      <c r="H39" s="1068"/>
      <c r="I39" s="481">
        <v>0</v>
      </c>
    </row>
    <row r="40" spans="1:9" ht="14.45" customHeight="1" x14ac:dyDescent="0.25">
      <c r="A40" s="1208" t="s">
        <v>1146</v>
      </c>
      <c r="B40" s="1127"/>
      <c r="C40" s="1119">
        <v>0</v>
      </c>
      <c r="D40" s="1120"/>
      <c r="E40" s="1119">
        <v>0</v>
      </c>
      <c r="F40" s="1120"/>
      <c r="G40" s="1209">
        <v>0</v>
      </c>
      <c r="H40" s="1210"/>
      <c r="I40" s="482">
        <v>0</v>
      </c>
    </row>
    <row r="41" spans="1:9" x14ac:dyDescent="0.25">
      <c r="A41" s="1211"/>
      <c r="B41" s="1211"/>
      <c r="C41" s="1147"/>
      <c r="D41" s="1147"/>
      <c r="E41" s="1147"/>
      <c r="F41" s="1147"/>
      <c r="G41" s="1147"/>
      <c r="H41" s="1147"/>
    </row>
    <row r="42" spans="1:9" x14ac:dyDescent="0.25">
      <c r="A42" s="245" t="s">
        <v>796</v>
      </c>
      <c r="B42" s="245"/>
      <c r="C42" s="245"/>
      <c r="D42" s="245"/>
      <c r="E42" s="245"/>
      <c r="F42" s="245"/>
      <c r="G42" s="245"/>
      <c r="H42" s="245"/>
    </row>
    <row r="43" spans="1:9" x14ac:dyDescent="0.25">
      <c r="A43" s="1207"/>
      <c r="B43" s="1207"/>
      <c r="C43" s="1207"/>
      <c r="D43" s="1207"/>
      <c r="E43" s="1207"/>
      <c r="F43" s="1207"/>
      <c r="G43" s="1207"/>
      <c r="H43" s="1207"/>
      <c r="I43" s="1207"/>
    </row>
    <row r="44" spans="1:9" x14ac:dyDescent="0.25">
      <c r="A44" s="1207"/>
      <c r="B44" s="1207"/>
      <c r="C44" s="1207"/>
      <c r="D44" s="1207"/>
      <c r="E44" s="1207"/>
      <c r="F44" s="1207"/>
      <c r="G44" s="1207"/>
      <c r="H44" s="1207"/>
      <c r="I44" s="1207"/>
    </row>
    <row r="45" spans="1:9" x14ac:dyDescent="0.25">
      <c r="A45" s="1207"/>
      <c r="B45" s="1207"/>
      <c r="C45" s="1207"/>
      <c r="D45" s="1207"/>
      <c r="E45" s="1207"/>
      <c r="F45" s="1207"/>
      <c r="G45" s="1207"/>
      <c r="H45" s="1207"/>
      <c r="I45" s="1207"/>
    </row>
    <row r="46" spans="1:9" x14ac:dyDescent="0.25">
      <c r="A46" s="1207"/>
      <c r="B46" s="1207"/>
      <c r="C46" s="1207"/>
      <c r="D46" s="1207"/>
      <c r="E46" s="1207"/>
      <c r="F46" s="1207"/>
      <c r="G46" s="1207"/>
      <c r="H46" s="1207"/>
      <c r="I46" s="1207"/>
    </row>
    <row r="47" spans="1:9" x14ac:dyDescent="0.25">
      <c r="A47" s="1207"/>
      <c r="B47" s="1207"/>
      <c r="C47" s="1207"/>
      <c r="D47" s="1207"/>
      <c r="E47" s="1207"/>
      <c r="F47" s="1207"/>
      <c r="G47" s="1207"/>
      <c r="H47" s="1207"/>
      <c r="I47" s="1207"/>
    </row>
    <row r="48" spans="1:9" x14ac:dyDescent="0.25">
      <c r="A48" s="1207"/>
      <c r="B48" s="1207"/>
      <c r="C48" s="1207"/>
      <c r="D48" s="1207"/>
      <c r="E48" s="1207"/>
      <c r="F48" s="1207"/>
      <c r="G48" s="1207"/>
      <c r="H48" s="1207"/>
      <c r="I48" s="1207"/>
    </row>
    <row r="49" spans="1:9" x14ac:dyDescent="0.25">
      <c r="A49" s="1207"/>
      <c r="B49" s="1207"/>
      <c r="C49" s="1207"/>
      <c r="D49" s="1207"/>
      <c r="E49" s="1207"/>
      <c r="F49" s="1207"/>
      <c r="G49" s="1207"/>
      <c r="H49" s="1207"/>
      <c r="I49" s="1207"/>
    </row>
  </sheetData>
  <mergeCells count="118">
    <mergeCell ref="B8:I8"/>
    <mergeCell ref="B9:I9"/>
    <mergeCell ref="E10:F10"/>
    <mergeCell ref="G10:I10"/>
    <mergeCell ref="E11:F11"/>
    <mergeCell ref="G11:I11"/>
    <mergeCell ref="B2:I2"/>
    <mergeCell ref="B3:I3"/>
    <mergeCell ref="B4:I4"/>
    <mergeCell ref="B5:I5"/>
    <mergeCell ref="D6:E6"/>
    <mergeCell ref="H6:I6"/>
    <mergeCell ref="A18:B18"/>
    <mergeCell ref="C18:D18"/>
    <mergeCell ref="E18:F18"/>
    <mergeCell ref="G18:H18"/>
    <mergeCell ref="A19:B19"/>
    <mergeCell ref="C19:D19"/>
    <mergeCell ref="E19:F19"/>
    <mergeCell ref="G19:H19"/>
    <mergeCell ref="A13:I13"/>
    <mergeCell ref="A14:I14"/>
    <mergeCell ref="A16:B17"/>
    <mergeCell ref="C16:D16"/>
    <mergeCell ref="E16:F16"/>
    <mergeCell ref="G16:I16"/>
    <mergeCell ref="C17:D17"/>
    <mergeCell ref="E17:F17"/>
    <mergeCell ref="G17:H17"/>
    <mergeCell ref="A22:B22"/>
    <mergeCell ref="C22:D22"/>
    <mergeCell ref="E22:F22"/>
    <mergeCell ref="G22:H22"/>
    <mergeCell ref="A23:B23"/>
    <mergeCell ref="C23:D23"/>
    <mergeCell ref="E23:F23"/>
    <mergeCell ref="G23:H23"/>
    <mergeCell ref="A20:B20"/>
    <mergeCell ref="C20:D20"/>
    <mergeCell ref="E20:F20"/>
    <mergeCell ref="G20:H20"/>
    <mergeCell ref="A21:B21"/>
    <mergeCell ref="C21:D21"/>
    <mergeCell ref="E21:F21"/>
    <mergeCell ref="G21:H21"/>
    <mergeCell ref="A26:B26"/>
    <mergeCell ref="C26:D26"/>
    <mergeCell ref="E26:F26"/>
    <mergeCell ref="G26:H26"/>
    <mergeCell ref="A27:B27"/>
    <mergeCell ref="C27:D27"/>
    <mergeCell ref="E27:F27"/>
    <mergeCell ref="G27:H27"/>
    <mergeCell ref="A24:B24"/>
    <mergeCell ref="C24:D24"/>
    <mergeCell ref="E24:F24"/>
    <mergeCell ref="G24:H24"/>
    <mergeCell ref="A25:B25"/>
    <mergeCell ref="C25:D25"/>
    <mergeCell ref="E25:F25"/>
    <mergeCell ref="G25:H25"/>
    <mergeCell ref="A30:B30"/>
    <mergeCell ref="C30:D30"/>
    <mergeCell ref="E30:F30"/>
    <mergeCell ref="G30:H30"/>
    <mergeCell ref="A31:B31"/>
    <mergeCell ref="C31:D31"/>
    <mergeCell ref="E31:F31"/>
    <mergeCell ref="G31:H31"/>
    <mergeCell ref="A28:B28"/>
    <mergeCell ref="C28:D28"/>
    <mergeCell ref="E28:F28"/>
    <mergeCell ref="G28:H28"/>
    <mergeCell ref="A29:B29"/>
    <mergeCell ref="C29:D29"/>
    <mergeCell ref="E29:F29"/>
    <mergeCell ref="G29:H29"/>
    <mergeCell ref="A34:B34"/>
    <mergeCell ref="C34:D34"/>
    <mergeCell ref="E34:F34"/>
    <mergeCell ref="G34:H34"/>
    <mergeCell ref="A35:B35"/>
    <mergeCell ref="C35:D35"/>
    <mergeCell ref="E35:F35"/>
    <mergeCell ref="G35:H35"/>
    <mergeCell ref="A32:B32"/>
    <mergeCell ref="C32:D32"/>
    <mergeCell ref="E32:F32"/>
    <mergeCell ref="G32:H32"/>
    <mergeCell ref="A33:B33"/>
    <mergeCell ref="C33:D33"/>
    <mergeCell ref="E33:F33"/>
    <mergeCell ref="G33:H33"/>
    <mergeCell ref="A38:B38"/>
    <mergeCell ref="C38:D38"/>
    <mergeCell ref="E38:F38"/>
    <mergeCell ref="G38:H38"/>
    <mergeCell ref="A39:B39"/>
    <mergeCell ref="C39:D39"/>
    <mergeCell ref="E39:F39"/>
    <mergeCell ref="G39:H39"/>
    <mergeCell ref="A36:B36"/>
    <mergeCell ref="C36:D36"/>
    <mergeCell ref="E36:F36"/>
    <mergeCell ref="G36:H36"/>
    <mergeCell ref="A37:B37"/>
    <mergeCell ref="C37:D37"/>
    <mergeCell ref="E37:F37"/>
    <mergeCell ref="G37:H37"/>
    <mergeCell ref="A43:I49"/>
    <mergeCell ref="A40:B40"/>
    <mergeCell ref="C40:D40"/>
    <mergeCell ref="E40:F40"/>
    <mergeCell ref="G40:H40"/>
    <mergeCell ref="A41:B41"/>
    <mergeCell ref="C41:D41"/>
    <mergeCell ref="E41:F41"/>
    <mergeCell ref="G41:H41"/>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B0EF3-A9C9-4404-916F-4C5686F9ADA0}">
  <dimension ref="A1:F16"/>
  <sheetViews>
    <sheetView workbookViewId="0">
      <selection sqref="A1:XFD1048576"/>
    </sheetView>
  </sheetViews>
  <sheetFormatPr baseColWidth="10" defaultColWidth="11.42578125" defaultRowHeight="13.15" customHeight="1" x14ac:dyDescent="0.25"/>
  <cols>
    <col min="1" max="1" width="38.42578125" style="376" customWidth="1"/>
    <col min="2" max="2" width="12.5703125" style="376" customWidth="1"/>
    <col min="3" max="3" width="7.7109375" style="376" customWidth="1"/>
    <col min="4" max="4" width="15.7109375" style="376" customWidth="1"/>
    <col min="5" max="5" width="14.42578125" style="376" customWidth="1"/>
    <col min="6" max="6" width="14.140625" style="376" customWidth="1"/>
    <col min="7" max="7" width="14.28515625" style="376" customWidth="1"/>
    <col min="8" max="8" width="4.5703125" style="376" customWidth="1"/>
    <col min="9" max="16384" width="11.42578125" style="376"/>
  </cols>
  <sheetData>
    <row r="1" spans="1:6" ht="16.5" customHeight="1" x14ac:dyDescent="0.25">
      <c r="A1" s="1213" t="s">
        <v>1147</v>
      </c>
      <c r="B1" s="1214"/>
      <c r="C1" s="1214"/>
      <c r="D1" s="1214"/>
      <c r="E1" s="1214"/>
      <c r="F1" s="1214"/>
    </row>
    <row r="2" spans="1:6" ht="15" x14ac:dyDescent="0.25">
      <c r="A2" s="1214"/>
      <c r="B2" s="1214"/>
      <c r="C2" s="1214"/>
      <c r="D2" s="1214"/>
      <c r="E2" s="1214"/>
      <c r="F2" s="1214"/>
    </row>
    <row r="3" spans="1:6" ht="15" customHeight="1" x14ac:dyDescent="0.25">
      <c r="A3" s="1214"/>
      <c r="B3" s="1214"/>
      <c r="C3" s="1214"/>
      <c r="D3" s="1214"/>
      <c r="E3" s="1214"/>
      <c r="F3" s="1214"/>
    </row>
    <row r="4" spans="1:6" ht="15" x14ac:dyDescent="0.25">
      <c r="A4" s="1214"/>
      <c r="B4" s="1214"/>
      <c r="C4" s="1214"/>
      <c r="D4" s="1214"/>
      <c r="E4" s="1214"/>
      <c r="F4" s="1214"/>
    </row>
    <row r="5" spans="1:6" ht="15" customHeight="1" x14ac:dyDescent="0.25">
      <c r="A5" s="1214"/>
      <c r="B5" s="1214"/>
      <c r="C5" s="1214"/>
      <c r="D5" s="1214"/>
      <c r="E5" s="1214"/>
      <c r="F5" s="1214"/>
    </row>
    <row r="6" spans="1:6" ht="15" x14ac:dyDescent="0.25">
      <c r="A6" s="1214"/>
      <c r="B6" s="1214"/>
      <c r="C6" s="1214"/>
      <c r="D6" s="1214"/>
      <c r="E6" s="1214"/>
      <c r="F6" s="1214"/>
    </row>
    <row r="7" spans="1:6" ht="15" x14ac:dyDescent="0.25">
      <c r="A7" s="1214"/>
      <c r="B7" s="1214"/>
      <c r="C7" s="1214"/>
      <c r="D7" s="1214"/>
      <c r="E7" s="1214"/>
      <c r="F7" s="1214"/>
    </row>
    <row r="8" spans="1:6" ht="21.75" customHeight="1" x14ac:dyDescent="0.25">
      <c r="A8" s="1214"/>
      <c r="B8" s="1214"/>
      <c r="C8" s="1214"/>
      <c r="D8" s="1214"/>
      <c r="E8" s="1214"/>
      <c r="F8" s="1214"/>
    </row>
    <row r="9" spans="1:6" ht="6" customHeight="1" x14ac:dyDescent="0.25">
      <c r="A9" s="1214"/>
      <c r="B9" s="1214"/>
      <c r="C9" s="1214"/>
      <c r="D9" s="1214"/>
      <c r="E9" s="1214"/>
      <c r="F9" s="1214"/>
    </row>
    <row r="10" spans="1:6" ht="22.5" customHeight="1" x14ac:dyDescent="0.25">
      <c r="A10" s="1214"/>
      <c r="B10" s="1214"/>
      <c r="C10" s="1214"/>
      <c r="D10" s="1214"/>
      <c r="E10" s="1214"/>
      <c r="F10" s="1214"/>
    </row>
    <row r="11" spans="1:6" ht="5.25" customHeight="1" x14ac:dyDescent="0.25">
      <c r="A11" s="1214"/>
      <c r="B11" s="1214"/>
      <c r="C11" s="1214"/>
      <c r="D11" s="1214"/>
      <c r="E11" s="1214"/>
      <c r="F11" s="1214"/>
    </row>
    <row r="12" spans="1:6" ht="21.75" customHeight="1" x14ac:dyDescent="0.25">
      <c r="A12" s="1214"/>
      <c r="B12" s="1214"/>
      <c r="C12" s="1214"/>
      <c r="D12" s="1214"/>
      <c r="E12" s="1214"/>
      <c r="F12" s="1214"/>
    </row>
    <row r="13" spans="1:6" ht="22.5" customHeight="1" x14ac:dyDescent="0.25">
      <c r="A13" s="1214"/>
      <c r="B13" s="1214"/>
      <c r="C13" s="1214"/>
      <c r="D13" s="1214"/>
      <c r="E13" s="1214"/>
      <c r="F13" s="1214"/>
    </row>
    <row r="14" spans="1:6" ht="22.5" customHeight="1" x14ac:dyDescent="0.25">
      <c r="A14" s="1214"/>
      <c r="B14" s="1214"/>
      <c r="C14" s="1214"/>
      <c r="D14" s="1214"/>
      <c r="E14" s="1214"/>
      <c r="F14" s="1214"/>
    </row>
    <row r="15" spans="1:6" ht="14.25" customHeight="1" x14ac:dyDescent="0.25">
      <c r="A15" s="1214"/>
      <c r="B15" s="1214"/>
      <c r="C15" s="1214"/>
      <c r="D15" s="1214"/>
      <c r="E15" s="1214"/>
      <c r="F15" s="1214"/>
    </row>
    <row r="16" spans="1:6" ht="13.15" customHeight="1" x14ac:dyDescent="0.25">
      <c r="A16" s="1215"/>
      <c r="B16" s="1215"/>
      <c r="C16" s="1216"/>
      <c r="D16" s="1216"/>
      <c r="E16" s="1216"/>
      <c r="F16" s="1216"/>
    </row>
  </sheetData>
  <mergeCells count="4">
    <mergeCell ref="A1:F15"/>
    <mergeCell ref="A16:B16"/>
    <mergeCell ref="C16:D16"/>
    <mergeCell ref="E16:F1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7A939-2B70-4075-A664-48A7C4D82AD2}">
  <dimension ref="A1:S40"/>
  <sheetViews>
    <sheetView workbookViewId="0">
      <selection sqref="A1:XFD1048576"/>
    </sheetView>
  </sheetViews>
  <sheetFormatPr baseColWidth="10" defaultColWidth="11.42578125" defaultRowHeight="13.15" customHeight="1" x14ac:dyDescent="0.2"/>
  <cols>
    <col min="1" max="1" width="19.140625" style="252" customWidth="1"/>
    <col min="2" max="2" width="12.7109375" style="252" customWidth="1"/>
    <col min="3" max="3" width="14.5703125" style="252" customWidth="1"/>
    <col min="4" max="4" width="8.5703125" style="252" customWidth="1"/>
    <col min="5" max="5" width="2" style="252" customWidth="1"/>
    <col min="6" max="6" width="17.42578125" style="252" customWidth="1"/>
    <col min="7" max="7" width="18.85546875" style="252" customWidth="1"/>
    <col min="8" max="8" width="6.85546875" style="252" customWidth="1"/>
    <col min="9" max="9" width="9.85546875" style="252" customWidth="1"/>
    <col min="10" max="10" width="8.42578125" style="252" customWidth="1"/>
    <col min="11" max="11" width="8.140625" style="252" customWidth="1"/>
    <col min="12" max="12" width="9.85546875" style="252" customWidth="1"/>
    <col min="13" max="18" width="11.42578125" style="252"/>
    <col min="19" max="19" width="17.42578125" style="252" customWidth="1"/>
    <col min="20" max="16384" width="11.42578125" style="252"/>
  </cols>
  <sheetData>
    <row r="1" spans="1:19" ht="14.25" x14ac:dyDescent="0.2">
      <c r="A1" s="1225"/>
      <c r="B1" s="1225"/>
      <c r="C1" s="1223"/>
      <c r="D1" s="1223"/>
      <c r="E1" s="1223"/>
      <c r="F1" s="1223"/>
      <c r="G1" s="1223"/>
      <c r="H1" s="1223"/>
      <c r="I1" s="1223"/>
      <c r="J1" s="1223"/>
    </row>
    <row r="2" spans="1:19" ht="14.25" x14ac:dyDescent="0.2">
      <c r="A2" s="200" t="s">
        <v>363</v>
      </c>
      <c r="B2" s="200"/>
      <c r="C2" s="619">
        <v>4444444444</v>
      </c>
      <c r="D2" s="619"/>
      <c r="E2" s="619"/>
      <c r="F2" s="619"/>
      <c r="G2" s="619"/>
      <c r="H2" s="619"/>
      <c r="I2" s="619"/>
      <c r="J2" s="619"/>
    </row>
    <row r="3" spans="1:19" ht="14.25" x14ac:dyDescent="0.2">
      <c r="A3" s="200"/>
      <c r="B3" s="200"/>
      <c r="C3" s="620">
        <v>56565665</v>
      </c>
      <c r="D3" s="620"/>
      <c r="E3" s="620"/>
      <c r="F3" s="620"/>
      <c r="G3" s="620"/>
      <c r="H3" s="620"/>
      <c r="I3" s="620"/>
      <c r="J3" s="620"/>
    </row>
    <row r="4" spans="1:19" ht="14.25" x14ac:dyDescent="0.2">
      <c r="A4" s="200" t="s">
        <v>364</v>
      </c>
      <c r="B4" s="200"/>
      <c r="C4" s="620" t="s">
        <v>6</v>
      </c>
      <c r="D4" s="620"/>
      <c r="E4" s="620"/>
      <c r="F4" s="620"/>
      <c r="G4" s="620"/>
      <c r="H4" s="620"/>
      <c r="I4" s="620"/>
      <c r="J4" s="620"/>
    </row>
    <row r="5" spans="1:19" ht="14.25" x14ac:dyDescent="0.2">
      <c r="A5" s="200" t="s">
        <v>365</v>
      </c>
      <c r="B5" s="200"/>
      <c r="C5" s="621" t="s">
        <v>699</v>
      </c>
      <c r="D5" s="621"/>
      <c r="E5" s="621"/>
      <c r="F5" s="621"/>
      <c r="G5" s="621"/>
      <c r="H5" s="621"/>
      <c r="I5" s="621"/>
      <c r="J5" s="621"/>
    </row>
    <row r="6" spans="1:19" ht="14.25" x14ac:dyDescent="0.2">
      <c r="A6" s="200" t="s">
        <v>366</v>
      </c>
      <c r="B6" s="200"/>
      <c r="C6" s="620">
        <v>125545</v>
      </c>
      <c r="D6" s="620"/>
      <c r="E6" s="622" t="s">
        <v>367</v>
      </c>
      <c r="F6" s="622"/>
      <c r="G6" s="240">
        <v>46022</v>
      </c>
      <c r="H6" s="611" t="s">
        <v>467</v>
      </c>
      <c r="I6" s="611"/>
      <c r="J6" s="241">
        <v>12</v>
      </c>
    </row>
    <row r="7" spans="1:19" ht="14.25" x14ac:dyDescent="0.2">
      <c r="A7" s="198" t="s">
        <v>369</v>
      </c>
      <c r="B7" s="24"/>
      <c r="C7" s="615" t="s">
        <v>8</v>
      </c>
      <c r="D7" s="615"/>
      <c r="E7" s="615"/>
      <c r="F7" s="615"/>
      <c r="G7" s="615"/>
      <c r="H7" s="615"/>
      <c r="I7" s="615"/>
      <c r="J7" s="615"/>
    </row>
    <row r="8" spans="1:19" ht="14.25" x14ac:dyDescent="0.2">
      <c r="A8" s="200" t="s">
        <v>468</v>
      </c>
      <c r="B8" s="24"/>
      <c r="C8" s="616" t="s">
        <v>35</v>
      </c>
      <c r="D8" s="616"/>
      <c r="E8" s="616"/>
      <c r="F8" s="616"/>
      <c r="G8" s="616"/>
      <c r="H8" s="616"/>
      <c r="I8" s="616"/>
      <c r="J8" s="616"/>
    </row>
    <row r="9" spans="1:19" ht="14.25" x14ac:dyDescent="0.2">
      <c r="A9" s="200"/>
      <c r="B9" s="24"/>
      <c r="C9" s="611" t="s">
        <v>36</v>
      </c>
      <c r="D9" s="611"/>
      <c r="E9" s="611"/>
      <c r="F9" s="611"/>
      <c r="G9" s="611"/>
      <c r="H9" s="611"/>
      <c r="I9" s="611"/>
      <c r="J9" s="611"/>
    </row>
    <row r="10" spans="1:19" ht="14.25" x14ac:dyDescent="0.2">
      <c r="A10" s="200" t="s">
        <v>469</v>
      </c>
      <c r="B10" s="24"/>
      <c r="C10" s="611" t="s">
        <v>40</v>
      </c>
      <c r="D10" s="611"/>
      <c r="E10" s="611"/>
      <c r="F10" s="611" t="s">
        <v>470</v>
      </c>
      <c r="G10" s="611"/>
      <c r="H10" s="611" t="s">
        <v>38</v>
      </c>
      <c r="I10" s="611"/>
      <c r="J10" s="611"/>
    </row>
    <row r="11" spans="1:19" ht="14.25" x14ac:dyDescent="0.2">
      <c r="A11" s="200" t="s">
        <v>471</v>
      </c>
      <c r="B11" s="24"/>
      <c r="C11" s="610">
        <v>44713</v>
      </c>
      <c r="D11" s="610"/>
      <c r="E11" s="610"/>
      <c r="F11" s="611" t="s">
        <v>472</v>
      </c>
      <c r="G11" s="611"/>
      <c r="H11" s="610">
        <v>45991</v>
      </c>
      <c r="I11" s="610"/>
      <c r="J11" s="610"/>
    </row>
    <row r="12" spans="1:19" ht="14.25" x14ac:dyDescent="0.2">
      <c r="A12" s="1223" t="s">
        <v>1148</v>
      </c>
      <c r="B12" s="1223"/>
      <c r="C12" s="1223"/>
      <c r="D12" s="1223"/>
      <c r="E12" s="1223"/>
      <c r="F12" s="1223"/>
      <c r="G12" s="1223"/>
      <c r="H12" s="1223"/>
      <c r="I12" s="1223"/>
      <c r="J12" s="1223"/>
    </row>
    <row r="13" spans="1:19" ht="14.25" x14ac:dyDescent="0.2">
      <c r="A13" s="24"/>
      <c r="B13" s="24"/>
      <c r="C13" s="24"/>
      <c r="D13" s="24"/>
      <c r="E13" s="24"/>
      <c r="F13" s="24"/>
      <c r="G13" s="24"/>
      <c r="H13" s="24"/>
      <c r="I13" s="24"/>
      <c r="J13" s="24"/>
    </row>
    <row r="14" spans="1:19" ht="14.25" x14ac:dyDescent="0.2">
      <c r="A14" s="483" t="s">
        <v>1149</v>
      </c>
      <c r="B14" s="1224" t="s">
        <v>702</v>
      </c>
      <c r="C14" s="1224"/>
      <c r="D14" s="1224"/>
      <c r="E14" s="1224"/>
      <c r="F14" s="1224"/>
      <c r="G14" s="1224"/>
      <c r="H14" s="1224"/>
      <c r="I14" s="483" t="s">
        <v>682</v>
      </c>
      <c r="J14" s="483" t="s">
        <v>703</v>
      </c>
    </row>
    <row r="15" spans="1:19" ht="14.25" x14ac:dyDescent="0.2">
      <c r="A15" s="484" t="s">
        <v>1150</v>
      </c>
      <c r="B15" s="1220" t="s">
        <v>1151</v>
      </c>
      <c r="C15" s="1221"/>
      <c r="D15" s="1221"/>
      <c r="E15" s="1221"/>
      <c r="F15" s="1221"/>
      <c r="G15" s="1221"/>
      <c r="H15" s="1222"/>
      <c r="I15" s="247" t="s">
        <v>707</v>
      </c>
      <c r="J15" s="247" t="s">
        <v>708</v>
      </c>
      <c r="R15" s="485"/>
      <c r="S15" s="28"/>
    </row>
    <row r="16" spans="1:19" ht="14.25" x14ac:dyDescent="0.2">
      <c r="A16" s="484" t="s">
        <v>1150</v>
      </c>
      <c r="B16" s="1220" t="s">
        <v>1152</v>
      </c>
      <c r="C16" s="1221"/>
      <c r="D16" s="1221"/>
      <c r="E16" s="1221"/>
      <c r="F16" s="1221"/>
      <c r="G16" s="1221"/>
      <c r="H16" s="1222"/>
      <c r="I16" s="247" t="s">
        <v>707</v>
      </c>
      <c r="J16" s="247" t="s">
        <v>708</v>
      </c>
      <c r="R16" s="485"/>
      <c r="S16" s="28"/>
    </row>
    <row r="17" spans="1:19" ht="14.25" x14ac:dyDescent="0.2">
      <c r="A17" s="484" t="s">
        <v>1150</v>
      </c>
      <c r="B17" s="1220" t="s">
        <v>1153</v>
      </c>
      <c r="C17" s="1221"/>
      <c r="D17" s="1221"/>
      <c r="E17" s="1221"/>
      <c r="F17" s="1221"/>
      <c r="G17" s="1221"/>
      <c r="H17" s="1222"/>
      <c r="I17" s="247" t="s">
        <v>707</v>
      </c>
      <c r="J17" s="247" t="s">
        <v>708</v>
      </c>
      <c r="R17" s="485"/>
      <c r="S17" s="28"/>
    </row>
    <row r="18" spans="1:19" ht="14.25" x14ac:dyDescent="0.2">
      <c r="A18" s="484" t="s">
        <v>1150</v>
      </c>
      <c r="B18" s="1220" t="s">
        <v>1154</v>
      </c>
      <c r="C18" s="1221"/>
      <c r="D18" s="1221"/>
      <c r="E18" s="1221"/>
      <c r="F18" s="1221"/>
      <c r="G18" s="1221"/>
      <c r="H18" s="1222"/>
      <c r="I18" s="247" t="s">
        <v>707</v>
      </c>
      <c r="J18" s="247" t="s">
        <v>708</v>
      </c>
      <c r="R18" s="485"/>
      <c r="S18" s="28"/>
    </row>
    <row r="19" spans="1:19" ht="14.25" x14ac:dyDescent="0.2">
      <c r="A19" s="484" t="s">
        <v>1155</v>
      </c>
      <c r="B19" s="1220" t="s">
        <v>1156</v>
      </c>
      <c r="C19" s="1221"/>
      <c r="D19" s="1221"/>
      <c r="E19" s="1221"/>
      <c r="F19" s="1221"/>
      <c r="G19" s="1221"/>
      <c r="H19" s="1222"/>
      <c r="I19" s="247" t="s">
        <v>707</v>
      </c>
      <c r="J19" s="247" t="s">
        <v>708</v>
      </c>
      <c r="R19" s="485"/>
      <c r="S19" s="28"/>
    </row>
    <row r="20" spans="1:19" ht="14.25" x14ac:dyDescent="0.2">
      <c r="A20" s="484" t="s">
        <v>1155</v>
      </c>
      <c r="B20" s="1220" t="s">
        <v>1157</v>
      </c>
      <c r="C20" s="1221"/>
      <c r="D20" s="1221"/>
      <c r="E20" s="1221"/>
      <c r="F20" s="1221"/>
      <c r="G20" s="1221"/>
      <c r="H20" s="1222"/>
      <c r="I20" s="247" t="s">
        <v>707</v>
      </c>
      <c r="J20" s="247" t="s">
        <v>708</v>
      </c>
      <c r="R20" s="485"/>
      <c r="S20" s="28"/>
    </row>
    <row r="21" spans="1:19" ht="14.25" x14ac:dyDescent="0.2">
      <c r="A21" s="484" t="s">
        <v>1158</v>
      </c>
      <c r="B21" s="1220" t="s">
        <v>1159</v>
      </c>
      <c r="C21" s="1221"/>
      <c r="D21" s="1221"/>
      <c r="E21" s="1221"/>
      <c r="F21" s="1221"/>
      <c r="G21" s="1221"/>
      <c r="H21" s="1222"/>
      <c r="I21" s="247" t="s">
        <v>707</v>
      </c>
      <c r="J21" s="247" t="s">
        <v>708</v>
      </c>
      <c r="R21" s="485"/>
      <c r="S21" s="28"/>
    </row>
    <row r="22" spans="1:19" ht="14.25" x14ac:dyDescent="0.2">
      <c r="A22" s="484" t="s">
        <v>1160</v>
      </c>
      <c r="B22" s="1220" t="s">
        <v>1161</v>
      </c>
      <c r="C22" s="1221"/>
      <c r="D22" s="1221"/>
      <c r="E22" s="1221"/>
      <c r="F22" s="1221"/>
      <c r="G22" s="1221"/>
      <c r="H22" s="1222"/>
      <c r="I22" s="247" t="s">
        <v>707</v>
      </c>
      <c r="J22" s="247" t="s">
        <v>708</v>
      </c>
      <c r="R22" s="485"/>
      <c r="S22" s="28"/>
    </row>
    <row r="23" spans="1:19" ht="14.25" x14ac:dyDescent="0.2">
      <c r="A23" s="484" t="s">
        <v>1162</v>
      </c>
      <c r="B23" s="1220" t="s">
        <v>1163</v>
      </c>
      <c r="C23" s="1221"/>
      <c r="D23" s="1221"/>
      <c r="E23" s="1221"/>
      <c r="F23" s="1221"/>
      <c r="G23" s="1221"/>
      <c r="H23" s="1222"/>
      <c r="I23" s="247" t="s">
        <v>707</v>
      </c>
      <c r="J23" s="247" t="s">
        <v>708</v>
      </c>
      <c r="R23" s="485"/>
      <c r="S23" s="28"/>
    </row>
    <row r="24" spans="1:19" ht="14.25" x14ac:dyDescent="0.2">
      <c r="A24" s="484" t="s">
        <v>1164</v>
      </c>
      <c r="B24" s="1220" t="s">
        <v>1165</v>
      </c>
      <c r="C24" s="1221"/>
      <c r="D24" s="1221"/>
      <c r="E24" s="1221"/>
      <c r="F24" s="1221"/>
      <c r="G24" s="1221"/>
      <c r="H24" s="1222"/>
      <c r="I24" s="247" t="s">
        <v>707</v>
      </c>
      <c r="J24" s="247" t="s">
        <v>708</v>
      </c>
      <c r="R24" s="485"/>
      <c r="S24" s="28"/>
    </row>
    <row r="25" spans="1:19" ht="14.25" x14ac:dyDescent="0.2">
      <c r="A25" s="484" t="s">
        <v>1166</v>
      </c>
      <c r="B25" s="1220" t="s">
        <v>1167</v>
      </c>
      <c r="C25" s="1221"/>
      <c r="D25" s="1221"/>
      <c r="E25" s="1221"/>
      <c r="F25" s="1221"/>
      <c r="G25" s="1221"/>
      <c r="H25" s="1222"/>
      <c r="I25" s="247" t="s">
        <v>707</v>
      </c>
      <c r="J25" s="247" t="s">
        <v>708</v>
      </c>
      <c r="R25" s="485"/>
      <c r="S25" s="28"/>
    </row>
    <row r="26" spans="1:19" ht="14.25" x14ac:dyDescent="0.2">
      <c r="A26" s="484" t="s">
        <v>1168</v>
      </c>
      <c r="B26" s="1220" t="s">
        <v>1169</v>
      </c>
      <c r="C26" s="1221"/>
      <c r="D26" s="1221"/>
      <c r="E26" s="1221"/>
      <c r="F26" s="1221"/>
      <c r="G26" s="1221"/>
      <c r="H26" s="1222"/>
      <c r="I26" s="247" t="s">
        <v>707</v>
      </c>
      <c r="J26" s="247" t="s">
        <v>708</v>
      </c>
      <c r="R26" s="485"/>
      <c r="S26" s="28"/>
    </row>
    <row r="27" spans="1:19" ht="14.25" x14ac:dyDescent="0.2">
      <c r="A27" s="484" t="s">
        <v>1170</v>
      </c>
      <c r="B27" s="1220" t="s">
        <v>1171</v>
      </c>
      <c r="C27" s="1221"/>
      <c r="D27" s="1221"/>
      <c r="E27" s="1221"/>
      <c r="F27" s="1221"/>
      <c r="G27" s="1221"/>
      <c r="H27" s="1222"/>
      <c r="I27" s="247" t="s">
        <v>707</v>
      </c>
      <c r="J27" s="247" t="s">
        <v>708</v>
      </c>
      <c r="R27" s="485"/>
      <c r="S27" s="28"/>
    </row>
    <row r="28" spans="1:19" ht="14.25" x14ac:dyDescent="0.2">
      <c r="A28" s="484" t="s">
        <v>1172</v>
      </c>
      <c r="B28" s="1220" t="s">
        <v>1173</v>
      </c>
      <c r="C28" s="1221"/>
      <c r="D28" s="1221"/>
      <c r="E28" s="1221"/>
      <c r="F28" s="1221"/>
      <c r="G28" s="1221"/>
      <c r="H28" s="1222"/>
      <c r="I28" s="247" t="s">
        <v>707</v>
      </c>
      <c r="J28" s="247" t="s">
        <v>708</v>
      </c>
      <c r="R28" s="485"/>
      <c r="S28" s="28"/>
    </row>
    <row r="29" spans="1:19" ht="14.25" x14ac:dyDescent="0.2">
      <c r="A29" s="484" t="s">
        <v>1174</v>
      </c>
      <c r="B29" s="1220" t="s">
        <v>1175</v>
      </c>
      <c r="C29" s="1221"/>
      <c r="D29" s="1221"/>
      <c r="E29" s="1221"/>
      <c r="F29" s="1221"/>
      <c r="G29" s="1221"/>
      <c r="H29" s="1222"/>
      <c r="I29" s="247" t="s">
        <v>707</v>
      </c>
      <c r="J29" s="247" t="s">
        <v>708</v>
      </c>
      <c r="R29" s="485"/>
      <c r="S29" s="28"/>
    </row>
    <row r="30" spans="1:19" ht="14.25" x14ac:dyDescent="0.2">
      <c r="A30" s="484" t="s">
        <v>1176</v>
      </c>
      <c r="B30" s="1217" t="s">
        <v>1177</v>
      </c>
      <c r="C30" s="1218"/>
      <c r="D30" s="1218"/>
      <c r="E30" s="1218"/>
      <c r="F30" s="1218"/>
      <c r="G30" s="1218"/>
      <c r="H30" s="1219"/>
      <c r="I30" s="247" t="s">
        <v>707</v>
      </c>
      <c r="J30" s="247" t="s">
        <v>708</v>
      </c>
      <c r="R30" s="485"/>
      <c r="S30" s="28"/>
    </row>
    <row r="31" spans="1:19" ht="14.25" x14ac:dyDescent="0.2">
      <c r="A31" s="484" t="s">
        <v>1178</v>
      </c>
      <c r="B31" s="1217" t="s">
        <v>1179</v>
      </c>
      <c r="C31" s="1218"/>
      <c r="D31" s="1218"/>
      <c r="E31" s="1218"/>
      <c r="F31" s="1218"/>
      <c r="G31" s="1218"/>
      <c r="H31" s="1219"/>
      <c r="I31" s="247" t="s">
        <v>707</v>
      </c>
      <c r="J31" s="247" t="s">
        <v>708</v>
      </c>
      <c r="R31" s="485"/>
      <c r="S31" s="28"/>
    </row>
    <row r="32" spans="1:19" ht="14.25" x14ac:dyDescent="0.2">
      <c r="A32" s="484" t="s">
        <v>1180</v>
      </c>
      <c r="B32" s="1217" t="s">
        <v>1181</v>
      </c>
      <c r="C32" s="1218"/>
      <c r="D32" s="1218"/>
      <c r="E32" s="1218"/>
      <c r="F32" s="1218"/>
      <c r="G32" s="1218"/>
      <c r="H32" s="1219"/>
      <c r="I32" s="247" t="s">
        <v>707</v>
      </c>
      <c r="J32" s="247" t="s">
        <v>708</v>
      </c>
      <c r="R32" s="485"/>
      <c r="S32" s="28"/>
    </row>
    <row r="33" spans="1:19" ht="14.25" x14ac:dyDescent="0.2">
      <c r="A33" s="484" t="s">
        <v>1182</v>
      </c>
      <c r="B33" s="1217" t="s">
        <v>1183</v>
      </c>
      <c r="C33" s="1218"/>
      <c r="D33" s="1218"/>
      <c r="E33" s="1218"/>
      <c r="F33" s="1218"/>
      <c r="G33" s="1218"/>
      <c r="H33" s="1219"/>
      <c r="I33" s="247" t="s">
        <v>707</v>
      </c>
      <c r="J33" s="247" t="s">
        <v>708</v>
      </c>
      <c r="R33" s="485"/>
      <c r="S33" s="28"/>
    </row>
    <row r="34" spans="1:19" ht="14.25" x14ac:dyDescent="0.2">
      <c r="A34" s="484" t="s">
        <v>1184</v>
      </c>
      <c r="B34" s="1217" t="s">
        <v>1185</v>
      </c>
      <c r="C34" s="1218"/>
      <c r="D34" s="1218"/>
      <c r="E34" s="1218"/>
      <c r="F34" s="1218"/>
      <c r="G34" s="1218"/>
      <c r="H34" s="1219"/>
      <c r="I34" s="247" t="s">
        <v>707</v>
      </c>
      <c r="J34" s="247" t="s">
        <v>708</v>
      </c>
      <c r="R34" s="485"/>
      <c r="S34" s="28"/>
    </row>
    <row r="35" spans="1:19" ht="14.25" x14ac:dyDescent="0.2">
      <c r="A35" s="484" t="s">
        <v>1186</v>
      </c>
      <c r="B35" s="1217" t="s">
        <v>1187</v>
      </c>
      <c r="C35" s="1218"/>
      <c r="D35" s="1218"/>
      <c r="E35" s="1218"/>
      <c r="F35" s="1218"/>
      <c r="G35" s="1218"/>
      <c r="H35" s="1219"/>
      <c r="I35" s="247" t="s">
        <v>707</v>
      </c>
      <c r="J35" s="247" t="s">
        <v>708</v>
      </c>
      <c r="R35" s="485"/>
      <c r="S35" s="28"/>
    </row>
    <row r="36" spans="1:19" ht="14.25" x14ac:dyDescent="0.2">
      <c r="A36" s="484" t="s">
        <v>1188</v>
      </c>
      <c r="B36" s="1217" t="s">
        <v>1189</v>
      </c>
      <c r="C36" s="1218"/>
      <c r="D36" s="1218"/>
      <c r="E36" s="1218"/>
      <c r="F36" s="1218"/>
      <c r="G36" s="1218"/>
      <c r="H36" s="1219"/>
      <c r="I36" s="247" t="s">
        <v>707</v>
      </c>
      <c r="J36" s="247" t="s">
        <v>708</v>
      </c>
      <c r="R36" s="485"/>
      <c r="S36" s="28"/>
    </row>
    <row r="37" spans="1:19" ht="14.25" x14ac:dyDescent="0.2">
      <c r="A37" s="24"/>
      <c r="B37" s="24"/>
      <c r="C37" s="24"/>
      <c r="D37" s="24"/>
      <c r="E37" s="24"/>
      <c r="F37" s="24"/>
      <c r="G37" s="24"/>
      <c r="H37" s="24"/>
      <c r="I37" s="24"/>
      <c r="J37" s="24"/>
      <c r="R37" s="485"/>
      <c r="S37" s="28"/>
    </row>
    <row r="38" spans="1:19" ht="14.25" x14ac:dyDescent="0.2">
      <c r="A38" s="486" t="s">
        <v>1190</v>
      </c>
      <c r="B38" s="486"/>
      <c r="C38" s="487"/>
      <c r="D38" s="24"/>
      <c r="E38" s="24"/>
      <c r="F38" s="24"/>
      <c r="G38" s="24"/>
      <c r="H38" s="24"/>
      <c r="I38" s="24"/>
      <c r="J38" s="24"/>
      <c r="R38" s="485"/>
      <c r="S38" s="28"/>
    </row>
    <row r="39" spans="1:19" ht="14.25" x14ac:dyDescent="0.2">
      <c r="R39" s="485"/>
      <c r="S39" s="28"/>
    </row>
    <row r="40" spans="1:19" ht="14.25" x14ac:dyDescent="0.2">
      <c r="R40" s="485"/>
      <c r="S40" s="28"/>
    </row>
  </sheetData>
  <mergeCells count="41">
    <mergeCell ref="C6:D6"/>
    <mergeCell ref="E6:F6"/>
    <mergeCell ref="H6:I6"/>
    <mergeCell ref="A1:J1"/>
    <mergeCell ref="C2:J2"/>
    <mergeCell ref="C3:J3"/>
    <mergeCell ref="C4:J4"/>
    <mergeCell ref="C5:J5"/>
    <mergeCell ref="B15:H15"/>
    <mergeCell ref="C7:J7"/>
    <mergeCell ref="C8:J8"/>
    <mergeCell ref="C9:J9"/>
    <mergeCell ref="C10:E10"/>
    <mergeCell ref="F10:G10"/>
    <mergeCell ref="H10:J10"/>
    <mergeCell ref="C11:E11"/>
    <mergeCell ref="F11:G11"/>
    <mergeCell ref="H11:J11"/>
    <mergeCell ref="A12:J12"/>
    <mergeCell ref="B14:H14"/>
    <mergeCell ref="B27:H27"/>
    <mergeCell ref="B16:H16"/>
    <mergeCell ref="B17:H17"/>
    <mergeCell ref="B18:H18"/>
    <mergeCell ref="B19:H19"/>
    <mergeCell ref="B20:H20"/>
    <mergeCell ref="B21:H21"/>
    <mergeCell ref="B22:H22"/>
    <mergeCell ref="B23:H23"/>
    <mergeCell ref="B24:H24"/>
    <mergeCell ref="B25:H25"/>
    <mergeCell ref="B26:H26"/>
    <mergeCell ref="B34:H34"/>
    <mergeCell ref="B35:H35"/>
    <mergeCell ref="B36:H36"/>
    <mergeCell ref="B28:H28"/>
    <mergeCell ref="B29:H29"/>
    <mergeCell ref="B30:H30"/>
    <mergeCell ref="B31:H31"/>
    <mergeCell ref="B32:H32"/>
    <mergeCell ref="B33:H33"/>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200D7-032D-4301-A8EC-70A9A09AC099}">
  <dimension ref="A1:J84"/>
  <sheetViews>
    <sheetView workbookViewId="0">
      <selection sqref="A1:XFD1048576"/>
    </sheetView>
  </sheetViews>
  <sheetFormatPr baseColWidth="10" defaultColWidth="11.42578125" defaultRowHeight="13.15" customHeight="1" x14ac:dyDescent="0.2"/>
  <cols>
    <col min="1" max="1" width="8.85546875" style="252" customWidth="1"/>
    <col min="2" max="2" width="21.5703125" style="252" customWidth="1"/>
    <col min="3" max="6" width="10" style="252" customWidth="1"/>
    <col min="7" max="7" width="16.140625" style="252" customWidth="1"/>
    <col min="8" max="8" width="14.42578125" style="252" customWidth="1"/>
    <col min="9" max="9" width="13.7109375" style="252" customWidth="1"/>
    <col min="10" max="10" width="6.28515625" style="252" customWidth="1"/>
    <col min="11" max="11" width="8.140625" style="252" customWidth="1"/>
    <col min="12" max="12" width="10.42578125" style="252" customWidth="1"/>
    <col min="13" max="16384" width="11.42578125" style="252"/>
  </cols>
  <sheetData>
    <row r="1" spans="1:10" ht="11.45" customHeight="1" x14ac:dyDescent="0.2">
      <c r="A1" s="1225"/>
      <c r="B1" s="1225"/>
      <c r="C1" s="1223"/>
      <c r="D1" s="1223"/>
      <c r="E1" s="1223"/>
      <c r="F1" s="1223"/>
      <c r="G1" s="1223"/>
      <c r="H1" s="1223"/>
      <c r="I1" s="1223"/>
      <c r="J1" s="1223"/>
    </row>
    <row r="2" spans="1:10" ht="14.25" x14ac:dyDescent="0.2">
      <c r="A2" s="200" t="s">
        <v>363</v>
      </c>
      <c r="B2" s="200"/>
      <c r="C2" s="619">
        <v>4444444444</v>
      </c>
      <c r="D2" s="619"/>
      <c r="E2" s="619"/>
      <c r="F2" s="619"/>
      <c r="G2" s="619"/>
      <c r="H2" s="619"/>
      <c r="I2" s="619"/>
      <c r="J2" s="619"/>
    </row>
    <row r="3" spans="1:10" ht="14.25" x14ac:dyDescent="0.2">
      <c r="A3" s="200"/>
      <c r="B3" s="200"/>
      <c r="C3" s="620">
        <v>56565665</v>
      </c>
      <c r="D3" s="620"/>
      <c r="E3" s="620"/>
      <c r="F3" s="620"/>
      <c r="G3" s="620"/>
      <c r="H3" s="620"/>
      <c r="I3" s="620"/>
      <c r="J3" s="620"/>
    </row>
    <row r="4" spans="1:10" ht="14.25" x14ac:dyDescent="0.2">
      <c r="A4" s="200" t="s">
        <v>364</v>
      </c>
      <c r="B4" s="200"/>
      <c r="C4" s="620" t="s">
        <v>6</v>
      </c>
      <c r="D4" s="620"/>
      <c r="E4" s="620"/>
      <c r="F4" s="620"/>
      <c r="G4" s="620"/>
      <c r="H4" s="620"/>
      <c r="I4" s="620"/>
      <c r="J4" s="620"/>
    </row>
    <row r="5" spans="1:10" ht="15" customHeight="1" x14ac:dyDescent="0.2">
      <c r="A5" s="200" t="s">
        <v>365</v>
      </c>
      <c r="B5" s="200"/>
      <c r="C5" s="621" t="s">
        <v>699</v>
      </c>
      <c r="D5" s="621"/>
      <c r="E5" s="621"/>
      <c r="F5" s="621"/>
      <c r="G5" s="621"/>
      <c r="H5" s="621"/>
      <c r="I5" s="621"/>
      <c r="J5" s="621"/>
    </row>
    <row r="6" spans="1:10" ht="14.25" x14ac:dyDescent="0.2">
      <c r="A6" s="200" t="s">
        <v>366</v>
      </c>
      <c r="B6" s="200"/>
      <c r="C6" s="620">
        <v>125545</v>
      </c>
      <c r="D6" s="620"/>
      <c r="E6" s="622" t="s">
        <v>367</v>
      </c>
      <c r="F6" s="622"/>
      <c r="G6" s="240">
        <v>46022</v>
      </c>
      <c r="H6" s="611" t="s">
        <v>467</v>
      </c>
      <c r="I6" s="611"/>
      <c r="J6" s="241">
        <v>12</v>
      </c>
    </row>
    <row r="7" spans="1:10" ht="14.25" x14ac:dyDescent="0.2">
      <c r="A7" s="198" t="s">
        <v>369</v>
      </c>
      <c r="B7" s="24"/>
      <c r="C7" s="615" t="s">
        <v>8</v>
      </c>
      <c r="D7" s="615"/>
      <c r="E7" s="615"/>
      <c r="F7" s="615"/>
      <c r="G7" s="615"/>
      <c r="H7" s="615"/>
      <c r="I7" s="615"/>
      <c r="J7" s="615"/>
    </row>
    <row r="8" spans="1:10" ht="17.45" customHeight="1" x14ac:dyDescent="0.2">
      <c r="A8" s="200" t="s">
        <v>468</v>
      </c>
      <c r="B8" s="24"/>
      <c r="C8" s="616" t="s">
        <v>35</v>
      </c>
      <c r="D8" s="616"/>
      <c r="E8" s="616"/>
      <c r="F8" s="616"/>
      <c r="G8" s="616"/>
      <c r="H8" s="616"/>
      <c r="I8" s="616"/>
      <c r="J8" s="616"/>
    </row>
    <row r="9" spans="1:10" ht="14.25" x14ac:dyDescent="0.2">
      <c r="A9" s="200"/>
      <c r="B9" s="24"/>
      <c r="C9" s="611" t="s">
        <v>36</v>
      </c>
      <c r="D9" s="611"/>
      <c r="E9" s="611"/>
      <c r="F9" s="611"/>
      <c r="G9" s="611"/>
      <c r="H9" s="611"/>
      <c r="I9" s="611"/>
      <c r="J9" s="611"/>
    </row>
    <row r="10" spans="1:10" ht="17.45" customHeight="1" x14ac:dyDescent="0.2">
      <c r="A10" s="200" t="s">
        <v>469</v>
      </c>
      <c r="B10" s="24"/>
      <c r="C10" s="611" t="s">
        <v>40</v>
      </c>
      <c r="D10" s="611"/>
      <c r="E10" s="611"/>
      <c r="F10" s="611" t="s">
        <v>470</v>
      </c>
      <c r="G10" s="611"/>
      <c r="H10" s="611" t="s">
        <v>38</v>
      </c>
      <c r="I10" s="611"/>
      <c r="J10" s="611"/>
    </row>
    <row r="11" spans="1:10" ht="17.45" customHeight="1" x14ac:dyDescent="0.2">
      <c r="A11" s="200" t="s">
        <v>471</v>
      </c>
      <c r="B11" s="24"/>
      <c r="C11" s="610">
        <v>44713</v>
      </c>
      <c r="D11" s="610"/>
      <c r="E11" s="610"/>
      <c r="F11" s="611" t="s">
        <v>472</v>
      </c>
      <c r="G11" s="611"/>
      <c r="H11" s="610">
        <v>45991</v>
      </c>
      <c r="I11" s="610"/>
      <c r="J11" s="610"/>
    </row>
    <row r="12" spans="1:10" ht="10.9" customHeight="1" thickBot="1" x14ac:dyDescent="0.25">
      <c r="A12" s="24"/>
      <c r="B12" s="24"/>
      <c r="C12" s="24"/>
      <c r="D12" s="24"/>
      <c r="E12" s="24"/>
      <c r="F12" s="24"/>
      <c r="G12" s="24"/>
      <c r="H12" s="24"/>
      <c r="I12" s="24"/>
      <c r="J12" s="24"/>
    </row>
    <row r="13" spans="1:10" ht="15" thickBot="1" x14ac:dyDescent="0.25">
      <c r="A13" s="1235" t="s">
        <v>1191</v>
      </c>
      <c r="B13" s="1236"/>
      <c r="C13" s="1236"/>
      <c r="D13" s="1236"/>
      <c r="E13" s="1236"/>
      <c r="F13" s="1236"/>
      <c r="G13" s="1236"/>
      <c r="H13" s="1236"/>
      <c r="I13" s="1236"/>
      <c r="J13" s="1237"/>
    </row>
    <row r="14" spans="1:10" ht="4.5" customHeight="1" x14ac:dyDescent="0.2">
      <c r="A14" s="24"/>
      <c r="B14" s="24"/>
      <c r="C14" s="24"/>
      <c r="D14" s="24"/>
      <c r="E14" s="24"/>
      <c r="F14" s="24"/>
      <c r="G14" s="24"/>
      <c r="H14" s="24"/>
      <c r="I14" s="24"/>
      <c r="J14" s="24"/>
    </row>
    <row r="15" spans="1:10" ht="14.25" x14ac:dyDescent="0.2">
      <c r="A15" s="1224" t="s">
        <v>1192</v>
      </c>
      <c r="B15" s="1224"/>
      <c r="C15" s="1224"/>
      <c r="D15" s="1224"/>
      <c r="E15" s="1224"/>
      <c r="F15" s="1224"/>
      <c r="G15" s="1224" t="s">
        <v>1193</v>
      </c>
      <c r="H15" s="1224" t="s">
        <v>1194</v>
      </c>
      <c r="I15" s="1224" t="s">
        <v>1195</v>
      </c>
      <c r="J15" s="1224"/>
    </row>
    <row r="16" spans="1:10" ht="14.25" x14ac:dyDescent="0.2">
      <c r="A16" s="1224"/>
      <c r="B16" s="1224"/>
      <c r="C16" s="1224"/>
      <c r="D16" s="1224"/>
      <c r="E16" s="1224"/>
      <c r="F16" s="1224"/>
      <c r="G16" s="1224"/>
      <c r="H16" s="1224"/>
      <c r="I16" s="483" t="s">
        <v>1196</v>
      </c>
      <c r="J16" s="483" t="s">
        <v>1197</v>
      </c>
    </row>
    <row r="17" spans="1:10" ht="14.25" x14ac:dyDescent="0.2">
      <c r="A17" s="488">
        <v>6011</v>
      </c>
      <c r="B17" s="1226" t="s">
        <v>1198</v>
      </c>
      <c r="C17" s="1227"/>
      <c r="D17" s="1227"/>
      <c r="E17" s="1227"/>
      <c r="F17" s="1228"/>
      <c r="G17" s="489">
        <v>0</v>
      </c>
      <c r="H17" s="489">
        <v>0</v>
      </c>
      <c r="I17" s="489">
        <v>0</v>
      </c>
      <c r="J17" s="337">
        <v>0</v>
      </c>
    </row>
    <row r="18" spans="1:10" ht="14.25" x14ac:dyDescent="0.2">
      <c r="A18" s="488">
        <v>6012</v>
      </c>
      <c r="B18" s="1226" t="s">
        <v>1199</v>
      </c>
      <c r="C18" s="1227"/>
      <c r="D18" s="1227"/>
      <c r="E18" s="1227"/>
      <c r="F18" s="1228"/>
      <c r="G18" s="489">
        <v>0</v>
      </c>
      <c r="H18" s="489">
        <v>0</v>
      </c>
      <c r="I18" s="489">
        <v>0</v>
      </c>
      <c r="J18" s="337">
        <v>0</v>
      </c>
    </row>
    <row r="19" spans="1:10" ht="14.25" x14ac:dyDescent="0.2">
      <c r="A19" s="488">
        <v>6013</v>
      </c>
      <c r="B19" s="1226" t="s">
        <v>1200</v>
      </c>
      <c r="C19" s="1227"/>
      <c r="D19" s="1227"/>
      <c r="E19" s="1227"/>
      <c r="F19" s="1228"/>
      <c r="G19" s="489">
        <v>0</v>
      </c>
      <c r="H19" s="489">
        <v>0</v>
      </c>
      <c r="I19" s="489">
        <v>0</v>
      </c>
      <c r="J19" s="337">
        <v>0</v>
      </c>
    </row>
    <row r="20" spans="1:10" ht="14.25" x14ac:dyDescent="0.2">
      <c r="A20" s="488">
        <v>6015</v>
      </c>
      <c r="B20" s="1226" t="s">
        <v>1201</v>
      </c>
      <c r="C20" s="1227"/>
      <c r="D20" s="1227"/>
      <c r="E20" s="1227"/>
      <c r="F20" s="1228"/>
      <c r="G20" s="489">
        <v>0</v>
      </c>
      <c r="H20" s="489">
        <v>0</v>
      </c>
      <c r="I20" s="489">
        <v>0</v>
      </c>
      <c r="J20" s="337">
        <v>0</v>
      </c>
    </row>
    <row r="21" spans="1:10" ht="14.25" x14ac:dyDescent="0.2">
      <c r="A21" s="488">
        <v>6019</v>
      </c>
      <c r="B21" s="1226" t="s">
        <v>1202</v>
      </c>
      <c r="C21" s="1227"/>
      <c r="D21" s="1227"/>
      <c r="E21" s="1227"/>
      <c r="F21" s="1228"/>
      <c r="G21" s="489">
        <v>0</v>
      </c>
      <c r="H21" s="489">
        <v>0</v>
      </c>
      <c r="I21" s="489">
        <v>0</v>
      </c>
      <c r="J21" s="337">
        <v>0</v>
      </c>
    </row>
    <row r="22" spans="1:10" ht="14.25" x14ac:dyDescent="0.2">
      <c r="A22" s="490" t="s">
        <v>559</v>
      </c>
      <c r="B22" s="1229" t="s">
        <v>972</v>
      </c>
      <c r="C22" s="1230"/>
      <c r="D22" s="1230"/>
      <c r="E22" s="1230"/>
      <c r="F22" s="1231"/>
      <c r="G22" s="491">
        <v>0</v>
      </c>
      <c r="H22" s="491">
        <v>0</v>
      </c>
      <c r="I22" s="491">
        <v>0</v>
      </c>
      <c r="J22" s="341">
        <v>0</v>
      </c>
    </row>
    <row r="23" spans="1:10" ht="14.25" x14ac:dyDescent="0.2">
      <c r="A23" s="488">
        <v>6031</v>
      </c>
      <c r="B23" s="1226" t="s">
        <v>1203</v>
      </c>
      <c r="C23" s="1227"/>
      <c r="D23" s="1227"/>
      <c r="E23" s="1227"/>
      <c r="F23" s="1228"/>
      <c r="G23" s="489">
        <v>0</v>
      </c>
      <c r="H23" s="489">
        <v>0</v>
      </c>
      <c r="I23" s="489">
        <v>0</v>
      </c>
      <c r="J23" s="337">
        <v>0</v>
      </c>
    </row>
    <row r="24" spans="1:10" ht="14.25" x14ac:dyDescent="0.2">
      <c r="A24" s="490" t="s">
        <v>561</v>
      </c>
      <c r="B24" s="1229" t="s">
        <v>1203</v>
      </c>
      <c r="C24" s="1230"/>
      <c r="D24" s="1230"/>
      <c r="E24" s="1230"/>
      <c r="F24" s="1231"/>
      <c r="G24" s="491">
        <v>0</v>
      </c>
      <c r="H24" s="491">
        <v>0</v>
      </c>
      <c r="I24" s="491">
        <v>0</v>
      </c>
      <c r="J24" s="341">
        <v>0</v>
      </c>
    </row>
    <row r="25" spans="1:10" ht="14.25" x14ac:dyDescent="0.2">
      <c r="A25" s="488">
        <v>6021</v>
      </c>
      <c r="B25" s="1226" t="s">
        <v>1204</v>
      </c>
      <c r="C25" s="1227"/>
      <c r="D25" s="1227"/>
      <c r="E25" s="1227"/>
      <c r="F25" s="1228"/>
      <c r="G25" s="489">
        <v>0</v>
      </c>
      <c r="H25" s="489">
        <v>0</v>
      </c>
      <c r="I25" s="489">
        <v>0</v>
      </c>
      <c r="J25" s="337">
        <v>0</v>
      </c>
    </row>
    <row r="26" spans="1:10" ht="14.25" x14ac:dyDescent="0.2">
      <c r="A26" s="488">
        <v>6022</v>
      </c>
      <c r="B26" s="1226" t="s">
        <v>1205</v>
      </c>
      <c r="C26" s="1227"/>
      <c r="D26" s="1227"/>
      <c r="E26" s="1227"/>
      <c r="F26" s="1228"/>
      <c r="G26" s="489">
        <v>0</v>
      </c>
      <c r="H26" s="489">
        <v>0</v>
      </c>
      <c r="I26" s="489">
        <v>0</v>
      </c>
      <c r="J26" s="337">
        <v>0</v>
      </c>
    </row>
    <row r="27" spans="1:10" ht="14.25" x14ac:dyDescent="0.2">
      <c r="A27" s="488">
        <v>6023</v>
      </c>
      <c r="B27" s="1226" t="s">
        <v>1206</v>
      </c>
      <c r="C27" s="1227"/>
      <c r="D27" s="1227"/>
      <c r="E27" s="1227"/>
      <c r="F27" s="1228"/>
      <c r="G27" s="489">
        <v>0</v>
      </c>
      <c r="H27" s="489">
        <v>0</v>
      </c>
      <c r="I27" s="489">
        <v>0</v>
      </c>
      <c r="J27" s="337">
        <v>0</v>
      </c>
    </row>
    <row r="28" spans="1:10" ht="14.25" x14ac:dyDescent="0.2">
      <c r="A28" s="488">
        <v>6025</v>
      </c>
      <c r="B28" s="1226" t="s">
        <v>1207</v>
      </c>
      <c r="C28" s="1227"/>
      <c r="D28" s="1227"/>
      <c r="E28" s="1227"/>
      <c r="F28" s="1228"/>
      <c r="G28" s="489">
        <v>0</v>
      </c>
      <c r="H28" s="489">
        <v>0</v>
      </c>
      <c r="I28" s="489">
        <v>0</v>
      </c>
      <c r="J28" s="337">
        <v>0</v>
      </c>
    </row>
    <row r="29" spans="1:10" ht="14.25" x14ac:dyDescent="0.2">
      <c r="A29" s="488">
        <v>6029</v>
      </c>
      <c r="B29" s="1226" t="s">
        <v>1202</v>
      </c>
      <c r="C29" s="1227"/>
      <c r="D29" s="1227"/>
      <c r="E29" s="1227"/>
      <c r="F29" s="1228"/>
      <c r="G29" s="489">
        <v>0</v>
      </c>
      <c r="H29" s="489">
        <v>0</v>
      </c>
      <c r="I29" s="489">
        <v>0</v>
      </c>
      <c r="J29" s="337">
        <v>0</v>
      </c>
    </row>
    <row r="30" spans="1:10" ht="14.25" x14ac:dyDescent="0.2">
      <c r="A30" s="490" t="s">
        <v>563</v>
      </c>
      <c r="B30" s="1229" t="s">
        <v>1208</v>
      </c>
      <c r="C30" s="1230"/>
      <c r="D30" s="1230"/>
      <c r="E30" s="1230"/>
      <c r="F30" s="1231"/>
      <c r="G30" s="491">
        <v>0</v>
      </c>
      <c r="H30" s="491">
        <v>0</v>
      </c>
      <c r="I30" s="491">
        <v>0</v>
      </c>
      <c r="J30" s="341">
        <v>0</v>
      </c>
    </row>
    <row r="31" spans="1:10" ht="14.25" x14ac:dyDescent="0.2">
      <c r="A31" s="488">
        <v>6032</v>
      </c>
      <c r="B31" s="1226" t="s">
        <v>1209</v>
      </c>
      <c r="C31" s="1227"/>
      <c r="D31" s="1227"/>
      <c r="E31" s="1227"/>
      <c r="F31" s="1228"/>
      <c r="G31" s="489">
        <v>0</v>
      </c>
      <c r="H31" s="489">
        <v>0</v>
      </c>
      <c r="I31" s="489">
        <v>0</v>
      </c>
      <c r="J31" s="337">
        <v>0</v>
      </c>
    </row>
    <row r="32" spans="1:10" ht="14.25" x14ac:dyDescent="0.2">
      <c r="A32" s="488">
        <v>6033</v>
      </c>
      <c r="B32" s="1232" t="s">
        <v>1210</v>
      </c>
      <c r="C32" s="1233"/>
      <c r="D32" s="1233"/>
      <c r="E32" s="1233"/>
      <c r="F32" s="1234"/>
      <c r="G32" s="489">
        <v>0</v>
      </c>
      <c r="H32" s="489">
        <v>0</v>
      </c>
      <c r="I32" s="489">
        <v>0</v>
      </c>
      <c r="J32" s="337"/>
    </row>
    <row r="33" spans="1:10" ht="14.25" x14ac:dyDescent="0.2">
      <c r="A33" s="490" t="s">
        <v>565</v>
      </c>
      <c r="B33" s="1229" t="s">
        <v>1211</v>
      </c>
      <c r="C33" s="1230"/>
      <c r="D33" s="1230"/>
      <c r="E33" s="1230"/>
      <c r="F33" s="1231"/>
      <c r="G33" s="491">
        <v>0</v>
      </c>
      <c r="H33" s="491">
        <v>0</v>
      </c>
      <c r="I33" s="491">
        <v>0</v>
      </c>
      <c r="J33" s="341">
        <v>0</v>
      </c>
    </row>
    <row r="34" spans="1:10" ht="14.25" x14ac:dyDescent="0.2">
      <c r="A34" s="488">
        <v>6041</v>
      </c>
      <c r="B34" s="1226" t="s">
        <v>974</v>
      </c>
      <c r="C34" s="1227"/>
      <c r="D34" s="1227"/>
      <c r="E34" s="1227"/>
      <c r="F34" s="1228"/>
      <c r="G34" s="489">
        <v>0</v>
      </c>
      <c r="H34" s="489">
        <v>0</v>
      </c>
      <c r="I34" s="489">
        <v>0</v>
      </c>
      <c r="J34" s="337">
        <v>0</v>
      </c>
    </row>
    <row r="35" spans="1:10" ht="14.25" x14ac:dyDescent="0.2">
      <c r="A35" s="488">
        <v>6042</v>
      </c>
      <c r="B35" s="1226" t="s">
        <v>975</v>
      </c>
      <c r="C35" s="1227"/>
      <c r="D35" s="1227"/>
      <c r="E35" s="1227"/>
      <c r="F35" s="1228"/>
      <c r="G35" s="489">
        <v>0</v>
      </c>
      <c r="H35" s="489">
        <v>0</v>
      </c>
      <c r="I35" s="489">
        <v>0</v>
      </c>
      <c r="J35" s="337">
        <v>0</v>
      </c>
    </row>
    <row r="36" spans="1:10" ht="14.25" x14ac:dyDescent="0.2">
      <c r="A36" s="488">
        <v>6043</v>
      </c>
      <c r="B36" s="1226" t="s">
        <v>976</v>
      </c>
      <c r="C36" s="1227"/>
      <c r="D36" s="1227"/>
      <c r="E36" s="1227"/>
      <c r="F36" s="1228"/>
      <c r="G36" s="489">
        <v>0</v>
      </c>
      <c r="H36" s="489">
        <v>0</v>
      </c>
      <c r="I36" s="489">
        <v>0</v>
      </c>
      <c r="J36" s="337">
        <v>0</v>
      </c>
    </row>
    <row r="37" spans="1:10" ht="16.899999999999999" customHeight="1" x14ac:dyDescent="0.2">
      <c r="A37" s="488">
        <v>6045</v>
      </c>
      <c r="B37" s="1226" t="s">
        <v>1212</v>
      </c>
      <c r="C37" s="1227"/>
      <c r="D37" s="1227"/>
      <c r="E37" s="1227"/>
      <c r="F37" s="1228"/>
      <c r="G37" s="489">
        <v>0</v>
      </c>
      <c r="H37" s="489">
        <v>0</v>
      </c>
      <c r="I37" s="489">
        <v>0</v>
      </c>
      <c r="J37" s="337">
        <v>0</v>
      </c>
    </row>
    <row r="38" spans="1:10" ht="14.25" x14ac:dyDescent="0.2">
      <c r="A38" s="488">
        <v>6046</v>
      </c>
      <c r="B38" s="1226" t="s">
        <v>1213</v>
      </c>
      <c r="C38" s="1227"/>
      <c r="D38" s="1227"/>
      <c r="E38" s="1227"/>
      <c r="F38" s="1228"/>
      <c r="G38" s="489">
        <v>0</v>
      </c>
      <c r="H38" s="489">
        <v>0</v>
      </c>
      <c r="I38" s="489">
        <v>0</v>
      </c>
      <c r="J38" s="337">
        <v>0</v>
      </c>
    </row>
    <row r="39" spans="1:10" ht="14.25" x14ac:dyDescent="0.2">
      <c r="A39" s="488">
        <v>6047</v>
      </c>
      <c r="B39" s="1226" t="s">
        <v>1214</v>
      </c>
      <c r="C39" s="1227"/>
      <c r="D39" s="1227"/>
      <c r="E39" s="1227"/>
      <c r="F39" s="1228"/>
      <c r="G39" s="489">
        <v>0</v>
      </c>
      <c r="H39" s="489">
        <v>0</v>
      </c>
      <c r="I39" s="489">
        <v>0</v>
      </c>
      <c r="J39" s="337">
        <v>0</v>
      </c>
    </row>
    <row r="40" spans="1:10" ht="14.25" x14ac:dyDescent="0.2">
      <c r="A40" s="488">
        <v>6049</v>
      </c>
      <c r="B40" s="1226" t="s">
        <v>1202</v>
      </c>
      <c r="C40" s="1227"/>
      <c r="D40" s="1227"/>
      <c r="E40" s="1227"/>
      <c r="F40" s="1228"/>
      <c r="G40" s="492">
        <v>0</v>
      </c>
      <c r="H40" s="492">
        <v>0</v>
      </c>
      <c r="I40" s="489">
        <v>0</v>
      </c>
      <c r="J40" s="337">
        <v>0</v>
      </c>
    </row>
    <row r="41" spans="1:10" ht="14.25" x14ac:dyDescent="0.2">
      <c r="A41" s="488">
        <v>6051</v>
      </c>
      <c r="B41" s="1226" t="s">
        <v>1215</v>
      </c>
      <c r="C41" s="1227"/>
      <c r="D41" s="1227"/>
      <c r="E41" s="1227"/>
      <c r="F41" s="1228"/>
      <c r="G41" s="489">
        <v>0</v>
      </c>
      <c r="H41" s="489">
        <v>0</v>
      </c>
      <c r="I41" s="489">
        <v>0</v>
      </c>
      <c r="J41" s="337">
        <v>0</v>
      </c>
    </row>
    <row r="42" spans="1:10" ht="14.25" x14ac:dyDescent="0.2">
      <c r="A42" s="488">
        <v>6052</v>
      </c>
      <c r="B42" s="1226" t="s">
        <v>1216</v>
      </c>
      <c r="C42" s="1227"/>
      <c r="D42" s="1227"/>
      <c r="E42" s="1227"/>
      <c r="F42" s="1228"/>
      <c r="G42" s="489">
        <v>0</v>
      </c>
      <c r="H42" s="489">
        <v>0</v>
      </c>
      <c r="I42" s="489">
        <v>0</v>
      </c>
      <c r="J42" s="337">
        <v>0</v>
      </c>
    </row>
    <row r="43" spans="1:10" ht="14.25" x14ac:dyDescent="0.2">
      <c r="A43" s="488">
        <v>6053</v>
      </c>
      <c r="B43" s="1226" t="s">
        <v>1217</v>
      </c>
      <c r="C43" s="1227"/>
      <c r="D43" s="1227"/>
      <c r="E43" s="1227"/>
      <c r="F43" s="1228"/>
      <c r="G43" s="489">
        <v>0</v>
      </c>
      <c r="H43" s="489">
        <v>0</v>
      </c>
      <c r="I43" s="489">
        <v>0</v>
      </c>
      <c r="J43" s="337">
        <v>0</v>
      </c>
    </row>
    <row r="44" spans="1:10" ht="14.25" x14ac:dyDescent="0.2">
      <c r="A44" s="488">
        <v>6054</v>
      </c>
      <c r="B44" s="1226" t="s">
        <v>1218</v>
      </c>
      <c r="C44" s="1227"/>
      <c r="D44" s="1227"/>
      <c r="E44" s="1227"/>
      <c r="F44" s="1228"/>
      <c r="G44" s="489">
        <v>0</v>
      </c>
      <c r="H44" s="489">
        <v>0</v>
      </c>
      <c r="I44" s="489">
        <v>0</v>
      </c>
      <c r="J44" s="337">
        <v>0</v>
      </c>
    </row>
    <row r="45" spans="1:10" ht="14.25" x14ac:dyDescent="0.2">
      <c r="A45" s="488">
        <v>6055</v>
      </c>
      <c r="B45" s="1226" t="s">
        <v>1219</v>
      </c>
      <c r="C45" s="1227"/>
      <c r="D45" s="1227"/>
      <c r="E45" s="1227"/>
      <c r="F45" s="1228"/>
      <c r="G45" s="489">
        <v>0</v>
      </c>
      <c r="H45" s="489">
        <v>0</v>
      </c>
      <c r="I45" s="489">
        <v>0</v>
      </c>
      <c r="J45" s="337">
        <v>0</v>
      </c>
    </row>
    <row r="46" spans="1:10" ht="14.25" x14ac:dyDescent="0.2">
      <c r="A46" s="488">
        <v>6056</v>
      </c>
      <c r="B46" s="1226" t="s">
        <v>1220</v>
      </c>
      <c r="C46" s="1227"/>
      <c r="D46" s="1227"/>
      <c r="E46" s="1227"/>
      <c r="F46" s="1228"/>
      <c r="G46" s="489">
        <v>0</v>
      </c>
      <c r="H46" s="489">
        <v>0</v>
      </c>
      <c r="I46" s="489">
        <v>0</v>
      </c>
      <c r="J46" s="337">
        <v>0</v>
      </c>
    </row>
    <row r="47" spans="1:10" ht="14.25" x14ac:dyDescent="0.2">
      <c r="A47" s="488">
        <v>6057</v>
      </c>
      <c r="B47" s="1226" t="s">
        <v>1221</v>
      </c>
      <c r="C47" s="1227"/>
      <c r="D47" s="1227"/>
      <c r="E47" s="1227"/>
      <c r="F47" s="1228"/>
      <c r="G47" s="489">
        <v>0</v>
      </c>
      <c r="H47" s="489">
        <v>0</v>
      </c>
      <c r="I47" s="489">
        <v>0</v>
      </c>
      <c r="J47" s="337">
        <v>0</v>
      </c>
    </row>
    <row r="48" spans="1:10" ht="14.25" x14ac:dyDescent="0.2">
      <c r="A48" s="488">
        <v>6058</v>
      </c>
      <c r="B48" s="1226" t="s">
        <v>1222</v>
      </c>
      <c r="C48" s="1227"/>
      <c r="D48" s="1227"/>
      <c r="E48" s="1227"/>
      <c r="F48" s="1228"/>
      <c r="G48" s="489">
        <v>0</v>
      </c>
      <c r="H48" s="489">
        <v>0</v>
      </c>
      <c r="I48" s="489">
        <v>0</v>
      </c>
      <c r="J48" s="337">
        <v>0</v>
      </c>
    </row>
    <row r="49" spans="1:10" ht="14.25" x14ac:dyDescent="0.2">
      <c r="A49" s="488">
        <v>6059</v>
      </c>
      <c r="B49" s="1226" t="s">
        <v>1202</v>
      </c>
      <c r="C49" s="1227"/>
      <c r="D49" s="1227"/>
      <c r="E49" s="1227"/>
      <c r="F49" s="1228"/>
      <c r="G49" s="492">
        <v>0</v>
      </c>
      <c r="H49" s="492">
        <v>0</v>
      </c>
      <c r="I49" s="489">
        <v>0</v>
      </c>
      <c r="J49" s="337">
        <v>0</v>
      </c>
    </row>
    <row r="50" spans="1:10" ht="14.25" x14ac:dyDescent="0.2">
      <c r="A50" s="488">
        <v>6061</v>
      </c>
      <c r="B50" s="1226" t="s">
        <v>1223</v>
      </c>
      <c r="C50" s="1227"/>
      <c r="D50" s="1227"/>
      <c r="E50" s="1227"/>
      <c r="F50" s="1228"/>
      <c r="G50" s="489">
        <v>0</v>
      </c>
      <c r="H50" s="489">
        <v>0</v>
      </c>
      <c r="I50" s="489">
        <v>0</v>
      </c>
      <c r="J50" s="337">
        <v>0</v>
      </c>
    </row>
    <row r="51" spans="1:10" ht="14.25" x14ac:dyDescent="0.2">
      <c r="A51" s="488">
        <v>6062</v>
      </c>
      <c r="B51" s="1226" t="s">
        <v>1224</v>
      </c>
      <c r="C51" s="1227"/>
      <c r="D51" s="1227"/>
      <c r="E51" s="1227"/>
      <c r="F51" s="1228"/>
      <c r="G51" s="489">
        <v>0</v>
      </c>
      <c r="H51" s="489">
        <v>0</v>
      </c>
      <c r="I51" s="489">
        <v>0</v>
      </c>
      <c r="J51" s="337">
        <v>0</v>
      </c>
    </row>
    <row r="52" spans="1:10" ht="14.25" x14ac:dyDescent="0.2">
      <c r="A52" s="488">
        <v>6063</v>
      </c>
      <c r="B52" s="1226" t="s">
        <v>1225</v>
      </c>
      <c r="C52" s="1227"/>
      <c r="D52" s="1227"/>
      <c r="E52" s="1227"/>
      <c r="F52" s="1228"/>
      <c r="G52" s="489">
        <v>0</v>
      </c>
      <c r="H52" s="489">
        <v>0</v>
      </c>
      <c r="I52" s="489">
        <v>0</v>
      </c>
      <c r="J52" s="337">
        <v>0</v>
      </c>
    </row>
    <row r="53" spans="1:10" ht="14.25" x14ac:dyDescent="0.2">
      <c r="A53" s="488">
        <v>6064</v>
      </c>
      <c r="B53" s="1226" t="s">
        <v>1226</v>
      </c>
      <c r="C53" s="1227"/>
      <c r="D53" s="1227"/>
      <c r="E53" s="1227"/>
      <c r="F53" s="1228"/>
      <c r="G53" s="489">
        <v>0</v>
      </c>
      <c r="H53" s="489">
        <v>0</v>
      </c>
      <c r="I53" s="489">
        <v>0</v>
      </c>
      <c r="J53" s="337">
        <v>0</v>
      </c>
    </row>
    <row r="54" spans="1:10" ht="14.25" x14ac:dyDescent="0.2">
      <c r="A54" s="488">
        <v>6068</v>
      </c>
      <c r="B54" s="1226" t="s">
        <v>1227</v>
      </c>
      <c r="C54" s="1227"/>
      <c r="D54" s="1227"/>
      <c r="E54" s="1227"/>
      <c r="F54" s="1228"/>
      <c r="G54" s="489">
        <v>0</v>
      </c>
      <c r="H54" s="489">
        <v>0</v>
      </c>
      <c r="I54" s="489">
        <v>0</v>
      </c>
      <c r="J54" s="337">
        <v>0</v>
      </c>
    </row>
    <row r="55" spans="1:10" ht="14.25" x14ac:dyDescent="0.2">
      <c r="A55" s="488">
        <v>6081</v>
      </c>
      <c r="B55" s="1226" t="s">
        <v>1228</v>
      </c>
      <c r="C55" s="1227"/>
      <c r="D55" s="1227"/>
      <c r="E55" s="1227"/>
      <c r="F55" s="1228"/>
      <c r="G55" s="489">
        <v>0</v>
      </c>
      <c r="H55" s="489">
        <v>0</v>
      </c>
      <c r="I55" s="489">
        <v>0</v>
      </c>
      <c r="J55" s="337">
        <v>0</v>
      </c>
    </row>
    <row r="56" spans="1:10" ht="14.25" x14ac:dyDescent="0.2">
      <c r="A56" s="488">
        <v>6082</v>
      </c>
      <c r="B56" s="1226" t="s">
        <v>1229</v>
      </c>
      <c r="C56" s="1227"/>
      <c r="D56" s="1227"/>
      <c r="E56" s="1227"/>
      <c r="F56" s="1228"/>
      <c r="G56" s="489">
        <v>0</v>
      </c>
      <c r="H56" s="489">
        <v>0</v>
      </c>
      <c r="I56" s="489">
        <v>0</v>
      </c>
      <c r="J56" s="337">
        <v>0</v>
      </c>
    </row>
    <row r="57" spans="1:10" ht="14.25" x14ac:dyDescent="0.2">
      <c r="A57" s="488">
        <v>6083</v>
      </c>
      <c r="B57" s="1226" t="s">
        <v>1230</v>
      </c>
      <c r="C57" s="1227"/>
      <c r="D57" s="1227"/>
      <c r="E57" s="1227"/>
      <c r="F57" s="1228"/>
      <c r="G57" s="489">
        <v>0</v>
      </c>
      <c r="H57" s="489">
        <v>0</v>
      </c>
      <c r="I57" s="489">
        <v>0</v>
      </c>
      <c r="J57" s="337">
        <v>0</v>
      </c>
    </row>
    <row r="58" spans="1:10" ht="14.25" x14ac:dyDescent="0.2">
      <c r="A58" s="488">
        <v>6085</v>
      </c>
      <c r="B58" s="1226" t="s">
        <v>1231</v>
      </c>
      <c r="C58" s="1227"/>
      <c r="D58" s="1227"/>
      <c r="E58" s="1227"/>
      <c r="F58" s="1228"/>
      <c r="G58" s="489">
        <v>0</v>
      </c>
      <c r="H58" s="489">
        <v>0</v>
      </c>
      <c r="I58" s="489">
        <v>0</v>
      </c>
      <c r="J58" s="337">
        <v>0</v>
      </c>
    </row>
    <row r="59" spans="1:10" ht="14.25" x14ac:dyDescent="0.2">
      <c r="A59" s="488">
        <v>6089</v>
      </c>
      <c r="B59" s="1226" t="s">
        <v>1202</v>
      </c>
      <c r="C59" s="1227"/>
      <c r="D59" s="1227"/>
      <c r="E59" s="1227"/>
      <c r="F59" s="1228"/>
      <c r="G59" s="492">
        <v>0</v>
      </c>
      <c r="H59" s="492">
        <v>0</v>
      </c>
      <c r="I59" s="489">
        <v>0</v>
      </c>
      <c r="J59" s="337">
        <v>0</v>
      </c>
    </row>
    <row r="60" spans="1:10" ht="14.25" x14ac:dyDescent="0.2">
      <c r="A60" s="490" t="s">
        <v>567</v>
      </c>
      <c r="B60" s="1229" t="s">
        <v>574</v>
      </c>
      <c r="C60" s="1230"/>
      <c r="D60" s="1230"/>
      <c r="E60" s="1230"/>
      <c r="F60" s="1231"/>
      <c r="G60" s="491">
        <v>0</v>
      </c>
      <c r="H60" s="491">
        <v>0</v>
      </c>
      <c r="I60" s="491">
        <v>0</v>
      </c>
      <c r="J60" s="341">
        <v>0</v>
      </c>
    </row>
    <row r="61" spans="1:10" ht="14.25" x14ac:dyDescent="0.2">
      <c r="A61" s="488">
        <v>6034</v>
      </c>
      <c r="B61" s="1226" t="s">
        <v>1232</v>
      </c>
      <c r="C61" s="1227"/>
      <c r="D61" s="1227"/>
      <c r="E61" s="1227"/>
      <c r="F61" s="1228"/>
      <c r="G61" s="489">
        <v>0</v>
      </c>
      <c r="H61" s="489">
        <v>0</v>
      </c>
      <c r="I61" s="489">
        <v>0</v>
      </c>
      <c r="J61" s="337">
        <v>0</v>
      </c>
    </row>
    <row r="62" spans="1:10" ht="14.25" x14ac:dyDescent="0.2">
      <c r="A62" s="488">
        <v>6035</v>
      </c>
      <c r="B62" s="1232" t="s">
        <v>1233</v>
      </c>
      <c r="C62" s="1233"/>
      <c r="D62" s="1233"/>
      <c r="E62" s="1233"/>
      <c r="F62" s="1234"/>
      <c r="G62" s="489">
        <v>0</v>
      </c>
      <c r="H62" s="489">
        <v>0</v>
      </c>
      <c r="I62" s="489">
        <v>0</v>
      </c>
      <c r="J62" s="337">
        <v>0</v>
      </c>
    </row>
    <row r="63" spans="1:10" ht="14.25" x14ac:dyDescent="0.2">
      <c r="A63" s="490" t="s">
        <v>1234</v>
      </c>
      <c r="B63" s="1229" t="s">
        <v>1235</v>
      </c>
      <c r="C63" s="1230"/>
      <c r="D63" s="1230"/>
      <c r="E63" s="1230"/>
      <c r="F63" s="1231"/>
      <c r="G63" s="491">
        <v>0</v>
      </c>
      <c r="H63" s="491">
        <v>0</v>
      </c>
      <c r="I63" s="491">
        <v>0</v>
      </c>
      <c r="J63" s="341">
        <v>0</v>
      </c>
    </row>
    <row r="64" spans="1:10" ht="14.25" x14ac:dyDescent="0.2">
      <c r="A64" s="488">
        <v>612</v>
      </c>
      <c r="B64" s="1226" t="s">
        <v>991</v>
      </c>
      <c r="C64" s="1227"/>
      <c r="D64" s="1227"/>
      <c r="E64" s="1227"/>
      <c r="F64" s="1228"/>
      <c r="G64" s="489">
        <v>0</v>
      </c>
      <c r="H64" s="489">
        <v>0</v>
      </c>
      <c r="I64" s="489">
        <v>0</v>
      </c>
      <c r="J64" s="337">
        <v>0</v>
      </c>
    </row>
    <row r="65" spans="1:10" ht="14.25" x14ac:dyDescent="0.2">
      <c r="A65" s="488">
        <v>613</v>
      </c>
      <c r="B65" s="1226" t="s">
        <v>992</v>
      </c>
      <c r="C65" s="1227"/>
      <c r="D65" s="1227"/>
      <c r="E65" s="1227"/>
      <c r="F65" s="1228"/>
      <c r="G65" s="489">
        <v>0</v>
      </c>
      <c r="H65" s="489">
        <v>0</v>
      </c>
      <c r="I65" s="489">
        <v>0</v>
      </c>
      <c r="J65" s="337">
        <v>0</v>
      </c>
    </row>
    <row r="66" spans="1:10" ht="14.25" x14ac:dyDescent="0.2">
      <c r="A66" s="488">
        <v>614</v>
      </c>
      <c r="B66" s="1226" t="s">
        <v>993</v>
      </c>
      <c r="C66" s="1227"/>
      <c r="D66" s="1227"/>
      <c r="E66" s="1227"/>
      <c r="F66" s="1228"/>
      <c r="G66" s="489">
        <v>0</v>
      </c>
      <c r="H66" s="489">
        <v>0</v>
      </c>
      <c r="I66" s="489">
        <v>0</v>
      </c>
      <c r="J66" s="337">
        <v>0</v>
      </c>
    </row>
    <row r="67" spans="1:10" ht="14.25" x14ac:dyDescent="0.2">
      <c r="A67" s="488">
        <v>616</v>
      </c>
      <c r="B67" s="1226" t="s">
        <v>994</v>
      </c>
      <c r="C67" s="1227"/>
      <c r="D67" s="1227"/>
      <c r="E67" s="1227"/>
      <c r="F67" s="1228"/>
      <c r="G67" s="489">
        <v>0</v>
      </c>
      <c r="H67" s="489">
        <v>0</v>
      </c>
      <c r="I67" s="489">
        <v>0</v>
      </c>
      <c r="J67" s="337">
        <v>0</v>
      </c>
    </row>
    <row r="68" spans="1:10" ht="14.25" x14ac:dyDescent="0.2">
      <c r="A68" s="488">
        <v>618</v>
      </c>
      <c r="B68" s="1226" t="s">
        <v>1236</v>
      </c>
      <c r="C68" s="1227"/>
      <c r="D68" s="1227"/>
      <c r="E68" s="1227"/>
      <c r="F68" s="1228"/>
      <c r="G68" s="489">
        <v>0</v>
      </c>
      <c r="H68" s="489">
        <v>0</v>
      </c>
      <c r="I68" s="489">
        <v>0</v>
      </c>
      <c r="J68" s="337">
        <v>0</v>
      </c>
    </row>
    <row r="69" spans="1:10" ht="14.25" x14ac:dyDescent="0.2">
      <c r="A69" s="488">
        <v>6181</v>
      </c>
      <c r="B69" s="1226" t="s">
        <v>995</v>
      </c>
      <c r="C69" s="1227"/>
      <c r="D69" s="1227"/>
      <c r="E69" s="1227"/>
      <c r="F69" s="1228"/>
      <c r="G69" s="489">
        <v>0</v>
      </c>
      <c r="H69" s="489">
        <v>0</v>
      </c>
      <c r="I69" s="489">
        <v>0</v>
      </c>
      <c r="J69" s="337">
        <v>0</v>
      </c>
    </row>
    <row r="70" spans="1:10" ht="14.25" x14ac:dyDescent="0.2">
      <c r="A70" s="488">
        <v>6183</v>
      </c>
      <c r="B70" s="1226" t="s">
        <v>996</v>
      </c>
      <c r="C70" s="1227"/>
      <c r="D70" s="1227"/>
      <c r="E70" s="1227"/>
      <c r="F70" s="1228"/>
      <c r="G70" s="489">
        <v>0</v>
      </c>
      <c r="H70" s="489">
        <v>0</v>
      </c>
      <c r="I70" s="489">
        <v>0</v>
      </c>
      <c r="J70" s="337">
        <v>0</v>
      </c>
    </row>
    <row r="71" spans="1:10" ht="14.25" x14ac:dyDescent="0.2">
      <c r="A71" s="488">
        <v>619</v>
      </c>
      <c r="B71" s="1226" t="s">
        <v>1237</v>
      </c>
      <c r="C71" s="1227"/>
      <c r="D71" s="1227"/>
      <c r="E71" s="1227"/>
      <c r="F71" s="1228"/>
      <c r="G71" s="492">
        <v>0</v>
      </c>
      <c r="H71" s="492">
        <v>0</v>
      </c>
      <c r="I71" s="493">
        <v>0</v>
      </c>
      <c r="J71" s="337">
        <v>0</v>
      </c>
    </row>
    <row r="72" spans="1:10" ht="14.25" x14ac:dyDescent="0.2">
      <c r="A72" s="490" t="s">
        <v>1238</v>
      </c>
      <c r="B72" s="1229" t="s">
        <v>578</v>
      </c>
      <c r="C72" s="1230"/>
      <c r="D72" s="1230"/>
      <c r="E72" s="1230"/>
      <c r="F72" s="1231"/>
      <c r="G72" s="491">
        <v>0</v>
      </c>
      <c r="H72" s="491">
        <v>0</v>
      </c>
      <c r="I72" s="491">
        <v>0</v>
      </c>
      <c r="J72" s="341">
        <v>0</v>
      </c>
    </row>
    <row r="73" spans="1:10" ht="14.25" x14ac:dyDescent="0.2">
      <c r="A73" s="488">
        <v>621</v>
      </c>
      <c r="B73" s="1226" t="s">
        <v>999</v>
      </c>
      <c r="C73" s="1227"/>
      <c r="D73" s="1227"/>
      <c r="E73" s="1227"/>
      <c r="F73" s="1228"/>
      <c r="G73" s="489">
        <v>0</v>
      </c>
      <c r="H73" s="489">
        <v>0</v>
      </c>
      <c r="I73" s="489">
        <v>0</v>
      </c>
      <c r="J73" s="337">
        <v>0</v>
      </c>
    </row>
    <row r="74" spans="1:10" ht="14.25" x14ac:dyDescent="0.2">
      <c r="A74" s="488">
        <v>6221</v>
      </c>
      <c r="B74" s="1226" t="s">
        <v>1239</v>
      </c>
      <c r="C74" s="1227"/>
      <c r="D74" s="1227"/>
      <c r="E74" s="1227"/>
      <c r="F74" s="1228"/>
      <c r="G74" s="489">
        <v>0</v>
      </c>
      <c r="H74" s="489">
        <v>0</v>
      </c>
      <c r="I74" s="489">
        <v>0</v>
      </c>
      <c r="J74" s="337">
        <v>0</v>
      </c>
    </row>
    <row r="75" spans="1:10" ht="14.25" x14ac:dyDescent="0.2">
      <c r="A75" s="488">
        <v>6222</v>
      </c>
      <c r="B75" s="1226" t="s">
        <v>1240</v>
      </c>
      <c r="C75" s="1227"/>
      <c r="D75" s="1227"/>
      <c r="E75" s="1227"/>
      <c r="F75" s="1228"/>
      <c r="G75" s="489">
        <v>0</v>
      </c>
      <c r="H75" s="489">
        <v>0</v>
      </c>
      <c r="I75" s="489">
        <v>0</v>
      </c>
      <c r="J75" s="337">
        <v>0</v>
      </c>
    </row>
    <row r="76" spans="1:10" ht="14.25" x14ac:dyDescent="0.2">
      <c r="A76" s="488">
        <v>6223</v>
      </c>
      <c r="B76" s="1226" t="s">
        <v>1241</v>
      </c>
      <c r="C76" s="1227"/>
      <c r="D76" s="1227"/>
      <c r="E76" s="1227"/>
      <c r="F76" s="1228"/>
      <c r="G76" s="489">
        <v>0</v>
      </c>
      <c r="H76" s="489">
        <v>0</v>
      </c>
      <c r="I76" s="489">
        <v>0</v>
      </c>
      <c r="J76" s="337">
        <v>0</v>
      </c>
    </row>
    <row r="77" spans="1:10" ht="14.25" x14ac:dyDescent="0.2">
      <c r="A77" s="488">
        <v>6224</v>
      </c>
      <c r="B77" s="1226" t="s">
        <v>1242</v>
      </c>
      <c r="C77" s="1227"/>
      <c r="D77" s="1227"/>
      <c r="E77" s="1227"/>
      <c r="F77" s="1228"/>
      <c r="G77" s="489">
        <v>0</v>
      </c>
      <c r="H77" s="489">
        <v>0</v>
      </c>
      <c r="I77" s="489">
        <v>0</v>
      </c>
      <c r="J77" s="337">
        <v>0</v>
      </c>
    </row>
    <row r="78" spans="1:10" ht="14.25" x14ac:dyDescent="0.2">
      <c r="A78" s="488">
        <v>6225</v>
      </c>
      <c r="B78" s="1226" t="s">
        <v>1243</v>
      </c>
      <c r="C78" s="1227"/>
      <c r="D78" s="1227"/>
      <c r="E78" s="1227"/>
      <c r="F78" s="1228"/>
      <c r="G78" s="489">
        <v>0</v>
      </c>
      <c r="H78" s="489">
        <v>0</v>
      </c>
      <c r="I78" s="489">
        <v>0</v>
      </c>
      <c r="J78" s="337">
        <v>0</v>
      </c>
    </row>
    <row r="79" spans="1:10" ht="14.25" x14ac:dyDescent="0.2">
      <c r="A79" s="488">
        <v>6226</v>
      </c>
      <c r="B79" s="1226" t="s">
        <v>1244</v>
      </c>
      <c r="C79" s="1227"/>
      <c r="D79" s="1227"/>
      <c r="E79" s="1227"/>
      <c r="F79" s="1228"/>
      <c r="G79" s="489">
        <v>0</v>
      </c>
      <c r="H79" s="489">
        <v>0</v>
      </c>
      <c r="I79" s="489">
        <v>0</v>
      </c>
      <c r="J79" s="337">
        <v>0</v>
      </c>
    </row>
    <row r="80" spans="1:10" ht="14.25" x14ac:dyDescent="0.2">
      <c r="A80" s="488">
        <v>6228</v>
      </c>
      <c r="B80" s="1226" t="s">
        <v>1245</v>
      </c>
      <c r="C80" s="1227"/>
      <c r="D80" s="1227"/>
      <c r="E80" s="1227"/>
      <c r="F80" s="1228"/>
      <c r="G80" s="489">
        <v>0</v>
      </c>
      <c r="H80" s="489">
        <v>0</v>
      </c>
      <c r="I80" s="489">
        <v>0</v>
      </c>
      <c r="J80" s="337">
        <v>0</v>
      </c>
    </row>
    <row r="81" spans="1:10" ht="14.25" x14ac:dyDescent="0.2">
      <c r="A81" s="488">
        <v>6232</v>
      </c>
      <c r="B81" s="1226" t="s">
        <v>1246</v>
      </c>
      <c r="C81" s="1227"/>
      <c r="D81" s="1227"/>
      <c r="E81" s="1227"/>
      <c r="F81" s="1228"/>
      <c r="G81" s="489">
        <v>0</v>
      </c>
      <c r="H81" s="489">
        <v>0</v>
      </c>
      <c r="I81" s="489">
        <v>0</v>
      </c>
      <c r="J81" s="337">
        <v>0</v>
      </c>
    </row>
    <row r="82" spans="1:10" ht="14.25" x14ac:dyDescent="0.2">
      <c r="A82" s="488">
        <v>6233</v>
      </c>
      <c r="B82" s="1226" t="s">
        <v>1247</v>
      </c>
      <c r="C82" s="1227"/>
      <c r="D82" s="1227"/>
      <c r="E82" s="1227"/>
      <c r="F82" s="1228"/>
      <c r="G82" s="489">
        <v>0</v>
      </c>
      <c r="H82" s="489">
        <v>0</v>
      </c>
      <c r="I82" s="489">
        <v>0</v>
      </c>
      <c r="J82" s="337">
        <v>0</v>
      </c>
    </row>
    <row r="83" spans="1:10" ht="13.15" customHeight="1" x14ac:dyDescent="0.2">
      <c r="A83" s="488">
        <v>6234</v>
      </c>
      <c r="B83" s="1226" t="s">
        <v>923</v>
      </c>
      <c r="C83" s="1227"/>
      <c r="D83" s="1227"/>
      <c r="E83" s="1227"/>
      <c r="F83" s="1228"/>
      <c r="G83" s="489">
        <v>0</v>
      </c>
      <c r="H83" s="489">
        <v>0</v>
      </c>
      <c r="I83" s="489">
        <v>0</v>
      </c>
      <c r="J83" s="337">
        <v>0</v>
      </c>
    </row>
    <row r="84" spans="1:10" ht="13.15" customHeight="1" x14ac:dyDescent="0.2">
      <c r="A84" s="488">
        <v>6238</v>
      </c>
      <c r="B84" s="1226" t="s">
        <v>1248</v>
      </c>
      <c r="C84" s="1227"/>
      <c r="D84" s="1227"/>
      <c r="E84" s="1227"/>
      <c r="F84" s="1228"/>
      <c r="G84" s="489">
        <v>0</v>
      </c>
      <c r="H84" s="489">
        <v>0</v>
      </c>
      <c r="I84" s="492">
        <v>0</v>
      </c>
      <c r="J84" s="494">
        <v>0</v>
      </c>
    </row>
  </sheetData>
  <mergeCells count="90">
    <mergeCell ref="C6:D6"/>
    <mergeCell ref="E6:F6"/>
    <mergeCell ref="H6:I6"/>
    <mergeCell ref="A1:J1"/>
    <mergeCell ref="C2:J2"/>
    <mergeCell ref="C3:J3"/>
    <mergeCell ref="C4:J4"/>
    <mergeCell ref="C5:J5"/>
    <mergeCell ref="C7:J7"/>
    <mergeCell ref="C8:J8"/>
    <mergeCell ref="C9:J9"/>
    <mergeCell ref="C10:E10"/>
    <mergeCell ref="F10:G10"/>
    <mergeCell ref="H10:J10"/>
    <mergeCell ref="C11:E11"/>
    <mergeCell ref="F11:G11"/>
    <mergeCell ref="H11:J11"/>
    <mergeCell ref="A13:J13"/>
    <mergeCell ref="A15:F16"/>
    <mergeCell ref="G15:G16"/>
    <mergeCell ref="H15:H16"/>
    <mergeCell ref="I15:J15"/>
    <mergeCell ref="B28:F28"/>
    <mergeCell ref="B17:F17"/>
    <mergeCell ref="B18:F18"/>
    <mergeCell ref="B19:F19"/>
    <mergeCell ref="B20:F20"/>
    <mergeCell ref="B21:F21"/>
    <mergeCell ref="B22:F22"/>
    <mergeCell ref="B23:F23"/>
    <mergeCell ref="B24:F24"/>
    <mergeCell ref="B25:F25"/>
    <mergeCell ref="B26:F26"/>
    <mergeCell ref="B27:F27"/>
    <mergeCell ref="B40:F40"/>
    <mergeCell ref="B29:F29"/>
    <mergeCell ref="B30:F30"/>
    <mergeCell ref="B31:F31"/>
    <mergeCell ref="B32:F32"/>
    <mergeCell ref="B33:F33"/>
    <mergeCell ref="B34:F34"/>
    <mergeCell ref="B35:F35"/>
    <mergeCell ref="B36:F36"/>
    <mergeCell ref="B37:F37"/>
    <mergeCell ref="B38:F38"/>
    <mergeCell ref="B39:F39"/>
    <mergeCell ref="B52:F52"/>
    <mergeCell ref="B41:F41"/>
    <mergeCell ref="B42:F42"/>
    <mergeCell ref="B43:F43"/>
    <mergeCell ref="B44:F44"/>
    <mergeCell ref="B45:F45"/>
    <mergeCell ref="B46:F46"/>
    <mergeCell ref="B47:F47"/>
    <mergeCell ref="B48:F48"/>
    <mergeCell ref="B49:F49"/>
    <mergeCell ref="B50:F50"/>
    <mergeCell ref="B51:F51"/>
    <mergeCell ref="B64:F64"/>
    <mergeCell ref="B53:F53"/>
    <mergeCell ref="B54:F54"/>
    <mergeCell ref="B55:F55"/>
    <mergeCell ref="B56:F56"/>
    <mergeCell ref="B57:F57"/>
    <mergeCell ref="B58:F58"/>
    <mergeCell ref="B59:F59"/>
    <mergeCell ref="B60:F60"/>
    <mergeCell ref="B61:F61"/>
    <mergeCell ref="B62:F62"/>
    <mergeCell ref="B63:F63"/>
    <mergeCell ref="B76:F76"/>
    <mergeCell ref="B65:F65"/>
    <mergeCell ref="B66:F66"/>
    <mergeCell ref="B67:F67"/>
    <mergeCell ref="B68:F68"/>
    <mergeCell ref="B69:F69"/>
    <mergeCell ref="B70:F70"/>
    <mergeCell ref="B71:F71"/>
    <mergeCell ref="B72:F72"/>
    <mergeCell ref="B73:F73"/>
    <mergeCell ref="B74:F74"/>
    <mergeCell ref="B75:F75"/>
    <mergeCell ref="B83:F83"/>
    <mergeCell ref="B84:F84"/>
    <mergeCell ref="B77:F77"/>
    <mergeCell ref="B78:F78"/>
    <mergeCell ref="B79:F79"/>
    <mergeCell ref="B80:F80"/>
    <mergeCell ref="B81:F81"/>
    <mergeCell ref="B82:F82"/>
  </mergeCells>
  <dataValidations count="1">
    <dataValidation type="whole" allowBlank="1" showInputMessage="1" showErrorMessage="1" errorTitle="Attention!" error="Valeur numérique attendue" sqref="G17:H84" xr:uid="{D4055D98-F3F4-4C0B-BE39-D11E7E98C618}">
      <formula1>-9999999999999</formula1>
      <formula2>9999999999999</formula2>
    </dataValidation>
  </dataValidation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B3F8A-25EC-457F-A1E5-B2F38604E9E5}">
  <dimension ref="A1:J80"/>
  <sheetViews>
    <sheetView workbookViewId="0">
      <selection sqref="A1:XFD1048576"/>
    </sheetView>
  </sheetViews>
  <sheetFormatPr baseColWidth="10" defaultColWidth="11.42578125" defaultRowHeight="13.15" customHeight="1" x14ac:dyDescent="0.2"/>
  <cols>
    <col min="1" max="1" width="8.85546875" style="252" customWidth="1"/>
    <col min="2" max="2" width="21.28515625" style="252" customWidth="1"/>
    <col min="3" max="4" width="10" style="252" customWidth="1"/>
    <col min="5" max="5" width="5" style="252" customWidth="1"/>
    <col min="6" max="6" width="10" style="252" customWidth="1"/>
    <col min="7" max="9" width="11.85546875" style="252" customWidth="1"/>
    <col min="10" max="10" width="8.28515625" style="252" customWidth="1"/>
    <col min="11" max="11" width="8.140625" style="252" customWidth="1"/>
    <col min="12" max="12" width="10.42578125" style="252" customWidth="1"/>
    <col min="13" max="16384" width="11.42578125" style="252"/>
  </cols>
  <sheetData>
    <row r="1" spans="1:10" ht="15.6" customHeight="1" x14ac:dyDescent="0.2">
      <c r="A1" s="1225"/>
      <c r="B1" s="1225"/>
      <c r="C1" s="1223"/>
      <c r="D1" s="1223"/>
      <c r="E1" s="1223"/>
      <c r="F1" s="1223"/>
      <c r="G1" s="1223"/>
      <c r="H1" s="1223"/>
      <c r="I1" s="1223"/>
      <c r="J1" s="1223"/>
    </row>
    <row r="2" spans="1:10" ht="14.25" x14ac:dyDescent="0.2">
      <c r="A2" s="200" t="s">
        <v>363</v>
      </c>
      <c r="B2" s="200"/>
      <c r="C2" s="619">
        <v>4444444444</v>
      </c>
      <c r="D2" s="619"/>
      <c r="E2" s="619"/>
      <c r="F2" s="619"/>
      <c r="G2" s="619"/>
      <c r="H2" s="619"/>
      <c r="I2" s="619"/>
      <c r="J2" s="619"/>
    </row>
    <row r="3" spans="1:10" ht="15" customHeight="1" x14ac:dyDescent="0.2">
      <c r="A3" s="200"/>
      <c r="B3" s="200"/>
      <c r="C3" s="620">
        <v>56565665</v>
      </c>
      <c r="D3" s="620"/>
      <c r="E3" s="620"/>
      <c r="F3" s="620"/>
      <c r="G3" s="620"/>
      <c r="H3" s="620"/>
      <c r="I3" s="620"/>
      <c r="J3" s="620"/>
    </row>
    <row r="4" spans="1:10" ht="14.25" x14ac:dyDescent="0.2">
      <c r="A4" s="200" t="s">
        <v>364</v>
      </c>
      <c r="B4" s="200"/>
      <c r="C4" s="620" t="s">
        <v>6</v>
      </c>
      <c r="D4" s="620"/>
      <c r="E4" s="620"/>
      <c r="F4" s="620"/>
      <c r="G4" s="620"/>
      <c r="H4" s="620"/>
      <c r="I4" s="620"/>
      <c r="J4" s="620"/>
    </row>
    <row r="5" spans="1:10" ht="15" customHeight="1" x14ac:dyDescent="0.2">
      <c r="A5" s="200" t="s">
        <v>365</v>
      </c>
      <c r="B5" s="200"/>
      <c r="C5" s="621" t="s">
        <v>699</v>
      </c>
      <c r="D5" s="621"/>
      <c r="E5" s="621"/>
      <c r="F5" s="621"/>
      <c r="G5" s="621"/>
      <c r="H5" s="621"/>
      <c r="I5" s="621"/>
      <c r="J5" s="621"/>
    </row>
    <row r="6" spans="1:10" ht="14.25" x14ac:dyDescent="0.2">
      <c r="A6" s="200" t="s">
        <v>366</v>
      </c>
      <c r="B6" s="200"/>
      <c r="C6" s="620">
        <v>125545</v>
      </c>
      <c r="D6" s="620"/>
      <c r="E6" s="622" t="s">
        <v>367</v>
      </c>
      <c r="F6" s="622"/>
      <c r="G6" s="240">
        <v>46022</v>
      </c>
      <c r="H6" s="611" t="s">
        <v>467</v>
      </c>
      <c r="I6" s="611"/>
      <c r="J6" s="241">
        <v>12</v>
      </c>
    </row>
    <row r="7" spans="1:10" ht="14.25" x14ac:dyDescent="0.2">
      <c r="A7" s="198" t="s">
        <v>369</v>
      </c>
      <c r="B7" s="24"/>
      <c r="C7" s="615" t="s">
        <v>8</v>
      </c>
      <c r="D7" s="615"/>
      <c r="E7" s="615"/>
      <c r="F7" s="615"/>
      <c r="G7" s="615"/>
      <c r="H7" s="615"/>
      <c r="I7" s="615"/>
      <c r="J7" s="615"/>
    </row>
    <row r="8" spans="1:10" ht="14.25" x14ac:dyDescent="0.2">
      <c r="A8" s="200" t="s">
        <v>468</v>
      </c>
      <c r="B8" s="24"/>
      <c r="C8" s="616" t="s">
        <v>35</v>
      </c>
      <c r="D8" s="616"/>
      <c r="E8" s="616"/>
      <c r="F8" s="616"/>
      <c r="G8" s="616"/>
      <c r="H8" s="616"/>
      <c r="I8" s="616"/>
      <c r="J8" s="616"/>
    </row>
    <row r="9" spans="1:10" ht="14.25" x14ac:dyDescent="0.2">
      <c r="A9" s="200"/>
      <c r="B9" s="24"/>
      <c r="C9" s="611" t="s">
        <v>36</v>
      </c>
      <c r="D9" s="611"/>
      <c r="E9" s="611"/>
      <c r="F9" s="611"/>
      <c r="G9" s="611"/>
      <c r="H9" s="611"/>
      <c r="I9" s="611"/>
      <c r="J9" s="611"/>
    </row>
    <row r="10" spans="1:10" ht="14.25" x14ac:dyDescent="0.2">
      <c r="A10" s="200" t="s">
        <v>469</v>
      </c>
      <c r="B10" s="24"/>
      <c r="C10" s="611" t="s">
        <v>40</v>
      </c>
      <c r="D10" s="611"/>
      <c r="E10" s="611"/>
      <c r="F10" s="611" t="s">
        <v>470</v>
      </c>
      <c r="G10" s="611"/>
      <c r="H10" s="611" t="s">
        <v>38</v>
      </c>
      <c r="I10" s="611"/>
      <c r="J10" s="611"/>
    </row>
    <row r="11" spans="1:10" ht="14.25" x14ac:dyDescent="0.2">
      <c r="A11" s="200" t="s">
        <v>471</v>
      </c>
      <c r="B11" s="24"/>
      <c r="C11" s="610">
        <v>44713</v>
      </c>
      <c r="D11" s="610"/>
      <c r="E11" s="610"/>
      <c r="F11" s="611" t="s">
        <v>472</v>
      </c>
      <c r="G11" s="611"/>
      <c r="H11" s="610">
        <v>45991</v>
      </c>
      <c r="I11" s="610"/>
      <c r="J11" s="610"/>
    </row>
    <row r="12" spans="1:10" ht="10.15" customHeight="1" thickBot="1" x14ac:dyDescent="0.25">
      <c r="A12" s="24"/>
      <c r="B12" s="24"/>
      <c r="C12" s="24"/>
      <c r="D12" s="24"/>
      <c r="E12" s="24"/>
      <c r="F12" s="24"/>
      <c r="G12" s="24"/>
      <c r="H12" s="24"/>
      <c r="I12" s="24"/>
      <c r="J12" s="24"/>
    </row>
    <row r="13" spans="1:10" ht="15" thickBot="1" x14ac:dyDescent="0.25">
      <c r="A13" s="1235" t="s">
        <v>1191</v>
      </c>
      <c r="B13" s="1236"/>
      <c r="C13" s="1236"/>
      <c r="D13" s="1236"/>
      <c r="E13" s="1236"/>
      <c r="F13" s="1236"/>
      <c r="G13" s="1236"/>
      <c r="H13" s="1236"/>
      <c r="I13" s="1236"/>
      <c r="J13" s="1237"/>
    </row>
    <row r="14" spans="1:10" ht="6" customHeight="1" x14ac:dyDescent="0.2">
      <c r="A14" s="24"/>
      <c r="B14" s="24"/>
      <c r="C14" s="24"/>
      <c r="D14" s="24"/>
      <c r="E14" s="24"/>
      <c r="F14" s="24"/>
      <c r="G14" s="24"/>
      <c r="H14" s="24"/>
      <c r="I14" s="24"/>
      <c r="J14" s="24"/>
    </row>
    <row r="15" spans="1:10" ht="14.25" x14ac:dyDescent="0.2">
      <c r="A15" s="1224" t="s">
        <v>1249</v>
      </c>
      <c r="B15" s="1224"/>
      <c r="C15" s="1224"/>
      <c r="D15" s="1224"/>
      <c r="E15" s="1224"/>
      <c r="F15" s="1224"/>
      <c r="G15" s="1224" t="s">
        <v>1193</v>
      </c>
      <c r="H15" s="1224" t="s">
        <v>1194</v>
      </c>
      <c r="I15" s="1224" t="s">
        <v>1195</v>
      </c>
      <c r="J15" s="1224"/>
    </row>
    <row r="16" spans="1:10" ht="14.25" x14ac:dyDescent="0.2">
      <c r="A16" s="1224"/>
      <c r="B16" s="1224"/>
      <c r="C16" s="1224"/>
      <c r="D16" s="1224"/>
      <c r="E16" s="1224"/>
      <c r="F16" s="1224"/>
      <c r="G16" s="1224"/>
      <c r="H16" s="1224"/>
      <c r="I16" s="483" t="s">
        <v>1196</v>
      </c>
      <c r="J16" s="483" t="s">
        <v>1197</v>
      </c>
    </row>
    <row r="17" spans="1:10" ht="14.25" x14ac:dyDescent="0.2">
      <c r="A17" s="488">
        <v>6241</v>
      </c>
      <c r="B17" s="1226" t="s">
        <v>1250</v>
      </c>
      <c r="C17" s="1227"/>
      <c r="D17" s="1227"/>
      <c r="E17" s="1227"/>
      <c r="F17" s="1228"/>
      <c r="G17" s="489">
        <v>0</v>
      </c>
      <c r="H17" s="489">
        <v>0</v>
      </c>
      <c r="I17" s="489">
        <v>0</v>
      </c>
      <c r="J17" s="337">
        <v>0</v>
      </c>
    </row>
    <row r="18" spans="1:10" ht="14.25" x14ac:dyDescent="0.2">
      <c r="A18" s="495">
        <v>6242</v>
      </c>
      <c r="B18" s="1226" t="s">
        <v>1251</v>
      </c>
      <c r="C18" s="1227"/>
      <c r="D18" s="1227"/>
      <c r="E18" s="1227"/>
      <c r="F18" s="1228"/>
      <c r="G18" s="489">
        <v>0</v>
      </c>
      <c r="H18" s="489">
        <v>0</v>
      </c>
      <c r="I18" s="489">
        <v>0</v>
      </c>
      <c r="J18" s="337">
        <v>0</v>
      </c>
    </row>
    <row r="19" spans="1:10" ht="14.25" x14ac:dyDescent="0.2">
      <c r="A19" s="488">
        <v>6243</v>
      </c>
      <c r="B19" s="1226" t="s">
        <v>1252</v>
      </c>
      <c r="C19" s="1227"/>
      <c r="D19" s="1227"/>
      <c r="E19" s="1227"/>
      <c r="F19" s="1228"/>
      <c r="G19" s="489">
        <v>0</v>
      </c>
      <c r="H19" s="489">
        <v>0</v>
      </c>
      <c r="I19" s="489">
        <v>0</v>
      </c>
      <c r="J19" s="337">
        <v>0</v>
      </c>
    </row>
    <row r="20" spans="1:10" ht="14.25" x14ac:dyDescent="0.2">
      <c r="A20" s="488">
        <v>6244</v>
      </c>
      <c r="B20" s="1226" t="s">
        <v>1253</v>
      </c>
      <c r="C20" s="1227"/>
      <c r="D20" s="1227"/>
      <c r="E20" s="1227"/>
      <c r="F20" s="1228"/>
      <c r="G20" s="489">
        <v>0</v>
      </c>
      <c r="H20" s="489">
        <v>0</v>
      </c>
      <c r="I20" s="489">
        <v>0</v>
      </c>
      <c r="J20" s="337">
        <v>0</v>
      </c>
    </row>
    <row r="21" spans="1:10" ht="14.25" x14ac:dyDescent="0.2">
      <c r="A21" s="488">
        <v>6248</v>
      </c>
      <c r="B21" s="1226" t="s">
        <v>1254</v>
      </c>
      <c r="C21" s="1227"/>
      <c r="D21" s="1227"/>
      <c r="E21" s="1227"/>
      <c r="F21" s="1228"/>
      <c r="G21" s="489">
        <v>0</v>
      </c>
      <c r="H21" s="489">
        <v>0</v>
      </c>
      <c r="I21" s="489">
        <v>0</v>
      </c>
      <c r="J21" s="337">
        <v>0</v>
      </c>
    </row>
    <row r="22" spans="1:10" ht="14.25" x14ac:dyDescent="0.2">
      <c r="A22" s="488">
        <v>6251</v>
      </c>
      <c r="B22" s="1226" t="s">
        <v>1255</v>
      </c>
      <c r="C22" s="1227"/>
      <c r="D22" s="1227"/>
      <c r="E22" s="1227"/>
      <c r="F22" s="1228"/>
      <c r="G22" s="489">
        <v>0</v>
      </c>
      <c r="H22" s="489">
        <v>0</v>
      </c>
      <c r="I22" s="489">
        <v>0</v>
      </c>
      <c r="J22" s="337">
        <v>0</v>
      </c>
    </row>
    <row r="23" spans="1:10" ht="14.25" x14ac:dyDescent="0.2">
      <c r="A23" s="488">
        <v>6252</v>
      </c>
      <c r="B23" s="1226" t="s">
        <v>1256</v>
      </c>
      <c r="C23" s="1227"/>
      <c r="D23" s="1227"/>
      <c r="E23" s="1227"/>
      <c r="F23" s="1228"/>
      <c r="G23" s="489">
        <v>0</v>
      </c>
      <c r="H23" s="489">
        <v>0</v>
      </c>
      <c r="I23" s="489">
        <v>0</v>
      </c>
      <c r="J23" s="337">
        <v>0</v>
      </c>
    </row>
    <row r="24" spans="1:10" ht="14.25" x14ac:dyDescent="0.2">
      <c r="A24" s="488">
        <v>6253</v>
      </c>
      <c r="B24" s="1226" t="s">
        <v>1257</v>
      </c>
      <c r="C24" s="1227"/>
      <c r="D24" s="1227"/>
      <c r="E24" s="1227"/>
      <c r="F24" s="1228"/>
      <c r="G24" s="489">
        <v>0</v>
      </c>
      <c r="H24" s="489">
        <v>0</v>
      </c>
      <c r="I24" s="489">
        <v>0</v>
      </c>
      <c r="J24" s="337">
        <v>0</v>
      </c>
    </row>
    <row r="25" spans="1:10" ht="14.25" x14ac:dyDescent="0.2">
      <c r="A25" s="488">
        <v>6258</v>
      </c>
      <c r="B25" s="1226" t="s">
        <v>1258</v>
      </c>
      <c r="C25" s="1227"/>
      <c r="D25" s="1227"/>
      <c r="E25" s="1227"/>
      <c r="F25" s="1228"/>
      <c r="G25" s="489">
        <v>0</v>
      </c>
      <c r="H25" s="489">
        <v>0</v>
      </c>
      <c r="I25" s="489">
        <v>0</v>
      </c>
      <c r="J25" s="337">
        <v>0</v>
      </c>
    </row>
    <row r="26" spans="1:10" ht="14.25" x14ac:dyDescent="0.2">
      <c r="A26" s="488">
        <v>6261</v>
      </c>
      <c r="B26" s="1226" t="s">
        <v>1259</v>
      </c>
      <c r="C26" s="1227"/>
      <c r="D26" s="1227"/>
      <c r="E26" s="1227"/>
      <c r="F26" s="1228"/>
      <c r="G26" s="489">
        <v>0</v>
      </c>
      <c r="H26" s="489">
        <v>0</v>
      </c>
      <c r="I26" s="489">
        <v>0</v>
      </c>
      <c r="J26" s="337">
        <v>0</v>
      </c>
    </row>
    <row r="27" spans="1:10" ht="14.25" x14ac:dyDescent="0.2">
      <c r="A27" s="488">
        <v>6265</v>
      </c>
      <c r="B27" s="1226" t="s">
        <v>1260</v>
      </c>
      <c r="C27" s="1227"/>
      <c r="D27" s="1227"/>
      <c r="E27" s="1227"/>
      <c r="F27" s="1228"/>
      <c r="G27" s="489">
        <v>0</v>
      </c>
      <c r="H27" s="489">
        <v>0</v>
      </c>
      <c r="I27" s="489">
        <v>0</v>
      </c>
      <c r="J27" s="337">
        <v>0</v>
      </c>
    </row>
    <row r="28" spans="1:10" ht="14.25" x14ac:dyDescent="0.2">
      <c r="A28" s="488">
        <v>6266</v>
      </c>
      <c r="B28" s="1226" t="s">
        <v>1261</v>
      </c>
      <c r="C28" s="1227"/>
      <c r="D28" s="1227"/>
      <c r="E28" s="1227"/>
      <c r="F28" s="1228"/>
      <c r="G28" s="489">
        <v>0</v>
      </c>
      <c r="H28" s="489">
        <v>0</v>
      </c>
      <c r="I28" s="489">
        <v>0</v>
      </c>
      <c r="J28" s="337">
        <v>0</v>
      </c>
    </row>
    <row r="29" spans="1:10" ht="14.25" x14ac:dyDescent="0.2">
      <c r="A29" s="488">
        <v>6271</v>
      </c>
      <c r="B29" s="1226" t="s">
        <v>1262</v>
      </c>
      <c r="C29" s="1227"/>
      <c r="D29" s="1227"/>
      <c r="E29" s="1227"/>
      <c r="F29" s="1228"/>
      <c r="G29" s="489">
        <v>0</v>
      </c>
      <c r="H29" s="489">
        <v>0</v>
      </c>
      <c r="I29" s="489">
        <v>0</v>
      </c>
      <c r="J29" s="337">
        <v>0</v>
      </c>
    </row>
    <row r="30" spans="1:10" ht="14.25" x14ac:dyDescent="0.2">
      <c r="A30" s="488">
        <v>6272</v>
      </c>
      <c r="B30" s="1226" t="s">
        <v>1263</v>
      </c>
      <c r="C30" s="1227"/>
      <c r="D30" s="1227"/>
      <c r="E30" s="1227"/>
      <c r="F30" s="1228"/>
      <c r="G30" s="489">
        <v>0</v>
      </c>
      <c r="H30" s="489">
        <v>0</v>
      </c>
      <c r="I30" s="489">
        <v>0</v>
      </c>
      <c r="J30" s="337">
        <v>0</v>
      </c>
    </row>
    <row r="31" spans="1:10" ht="14.25" x14ac:dyDescent="0.2">
      <c r="A31" s="488">
        <v>6273</v>
      </c>
      <c r="B31" s="1226" t="s">
        <v>1264</v>
      </c>
      <c r="C31" s="1227"/>
      <c r="D31" s="1227"/>
      <c r="E31" s="1227"/>
      <c r="F31" s="1228"/>
      <c r="G31" s="489">
        <v>0</v>
      </c>
      <c r="H31" s="489">
        <v>0</v>
      </c>
      <c r="I31" s="489">
        <v>0</v>
      </c>
      <c r="J31" s="337">
        <v>0</v>
      </c>
    </row>
    <row r="32" spans="1:10" ht="14.25" x14ac:dyDescent="0.2">
      <c r="A32" s="488">
        <v>6274</v>
      </c>
      <c r="B32" s="1226" t="s">
        <v>1265</v>
      </c>
      <c r="C32" s="1227"/>
      <c r="D32" s="1227"/>
      <c r="E32" s="1227"/>
      <c r="F32" s="1228"/>
      <c r="G32" s="489">
        <v>0</v>
      </c>
      <c r="H32" s="489">
        <v>0</v>
      </c>
      <c r="I32" s="489">
        <v>0</v>
      </c>
      <c r="J32" s="337">
        <v>0</v>
      </c>
    </row>
    <row r="33" spans="1:10" ht="14.25" x14ac:dyDescent="0.2">
      <c r="A33" s="488">
        <v>6275</v>
      </c>
      <c r="B33" s="1226" t="s">
        <v>1266</v>
      </c>
      <c r="C33" s="1227"/>
      <c r="D33" s="1227"/>
      <c r="E33" s="1227"/>
      <c r="F33" s="1228"/>
      <c r="G33" s="489">
        <v>0</v>
      </c>
      <c r="H33" s="489">
        <v>0</v>
      </c>
      <c r="I33" s="489">
        <v>0</v>
      </c>
      <c r="J33" s="337">
        <v>0</v>
      </c>
    </row>
    <row r="34" spans="1:10" ht="14.25" x14ac:dyDescent="0.2">
      <c r="A34" s="488">
        <v>6277</v>
      </c>
      <c r="B34" s="1226" t="s">
        <v>1267</v>
      </c>
      <c r="C34" s="1227"/>
      <c r="D34" s="1227"/>
      <c r="E34" s="1227"/>
      <c r="F34" s="1228"/>
      <c r="G34" s="489">
        <v>0</v>
      </c>
      <c r="H34" s="489">
        <v>0</v>
      </c>
      <c r="I34" s="489">
        <v>0</v>
      </c>
      <c r="J34" s="337">
        <v>0</v>
      </c>
    </row>
    <row r="35" spans="1:10" ht="14.25" x14ac:dyDescent="0.2">
      <c r="A35" s="488">
        <v>6278</v>
      </c>
      <c r="B35" s="1226" t="s">
        <v>1268</v>
      </c>
      <c r="C35" s="1227"/>
      <c r="D35" s="1227"/>
      <c r="E35" s="1227"/>
      <c r="F35" s="1228"/>
      <c r="G35" s="489">
        <v>0</v>
      </c>
      <c r="H35" s="489">
        <v>0</v>
      </c>
      <c r="I35" s="489">
        <v>0</v>
      </c>
      <c r="J35" s="337">
        <v>0</v>
      </c>
    </row>
    <row r="36" spans="1:10" ht="14.25" x14ac:dyDescent="0.2">
      <c r="A36" s="488">
        <v>6281</v>
      </c>
      <c r="B36" s="1226" t="s">
        <v>1269</v>
      </c>
      <c r="C36" s="1227"/>
      <c r="D36" s="1227"/>
      <c r="E36" s="1227"/>
      <c r="F36" s="1228"/>
      <c r="G36" s="489">
        <v>0</v>
      </c>
      <c r="H36" s="489">
        <v>0</v>
      </c>
      <c r="I36" s="489">
        <v>0</v>
      </c>
      <c r="J36" s="337">
        <v>0</v>
      </c>
    </row>
    <row r="37" spans="1:10" ht="14.25" x14ac:dyDescent="0.2">
      <c r="A37" s="488">
        <v>6283</v>
      </c>
      <c r="B37" s="1226" t="s">
        <v>1270</v>
      </c>
      <c r="C37" s="1227"/>
      <c r="D37" s="1227"/>
      <c r="E37" s="1227"/>
      <c r="F37" s="1228"/>
      <c r="G37" s="489">
        <v>0</v>
      </c>
      <c r="H37" s="489">
        <v>0</v>
      </c>
      <c r="I37" s="489">
        <v>0</v>
      </c>
      <c r="J37" s="337">
        <v>0</v>
      </c>
    </row>
    <row r="38" spans="1:10" ht="14.25" x14ac:dyDescent="0.2">
      <c r="A38" s="488">
        <v>6284</v>
      </c>
      <c r="B38" s="1226" t="s">
        <v>1271</v>
      </c>
      <c r="C38" s="1227"/>
      <c r="D38" s="1227"/>
      <c r="E38" s="1227"/>
      <c r="F38" s="1228"/>
      <c r="G38" s="489">
        <v>0</v>
      </c>
      <c r="H38" s="489">
        <v>0</v>
      </c>
      <c r="I38" s="489">
        <v>0</v>
      </c>
      <c r="J38" s="337">
        <v>0</v>
      </c>
    </row>
    <row r="39" spans="1:10" ht="14.25" x14ac:dyDescent="0.2">
      <c r="A39" s="488">
        <v>6288</v>
      </c>
      <c r="B39" s="1226" t="s">
        <v>1272</v>
      </c>
      <c r="C39" s="1227"/>
      <c r="D39" s="1227"/>
      <c r="E39" s="1227"/>
      <c r="F39" s="1228"/>
      <c r="G39" s="489">
        <v>0</v>
      </c>
      <c r="H39" s="489">
        <v>0</v>
      </c>
      <c r="I39" s="489">
        <v>0</v>
      </c>
      <c r="J39" s="337">
        <v>0</v>
      </c>
    </row>
    <row r="40" spans="1:10" ht="14.25" x14ac:dyDescent="0.2">
      <c r="A40" s="488">
        <v>6311</v>
      </c>
      <c r="B40" s="1226" t="s">
        <v>1273</v>
      </c>
      <c r="C40" s="1227"/>
      <c r="D40" s="1227"/>
      <c r="E40" s="1227"/>
      <c r="F40" s="1228"/>
      <c r="G40" s="489">
        <v>0</v>
      </c>
      <c r="H40" s="489">
        <v>0</v>
      </c>
      <c r="I40" s="489">
        <v>0</v>
      </c>
      <c r="J40" s="337">
        <v>0</v>
      </c>
    </row>
    <row r="41" spans="1:10" ht="14.25" x14ac:dyDescent="0.2">
      <c r="A41" s="488">
        <v>6312</v>
      </c>
      <c r="B41" s="1226" t="s">
        <v>1274</v>
      </c>
      <c r="C41" s="1227"/>
      <c r="D41" s="1227"/>
      <c r="E41" s="1227"/>
      <c r="F41" s="1228"/>
      <c r="G41" s="489">
        <v>0</v>
      </c>
      <c r="H41" s="489">
        <v>0</v>
      </c>
      <c r="I41" s="489">
        <v>0</v>
      </c>
      <c r="J41" s="337">
        <v>0</v>
      </c>
    </row>
    <row r="42" spans="1:10" ht="14.25" x14ac:dyDescent="0.2">
      <c r="A42" s="488">
        <v>6313</v>
      </c>
      <c r="B42" s="1226" t="s">
        <v>1275</v>
      </c>
      <c r="C42" s="1227"/>
      <c r="D42" s="1227"/>
      <c r="E42" s="1227"/>
      <c r="F42" s="1228"/>
      <c r="G42" s="489">
        <v>0</v>
      </c>
      <c r="H42" s="489">
        <v>0</v>
      </c>
      <c r="I42" s="489">
        <v>0</v>
      </c>
      <c r="J42" s="337">
        <v>0</v>
      </c>
    </row>
    <row r="43" spans="1:10" ht="14.25" x14ac:dyDescent="0.2">
      <c r="A43" s="488">
        <v>6315</v>
      </c>
      <c r="B43" s="1226" t="s">
        <v>1276</v>
      </c>
      <c r="C43" s="1227"/>
      <c r="D43" s="1227"/>
      <c r="E43" s="1227"/>
      <c r="F43" s="1228"/>
      <c r="G43" s="489">
        <v>0</v>
      </c>
      <c r="H43" s="489">
        <v>0</v>
      </c>
      <c r="I43" s="489">
        <v>0</v>
      </c>
      <c r="J43" s="337">
        <v>0</v>
      </c>
    </row>
    <row r="44" spans="1:10" ht="14.25" x14ac:dyDescent="0.2">
      <c r="A44" s="488">
        <v>6316</v>
      </c>
      <c r="B44" s="1226" t="s">
        <v>1277</v>
      </c>
      <c r="C44" s="1227"/>
      <c r="D44" s="1227"/>
      <c r="E44" s="1227"/>
      <c r="F44" s="1228"/>
      <c r="G44" s="489">
        <v>0</v>
      </c>
      <c r="H44" s="489">
        <v>0</v>
      </c>
      <c r="I44" s="493">
        <v>0</v>
      </c>
      <c r="J44" s="337">
        <v>0</v>
      </c>
    </row>
    <row r="45" spans="1:10" ht="14.25" x14ac:dyDescent="0.2">
      <c r="A45" s="488">
        <v>6317</v>
      </c>
      <c r="B45" s="1226" t="s">
        <v>1278</v>
      </c>
      <c r="C45" s="1227"/>
      <c r="D45" s="1227"/>
      <c r="E45" s="1227"/>
      <c r="F45" s="1228"/>
      <c r="G45" s="489">
        <v>0</v>
      </c>
      <c r="H45" s="489">
        <v>0</v>
      </c>
      <c r="I45" s="489">
        <v>0</v>
      </c>
      <c r="J45" s="337">
        <v>0</v>
      </c>
    </row>
    <row r="46" spans="1:10" ht="14.25" x14ac:dyDescent="0.2">
      <c r="A46" s="488">
        <v>6318</v>
      </c>
      <c r="B46" s="1226" t="s">
        <v>1279</v>
      </c>
      <c r="C46" s="1227"/>
      <c r="D46" s="1227"/>
      <c r="E46" s="1227"/>
      <c r="F46" s="1228"/>
      <c r="G46" s="489">
        <v>0</v>
      </c>
      <c r="H46" s="489">
        <v>0</v>
      </c>
      <c r="I46" s="489">
        <v>0</v>
      </c>
      <c r="J46" s="337">
        <v>0</v>
      </c>
    </row>
    <row r="47" spans="1:10" ht="14.25" x14ac:dyDescent="0.2">
      <c r="A47" s="488">
        <v>6322</v>
      </c>
      <c r="B47" s="1226" t="s">
        <v>1280</v>
      </c>
      <c r="C47" s="1227"/>
      <c r="D47" s="1227"/>
      <c r="E47" s="1227"/>
      <c r="F47" s="1228"/>
      <c r="G47" s="489">
        <v>0</v>
      </c>
      <c r="H47" s="489">
        <v>0</v>
      </c>
      <c r="I47" s="489">
        <v>0</v>
      </c>
      <c r="J47" s="337">
        <v>0</v>
      </c>
    </row>
    <row r="48" spans="1:10" ht="14.25" x14ac:dyDescent="0.2">
      <c r="A48" s="488">
        <v>6324</v>
      </c>
      <c r="B48" s="1226" t="s">
        <v>1281</v>
      </c>
      <c r="C48" s="1227"/>
      <c r="D48" s="1227"/>
      <c r="E48" s="1227"/>
      <c r="F48" s="1228"/>
      <c r="G48" s="489">
        <v>0</v>
      </c>
      <c r="H48" s="489">
        <v>0</v>
      </c>
      <c r="I48" s="489">
        <v>0</v>
      </c>
      <c r="J48" s="337">
        <v>0</v>
      </c>
    </row>
    <row r="49" spans="1:10" ht="14.25" x14ac:dyDescent="0.2">
      <c r="A49" s="488">
        <v>6325</v>
      </c>
      <c r="B49" s="1226" t="s">
        <v>1282</v>
      </c>
      <c r="C49" s="1227"/>
      <c r="D49" s="1227"/>
      <c r="E49" s="1227"/>
      <c r="F49" s="1228"/>
      <c r="G49" s="489">
        <v>0</v>
      </c>
      <c r="H49" s="489">
        <v>0</v>
      </c>
      <c r="I49" s="489">
        <v>0</v>
      </c>
      <c r="J49" s="337">
        <v>0</v>
      </c>
    </row>
    <row r="50" spans="1:10" ht="14.25" x14ac:dyDescent="0.2">
      <c r="A50" s="488">
        <v>6327</v>
      </c>
      <c r="B50" s="1226" t="s">
        <v>1283</v>
      </c>
      <c r="C50" s="1227"/>
      <c r="D50" s="1227"/>
      <c r="E50" s="1227"/>
      <c r="F50" s="1228"/>
      <c r="G50" s="489">
        <v>0</v>
      </c>
      <c r="H50" s="489">
        <v>0</v>
      </c>
      <c r="I50" s="489">
        <v>0</v>
      </c>
      <c r="J50" s="337">
        <v>0</v>
      </c>
    </row>
    <row r="51" spans="1:10" ht="14.25" x14ac:dyDescent="0.2">
      <c r="A51" s="488">
        <v>6328</v>
      </c>
      <c r="B51" s="1226" t="s">
        <v>1284</v>
      </c>
      <c r="C51" s="1227"/>
      <c r="D51" s="1227"/>
      <c r="E51" s="1227"/>
      <c r="F51" s="1228"/>
      <c r="G51" s="489">
        <v>0</v>
      </c>
      <c r="H51" s="489">
        <v>0</v>
      </c>
      <c r="I51" s="489">
        <v>0</v>
      </c>
      <c r="J51" s="337">
        <v>0</v>
      </c>
    </row>
    <row r="52" spans="1:10" ht="14.25" x14ac:dyDescent="0.2">
      <c r="A52" s="488">
        <v>633</v>
      </c>
      <c r="B52" s="1226" t="s">
        <v>1285</v>
      </c>
      <c r="C52" s="1227"/>
      <c r="D52" s="1227"/>
      <c r="E52" s="1227"/>
      <c r="F52" s="1228"/>
      <c r="G52" s="489">
        <v>0</v>
      </c>
      <c r="H52" s="489">
        <v>0</v>
      </c>
      <c r="I52" s="489">
        <v>0</v>
      </c>
      <c r="J52" s="337">
        <v>0</v>
      </c>
    </row>
    <row r="53" spans="1:10" ht="14.25" x14ac:dyDescent="0.2">
      <c r="A53" s="488">
        <v>6342</v>
      </c>
      <c r="B53" s="1226" t="s">
        <v>1286</v>
      </c>
      <c r="C53" s="1227"/>
      <c r="D53" s="1227"/>
      <c r="E53" s="1227"/>
      <c r="F53" s="1228"/>
      <c r="G53" s="489">
        <v>0</v>
      </c>
      <c r="H53" s="489">
        <v>0</v>
      </c>
      <c r="I53" s="489">
        <v>0</v>
      </c>
      <c r="J53" s="337">
        <v>0</v>
      </c>
    </row>
    <row r="54" spans="1:10" ht="14.25" x14ac:dyDescent="0.2">
      <c r="A54" s="488">
        <v>6343</v>
      </c>
      <c r="B54" s="1226" t="s">
        <v>1287</v>
      </c>
      <c r="C54" s="1227"/>
      <c r="D54" s="1227"/>
      <c r="E54" s="1227"/>
      <c r="F54" s="1228"/>
      <c r="G54" s="489">
        <v>0</v>
      </c>
      <c r="H54" s="489">
        <v>0</v>
      </c>
      <c r="I54" s="489">
        <v>0</v>
      </c>
      <c r="J54" s="337">
        <v>0</v>
      </c>
    </row>
    <row r="55" spans="1:10" ht="14.25" x14ac:dyDescent="0.2">
      <c r="A55" s="488">
        <v>6345</v>
      </c>
      <c r="B55" s="1226" t="s">
        <v>1288</v>
      </c>
      <c r="C55" s="1227"/>
      <c r="D55" s="1227"/>
      <c r="E55" s="1227"/>
      <c r="F55" s="1228"/>
      <c r="G55" s="489">
        <v>0</v>
      </c>
      <c r="H55" s="489">
        <v>0</v>
      </c>
      <c r="I55" s="489">
        <v>0</v>
      </c>
      <c r="J55" s="337">
        <v>0</v>
      </c>
    </row>
    <row r="56" spans="1:10" ht="14.25" x14ac:dyDescent="0.2">
      <c r="A56" s="488">
        <v>6346</v>
      </c>
      <c r="B56" s="1226" t="s">
        <v>1289</v>
      </c>
      <c r="C56" s="1227"/>
      <c r="D56" s="1227"/>
      <c r="E56" s="1227"/>
      <c r="F56" s="1228"/>
      <c r="G56" s="489">
        <v>0</v>
      </c>
      <c r="H56" s="489">
        <v>0</v>
      </c>
      <c r="I56" s="489">
        <v>0</v>
      </c>
      <c r="J56" s="337">
        <v>0</v>
      </c>
    </row>
    <row r="57" spans="1:10" ht="14.25" x14ac:dyDescent="0.2">
      <c r="A57" s="488">
        <v>6348</v>
      </c>
      <c r="B57" s="1226" t="s">
        <v>1290</v>
      </c>
      <c r="C57" s="1227"/>
      <c r="D57" s="1227"/>
      <c r="E57" s="1227"/>
      <c r="F57" s="1228"/>
      <c r="G57" s="489">
        <v>0</v>
      </c>
      <c r="H57" s="489">
        <v>0</v>
      </c>
      <c r="I57" s="489">
        <v>0</v>
      </c>
      <c r="J57" s="337">
        <v>0</v>
      </c>
    </row>
    <row r="58" spans="1:10" ht="14.25" x14ac:dyDescent="0.2">
      <c r="A58" s="488">
        <v>6351</v>
      </c>
      <c r="B58" s="1226" t="s">
        <v>1011</v>
      </c>
      <c r="C58" s="1227"/>
      <c r="D58" s="1227"/>
      <c r="E58" s="1227"/>
      <c r="F58" s="1228"/>
      <c r="G58" s="489">
        <v>0</v>
      </c>
      <c r="H58" s="489">
        <v>0</v>
      </c>
      <c r="I58" s="489">
        <v>0</v>
      </c>
      <c r="J58" s="337">
        <v>0</v>
      </c>
    </row>
    <row r="59" spans="1:10" ht="14.25" x14ac:dyDescent="0.2">
      <c r="A59" s="488">
        <v>6358</v>
      </c>
      <c r="B59" s="1226" t="s">
        <v>1291</v>
      </c>
      <c r="C59" s="1227"/>
      <c r="D59" s="1227"/>
      <c r="E59" s="1227"/>
      <c r="F59" s="1228"/>
      <c r="G59" s="489">
        <v>0</v>
      </c>
      <c r="H59" s="489">
        <v>0</v>
      </c>
      <c r="I59" s="489">
        <v>0</v>
      </c>
      <c r="J59" s="337">
        <v>0</v>
      </c>
    </row>
    <row r="60" spans="1:10" ht="14.25" x14ac:dyDescent="0.2">
      <c r="A60" s="488">
        <v>636</v>
      </c>
      <c r="B60" s="1226" t="s">
        <v>1292</v>
      </c>
      <c r="C60" s="1227"/>
      <c r="D60" s="1227"/>
      <c r="E60" s="1227"/>
      <c r="F60" s="1228"/>
      <c r="G60" s="489">
        <v>0</v>
      </c>
      <c r="H60" s="489">
        <v>0</v>
      </c>
      <c r="I60" s="489">
        <v>0</v>
      </c>
      <c r="J60" s="337">
        <v>0</v>
      </c>
    </row>
    <row r="61" spans="1:10" ht="14.25" x14ac:dyDescent="0.2">
      <c r="A61" s="488">
        <v>6371</v>
      </c>
      <c r="B61" s="1226" t="s">
        <v>1293</v>
      </c>
      <c r="C61" s="1227"/>
      <c r="D61" s="1227"/>
      <c r="E61" s="1227"/>
      <c r="F61" s="1228"/>
      <c r="G61" s="489">
        <v>0</v>
      </c>
      <c r="H61" s="489">
        <v>0</v>
      </c>
      <c r="I61" s="489">
        <v>0</v>
      </c>
      <c r="J61" s="337">
        <v>0</v>
      </c>
    </row>
    <row r="62" spans="1:10" ht="14.25" x14ac:dyDescent="0.2">
      <c r="A62" s="488">
        <v>6372</v>
      </c>
      <c r="B62" s="1226" t="s">
        <v>1294</v>
      </c>
      <c r="C62" s="1227"/>
      <c r="D62" s="1227"/>
      <c r="E62" s="1227"/>
      <c r="F62" s="1228"/>
      <c r="G62" s="489">
        <v>0</v>
      </c>
      <c r="H62" s="489">
        <v>0</v>
      </c>
      <c r="I62" s="489">
        <v>0</v>
      </c>
      <c r="J62" s="337">
        <v>0</v>
      </c>
    </row>
    <row r="63" spans="1:10" ht="14.25" x14ac:dyDescent="0.2">
      <c r="A63" s="488">
        <v>6381</v>
      </c>
      <c r="B63" s="1226" t="s">
        <v>1295</v>
      </c>
      <c r="C63" s="1227"/>
      <c r="D63" s="1227"/>
      <c r="E63" s="1227"/>
      <c r="F63" s="1228"/>
      <c r="G63" s="489">
        <v>0</v>
      </c>
      <c r="H63" s="489">
        <v>0</v>
      </c>
      <c r="I63" s="489">
        <v>0</v>
      </c>
      <c r="J63" s="337">
        <v>0</v>
      </c>
    </row>
    <row r="64" spans="1:10" ht="14.25" x14ac:dyDescent="0.2">
      <c r="A64" s="488">
        <v>6382</v>
      </c>
      <c r="B64" s="1226" t="s">
        <v>1296</v>
      </c>
      <c r="C64" s="1227"/>
      <c r="D64" s="1227"/>
      <c r="E64" s="1227"/>
      <c r="F64" s="1228"/>
      <c r="G64" s="489">
        <v>0</v>
      </c>
      <c r="H64" s="489">
        <v>0</v>
      </c>
      <c r="I64" s="489">
        <v>0</v>
      </c>
      <c r="J64" s="337">
        <v>0</v>
      </c>
    </row>
    <row r="65" spans="1:10" ht="14.25" x14ac:dyDescent="0.2">
      <c r="A65" s="488">
        <v>6383</v>
      </c>
      <c r="B65" s="1226" t="s">
        <v>1297</v>
      </c>
      <c r="C65" s="1227"/>
      <c r="D65" s="1227"/>
      <c r="E65" s="1227"/>
      <c r="F65" s="1228"/>
      <c r="G65" s="489">
        <v>0</v>
      </c>
      <c r="H65" s="489">
        <v>0</v>
      </c>
      <c r="I65" s="489">
        <v>0</v>
      </c>
      <c r="J65" s="337">
        <v>0</v>
      </c>
    </row>
    <row r="66" spans="1:10" ht="14.25" x14ac:dyDescent="0.2">
      <c r="A66" s="488">
        <v>6384</v>
      </c>
      <c r="B66" s="1226" t="s">
        <v>1298</v>
      </c>
      <c r="C66" s="1227"/>
      <c r="D66" s="1227"/>
      <c r="E66" s="1227"/>
      <c r="F66" s="1228"/>
      <c r="G66" s="489">
        <v>0</v>
      </c>
      <c r="H66" s="489">
        <v>0</v>
      </c>
      <c r="I66" s="489">
        <v>0</v>
      </c>
      <c r="J66" s="337">
        <v>0</v>
      </c>
    </row>
    <row r="67" spans="1:10" ht="14.25" x14ac:dyDescent="0.2">
      <c r="A67" s="488">
        <v>6385</v>
      </c>
      <c r="B67" s="1226" t="s">
        <v>1299</v>
      </c>
      <c r="C67" s="1227"/>
      <c r="D67" s="1227"/>
      <c r="E67" s="1227"/>
      <c r="F67" s="1228"/>
      <c r="G67" s="489">
        <v>0</v>
      </c>
      <c r="H67" s="489">
        <v>0</v>
      </c>
      <c r="I67" s="489">
        <v>0</v>
      </c>
      <c r="J67" s="337">
        <v>0</v>
      </c>
    </row>
    <row r="68" spans="1:10" ht="14.25" x14ac:dyDescent="0.2">
      <c r="A68" s="488">
        <v>6388</v>
      </c>
      <c r="B68" s="1226" t="s">
        <v>1300</v>
      </c>
      <c r="C68" s="1227"/>
      <c r="D68" s="1227"/>
      <c r="E68" s="1227"/>
      <c r="F68" s="1228"/>
      <c r="G68" s="489">
        <v>0</v>
      </c>
      <c r="H68" s="489">
        <v>0</v>
      </c>
      <c r="I68" s="489">
        <v>0</v>
      </c>
      <c r="J68" s="337">
        <v>0</v>
      </c>
    </row>
    <row r="69" spans="1:10" ht="15" customHeight="1" x14ac:dyDescent="0.2">
      <c r="A69" s="490" t="s">
        <v>1301</v>
      </c>
      <c r="B69" s="1229" t="s">
        <v>580</v>
      </c>
      <c r="C69" s="1230"/>
      <c r="D69" s="1230"/>
      <c r="E69" s="1230"/>
      <c r="F69" s="1231"/>
      <c r="G69" s="491">
        <v>0</v>
      </c>
      <c r="H69" s="491">
        <v>0</v>
      </c>
      <c r="I69" s="491">
        <v>0</v>
      </c>
      <c r="J69" s="341">
        <v>0</v>
      </c>
    </row>
    <row r="70" spans="1:10" ht="14.25" x14ac:dyDescent="0.2">
      <c r="A70" s="488">
        <v>6411</v>
      </c>
      <c r="B70" s="1238" t="s">
        <v>1302</v>
      </c>
      <c r="C70" s="1238"/>
      <c r="D70" s="1238"/>
      <c r="E70" s="1238"/>
      <c r="F70" s="1238"/>
      <c r="G70" s="496">
        <v>0</v>
      </c>
      <c r="H70" s="489">
        <v>0</v>
      </c>
      <c r="I70" s="489">
        <v>0</v>
      </c>
      <c r="J70" s="337">
        <v>0</v>
      </c>
    </row>
    <row r="71" spans="1:10" ht="14.25" x14ac:dyDescent="0.2">
      <c r="A71" s="488">
        <v>6412</v>
      </c>
      <c r="B71" s="1238" t="s">
        <v>1303</v>
      </c>
      <c r="C71" s="1238"/>
      <c r="D71" s="1238"/>
      <c r="E71" s="1238"/>
      <c r="F71" s="1238"/>
      <c r="G71" s="496">
        <v>0</v>
      </c>
      <c r="H71" s="489">
        <v>0</v>
      </c>
      <c r="I71" s="489">
        <v>0</v>
      </c>
      <c r="J71" s="337">
        <v>0</v>
      </c>
    </row>
    <row r="72" spans="1:10" ht="14.25" x14ac:dyDescent="0.2">
      <c r="A72" s="488">
        <v>6413</v>
      </c>
      <c r="B72" s="1238" t="s">
        <v>1304</v>
      </c>
      <c r="C72" s="1238"/>
      <c r="D72" s="1238"/>
      <c r="E72" s="1238"/>
      <c r="F72" s="1238"/>
      <c r="G72" s="496">
        <v>0</v>
      </c>
      <c r="H72" s="489">
        <v>0</v>
      </c>
      <c r="I72" s="489">
        <v>0</v>
      </c>
      <c r="J72" s="337">
        <v>0</v>
      </c>
    </row>
    <row r="73" spans="1:10" ht="14.25" x14ac:dyDescent="0.2">
      <c r="A73" s="488">
        <v>6414</v>
      </c>
      <c r="B73" s="1238" t="s">
        <v>1305</v>
      </c>
      <c r="C73" s="1238"/>
      <c r="D73" s="1238"/>
      <c r="E73" s="1238"/>
      <c r="F73" s="1238"/>
      <c r="G73" s="496">
        <v>0</v>
      </c>
      <c r="H73" s="489">
        <v>0</v>
      </c>
      <c r="I73" s="497">
        <v>0</v>
      </c>
      <c r="J73" s="337">
        <v>0</v>
      </c>
    </row>
    <row r="74" spans="1:10" ht="13.15" customHeight="1" x14ac:dyDescent="0.2">
      <c r="A74" s="488">
        <v>6415</v>
      </c>
      <c r="B74" s="1238" t="s">
        <v>1306</v>
      </c>
      <c r="C74" s="1238"/>
      <c r="D74" s="1238"/>
      <c r="E74" s="1238"/>
      <c r="F74" s="1238"/>
      <c r="G74" s="496">
        <v>0</v>
      </c>
      <c r="H74" s="489">
        <v>0</v>
      </c>
      <c r="I74" s="497">
        <v>0</v>
      </c>
      <c r="J74" s="337">
        <v>0</v>
      </c>
    </row>
    <row r="75" spans="1:10" ht="13.15" customHeight="1" x14ac:dyDescent="0.2">
      <c r="A75" s="488">
        <v>6416</v>
      </c>
      <c r="B75" s="1238" t="s">
        <v>1307</v>
      </c>
      <c r="C75" s="1238"/>
      <c r="D75" s="1238"/>
      <c r="E75" s="1238"/>
      <c r="F75" s="1238"/>
      <c r="G75" s="496">
        <v>0</v>
      </c>
      <c r="H75" s="489">
        <v>0</v>
      </c>
      <c r="I75" s="497">
        <v>0</v>
      </c>
      <c r="J75" s="337">
        <v>0</v>
      </c>
    </row>
    <row r="76" spans="1:10" ht="13.15" customHeight="1" x14ac:dyDescent="0.2">
      <c r="A76" s="488">
        <v>6418</v>
      </c>
      <c r="B76" s="1238" t="s">
        <v>1308</v>
      </c>
      <c r="C76" s="1238"/>
      <c r="D76" s="1238"/>
      <c r="E76" s="1238"/>
      <c r="F76" s="1238"/>
      <c r="G76" s="496">
        <v>0</v>
      </c>
      <c r="H76" s="489">
        <v>0</v>
      </c>
      <c r="I76" s="497">
        <v>0</v>
      </c>
      <c r="J76" s="337">
        <v>0</v>
      </c>
    </row>
    <row r="77" spans="1:10" ht="13.15" customHeight="1" x14ac:dyDescent="0.2">
      <c r="A77" s="488">
        <v>645</v>
      </c>
      <c r="B77" s="1238" t="s">
        <v>1017</v>
      </c>
      <c r="C77" s="1238"/>
      <c r="D77" s="1238"/>
      <c r="E77" s="1238"/>
      <c r="F77" s="1238"/>
      <c r="G77" s="496">
        <v>0</v>
      </c>
      <c r="H77" s="489">
        <v>0</v>
      </c>
      <c r="I77" s="497">
        <v>0</v>
      </c>
      <c r="J77" s="337">
        <v>0</v>
      </c>
    </row>
    <row r="78" spans="1:10" ht="13.15" customHeight="1" x14ac:dyDescent="0.2">
      <c r="A78" s="488">
        <v>6461</v>
      </c>
      <c r="B78" s="1238" t="s">
        <v>1309</v>
      </c>
      <c r="C78" s="1238"/>
      <c r="D78" s="1238"/>
      <c r="E78" s="1238"/>
      <c r="F78" s="1238"/>
      <c r="G78" s="496">
        <v>0</v>
      </c>
      <c r="H78" s="489">
        <v>0</v>
      </c>
      <c r="I78" s="497">
        <v>0</v>
      </c>
      <c r="J78" s="337">
        <v>0</v>
      </c>
    </row>
    <row r="79" spans="1:10" ht="13.15" customHeight="1" x14ac:dyDescent="0.2">
      <c r="A79" s="488">
        <v>6462</v>
      </c>
      <c r="B79" s="1238" t="s">
        <v>1310</v>
      </c>
      <c r="C79" s="1238"/>
      <c r="D79" s="1238"/>
      <c r="E79" s="1238"/>
      <c r="F79" s="1238"/>
      <c r="G79" s="496">
        <v>0</v>
      </c>
      <c r="H79" s="489">
        <v>0</v>
      </c>
      <c r="I79" s="497">
        <v>0</v>
      </c>
      <c r="J79" s="337">
        <v>0</v>
      </c>
    </row>
    <row r="80" spans="1:10" ht="13.15" customHeight="1" x14ac:dyDescent="0.2">
      <c r="A80" s="488">
        <v>6464</v>
      </c>
      <c r="B80" s="1238" t="s">
        <v>1311</v>
      </c>
      <c r="C80" s="1238"/>
      <c r="D80" s="1238"/>
      <c r="E80" s="1238"/>
      <c r="F80" s="1238"/>
      <c r="G80" s="496">
        <v>0</v>
      </c>
      <c r="H80" s="489">
        <v>0</v>
      </c>
      <c r="I80" s="497">
        <v>0</v>
      </c>
      <c r="J80" s="337">
        <v>0</v>
      </c>
    </row>
  </sheetData>
  <mergeCells count="86">
    <mergeCell ref="C6:D6"/>
    <mergeCell ref="E6:F6"/>
    <mergeCell ref="H6:I6"/>
    <mergeCell ref="A1:J1"/>
    <mergeCell ref="C2:J2"/>
    <mergeCell ref="C3:J3"/>
    <mergeCell ref="C4:J4"/>
    <mergeCell ref="C5:J5"/>
    <mergeCell ref="C7:J7"/>
    <mergeCell ref="C8:J8"/>
    <mergeCell ref="C9:J9"/>
    <mergeCell ref="C10:E10"/>
    <mergeCell ref="F10:G10"/>
    <mergeCell ref="H10:J10"/>
    <mergeCell ref="B22:F22"/>
    <mergeCell ref="C11:E11"/>
    <mergeCell ref="F11:G11"/>
    <mergeCell ref="H11:J11"/>
    <mergeCell ref="A13:J13"/>
    <mergeCell ref="A15:F16"/>
    <mergeCell ref="G15:G16"/>
    <mergeCell ref="H15:H16"/>
    <mergeCell ref="I15:J15"/>
    <mergeCell ref="B17:F17"/>
    <mergeCell ref="B18:F18"/>
    <mergeCell ref="B19:F19"/>
    <mergeCell ref="B20:F20"/>
    <mergeCell ref="B21:F21"/>
    <mergeCell ref="B34:F34"/>
    <mergeCell ref="B23:F23"/>
    <mergeCell ref="B24:F24"/>
    <mergeCell ref="B25:F25"/>
    <mergeCell ref="B26:F26"/>
    <mergeCell ref="B27:F27"/>
    <mergeCell ref="B28:F28"/>
    <mergeCell ref="B29:F29"/>
    <mergeCell ref="B30:F30"/>
    <mergeCell ref="B31:F31"/>
    <mergeCell ref="B32:F32"/>
    <mergeCell ref="B33:F33"/>
    <mergeCell ref="B46:F46"/>
    <mergeCell ref="B35:F35"/>
    <mergeCell ref="B36:F36"/>
    <mergeCell ref="B37:F37"/>
    <mergeCell ref="B38:F38"/>
    <mergeCell ref="B39:F39"/>
    <mergeCell ref="B40:F40"/>
    <mergeCell ref="B41:F41"/>
    <mergeCell ref="B42:F42"/>
    <mergeCell ref="B43:F43"/>
    <mergeCell ref="B44:F44"/>
    <mergeCell ref="B45:F45"/>
    <mergeCell ref="B58:F58"/>
    <mergeCell ref="B47:F47"/>
    <mergeCell ref="B48:F48"/>
    <mergeCell ref="B49:F49"/>
    <mergeCell ref="B50:F50"/>
    <mergeCell ref="B51:F51"/>
    <mergeCell ref="B52:F52"/>
    <mergeCell ref="B53:F53"/>
    <mergeCell ref="B54:F54"/>
    <mergeCell ref="B55:F55"/>
    <mergeCell ref="B56:F56"/>
    <mergeCell ref="B57:F57"/>
    <mergeCell ref="B70:F70"/>
    <mergeCell ref="B59:F59"/>
    <mergeCell ref="B60:F60"/>
    <mergeCell ref="B61:F61"/>
    <mergeCell ref="B62:F62"/>
    <mergeCell ref="B63:F63"/>
    <mergeCell ref="B64:F64"/>
    <mergeCell ref="B65:F65"/>
    <mergeCell ref="B66:F66"/>
    <mergeCell ref="B67:F67"/>
    <mergeCell ref="B68:F68"/>
    <mergeCell ref="B69:F69"/>
    <mergeCell ref="B77:F77"/>
    <mergeCell ref="B78:F78"/>
    <mergeCell ref="B79:F79"/>
    <mergeCell ref="B80:F80"/>
    <mergeCell ref="B71:F71"/>
    <mergeCell ref="B72:F72"/>
    <mergeCell ref="B73:F73"/>
    <mergeCell ref="B74:F74"/>
    <mergeCell ref="B75:F75"/>
    <mergeCell ref="B76:F76"/>
  </mergeCells>
  <dataValidations count="1">
    <dataValidation type="whole" allowBlank="1" showInputMessage="1" showErrorMessage="1" errorTitle="Attention!" error="Valeur numérique attendue" sqref="G17:H80" xr:uid="{B474D19F-70EA-4E86-94DA-0B437E35DB83}">
      <formula1>-9999999999999</formula1>
      <formula2>9999999999999</formula2>
    </dataValidation>
  </dataValidation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40EE5-2991-4C7B-B4CF-CF62708AB81F}">
  <dimension ref="A1:J79"/>
  <sheetViews>
    <sheetView workbookViewId="0">
      <selection sqref="A1:XFD1048576"/>
    </sheetView>
  </sheetViews>
  <sheetFormatPr baseColWidth="10" defaultColWidth="11.42578125" defaultRowHeight="13.15" customHeight="1" x14ac:dyDescent="0.25"/>
  <cols>
    <col min="1" max="1" width="8.85546875" style="376" customWidth="1"/>
    <col min="2" max="2" width="21.140625" style="376" customWidth="1"/>
    <col min="3" max="4" width="10" style="376" customWidth="1"/>
    <col min="5" max="5" width="8.7109375" style="376" customWidth="1"/>
    <col min="6" max="6" width="8.140625" style="376" customWidth="1"/>
    <col min="7" max="9" width="11.85546875" style="376" customWidth="1"/>
    <col min="10" max="10" width="7.85546875" style="376" customWidth="1"/>
    <col min="11" max="11" width="8.140625" style="376" customWidth="1"/>
    <col min="12" max="12" width="10.5703125" style="376" customWidth="1"/>
    <col min="13" max="16384" width="11.42578125" style="376"/>
  </cols>
  <sheetData>
    <row r="1" spans="1:10" ht="10.9" customHeight="1" x14ac:dyDescent="0.25">
      <c r="A1" s="617"/>
      <c r="B1" s="617"/>
      <c r="C1" s="618"/>
      <c r="D1" s="618"/>
      <c r="E1" s="618"/>
      <c r="F1" s="618"/>
      <c r="G1" s="618"/>
      <c r="H1" s="618"/>
      <c r="I1" s="618"/>
      <c r="J1" s="618"/>
    </row>
    <row r="2" spans="1:10" ht="15" x14ac:dyDescent="0.25">
      <c r="A2" s="200" t="s">
        <v>363</v>
      </c>
      <c r="B2" s="200"/>
      <c r="C2" s="619">
        <v>4444444444</v>
      </c>
      <c r="D2" s="619"/>
      <c r="E2" s="619"/>
      <c r="F2" s="619"/>
      <c r="G2" s="619"/>
      <c r="H2" s="619"/>
      <c r="I2" s="619"/>
      <c r="J2" s="619"/>
    </row>
    <row r="3" spans="1:10" ht="15" customHeight="1" x14ac:dyDescent="0.25">
      <c r="A3" s="200"/>
      <c r="B3" s="200"/>
      <c r="C3" s="620">
        <v>56565665</v>
      </c>
      <c r="D3" s="620"/>
      <c r="E3" s="620"/>
      <c r="F3" s="620"/>
      <c r="G3" s="620"/>
      <c r="H3" s="620"/>
      <c r="I3" s="620"/>
      <c r="J3" s="620"/>
    </row>
    <row r="4" spans="1:10" ht="15" x14ac:dyDescent="0.25">
      <c r="A4" s="200" t="s">
        <v>364</v>
      </c>
      <c r="B4" s="200"/>
      <c r="C4" s="620" t="s">
        <v>6</v>
      </c>
      <c r="D4" s="620"/>
      <c r="E4" s="620"/>
      <c r="F4" s="620"/>
      <c r="G4" s="620"/>
      <c r="H4" s="620"/>
      <c r="I4" s="620"/>
      <c r="J4" s="620"/>
    </row>
    <row r="5" spans="1:10" ht="15" customHeight="1" x14ac:dyDescent="0.25">
      <c r="A5" s="200" t="s">
        <v>365</v>
      </c>
      <c r="B5" s="200"/>
      <c r="C5" s="621" t="s">
        <v>699</v>
      </c>
      <c r="D5" s="621"/>
      <c r="E5" s="621"/>
      <c r="F5" s="621"/>
      <c r="G5" s="621"/>
      <c r="H5" s="621"/>
      <c r="I5" s="621"/>
      <c r="J5" s="621"/>
    </row>
    <row r="6" spans="1:10" ht="15" x14ac:dyDescent="0.25">
      <c r="A6" s="200" t="s">
        <v>366</v>
      </c>
      <c r="B6" s="200"/>
      <c r="C6" s="620">
        <v>125545</v>
      </c>
      <c r="D6" s="620"/>
      <c r="E6" s="622" t="s">
        <v>367</v>
      </c>
      <c r="F6" s="622"/>
      <c r="G6" s="240">
        <v>46022</v>
      </c>
      <c r="H6" s="611" t="s">
        <v>467</v>
      </c>
      <c r="I6" s="611"/>
      <c r="J6" s="241">
        <v>12</v>
      </c>
    </row>
    <row r="7" spans="1:10" ht="15" x14ac:dyDescent="0.25">
      <c r="A7" s="198" t="s">
        <v>369</v>
      </c>
      <c r="B7" s="24"/>
      <c r="C7" s="615" t="s">
        <v>8</v>
      </c>
      <c r="D7" s="615"/>
      <c r="E7" s="615"/>
      <c r="F7" s="615"/>
      <c r="G7" s="615"/>
      <c r="H7" s="615"/>
      <c r="I7" s="615"/>
      <c r="J7" s="615"/>
    </row>
    <row r="8" spans="1:10" ht="15" x14ac:dyDescent="0.25">
      <c r="A8" s="200" t="s">
        <v>468</v>
      </c>
      <c r="B8" s="24"/>
      <c r="C8" s="616" t="s">
        <v>35</v>
      </c>
      <c r="D8" s="616"/>
      <c r="E8" s="616"/>
      <c r="F8" s="616"/>
      <c r="G8" s="616"/>
      <c r="H8" s="616"/>
      <c r="I8" s="616"/>
      <c r="J8" s="616"/>
    </row>
    <row r="9" spans="1:10" ht="13.15" customHeight="1" x14ac:dyDescent="0.25">
      <c r="A9" s="200"/>
      <c r="B9" s="24"/>
      <c r="C9" s="611" t="s">
        <v>36</v>
      </c>
      <c r="D9" s="611"/>
      <c r="E9" s="611"/>
      <c r="F9" s="611"/>
      <c r="G9" s="611"/>
      <c r="H9" s="611"/>
      <c r="I9" s="611"/>
      <c r="J9" s="611"/>
    </row>
    <row r="10" spans="1:10" ht="15" x14ac:dyDescent="0.25">
      <c r="A10" s="200" t="s">
        <v>469</v>
      </c>
      <c r="B10" s="24"/>
      <c r="C10" s="611" t="s">
        <v>40</v>
      </c>
      <c r="D10" s="611"/>
      <c r="E10" s="611"/>
      <c r="F10" s="611" t="s">
        <v>470</v>
      </c>
      <c r="G10" s="611"/>
      <c r="H10" s="611" t="s">
        <v>38</v>
      </c>
      <c r="I10" s="611"/>
      <c r="J10" s="611"/>
    </row>
    <row r="11" spans="1:10" ht="15" x14ac:dyDescent="0.25">
      <c r="A11" s="200" t="s">
        <v>471</v>
      </c>
      <c r="B11" s="24"/>
      <c r="C11" s="610">
        <v>44713</v>
      </c>
      <c r="D11" s="610"/>
      <c r="E11" s="610"/>
      <c r="F11" s="611" t="s">
        <v>472</v>
      </c>
      <c r="G11" s="611"/>
      <c r="H11" s="610">
        <v>45991</v>
      </c>
      <c r="I11" s="610"/>
      <c r="J11" s="610"/>
    </row>
    <row r="12" spans="1:10" ht="7.15" customHeight="1" thickBot="1" x14ac:dyDescent="0.3">
      <c r="A12" s="24"/>
      <c r="B12" s="24"/>
      <c r="C12" s="24"/>
      <c r="D12" s="24"/>
      <c r="E12" s="24"/>
      <c r="F12" s="24"/>
      <c r="G12" s="24"/>
      <c r="H12" s="24"/>
      <c r="I12" s="24"/>
      <c r="J12" s="24"/>
    </row>
    <row r="13" spans="1:10" ht="15.75" thickBot="1" x14ac:dyDescent="0.3">
      <c r="A13" s="1235" t="s">
        <v>1191</v>
      </c>
      <c r="B13" s="1236"/>
      <c r="C13" s="1236"/>
      <c r="D13" s="1236"/>
      <c r="E13" s="1236"/>
      <c r="F13" s="1236"/>
      <c r="G13" s="1236"/>
      <c r="H13" s="1236"/>
      <c r="I13" s="1236"/>
      <c r="J13" s="1237"/>
    </row>
    <row r="14" spans="1:10" ht="6" customHeight="1" x14ac:dyDescent="0.25">
      <c r="A14" s="24"/>
      <c r="B14" s="24"/>
      <c r="C14" s="24"/>
      <c r="D14" s="24"/>
      <c r="E14" s="24"/>
      <c r="F14" s="24"/>
      <c r="G14" s="24"/>
      <c r="H14" s="24"/>
      <c r="I14" s="24"/>
      <c r="J14" s="24"/>
    </row>
    <row r="15" spans="1:10" ht="15" x14ac:dyDescent="0.25">
      <c r="A15" s="1224" t="s">
        <v>1312</v>
      </c>
      <c r="B15" s="1224"/>
      <c r="C15" s="1224"/>
      <c r="D15" s="1224"/>
      <c r="E15" s="1224"/>
      <c r="F15" s="1224"/>
      <c r="G15" s="1224" t="s">
        <v>1193</v>
      </c>
      <c r="H15" s="1224" t="s">
        <v>1194</v>
      </c>
      <c r="I15" s="1224" t="s">
        <v>1195</v>
      </c>
      <c r="J15" s="1224"/>
    </row>
    <row r="16" spans="1:10" ht="15" x14ac:dyDescent="0.25">
      <c r="A16" s="1224"/>
      <c r="B16" s="1224"/>
      <c r="C16" s="1224"/>
      <c r="D16" s="1224"/>
      <c r="E16" s="1224"/>
      <c r="F16" s="1224"/>
      <c r="G16" s="1224"/>
      <c r="H16" s="1224"/>
      <c r="I16" s="483" t="s">
        <v>1196</v>
      </c>
      <c r="J16" s="483" t="s">
        <v>1197</v>
      </c>
    </row>
    <row r="17" spans="1:10" ht="15" x14ac:dyDescent="0.25">
      <c r="A17" s="488">
        <v>6468</v>
      </c>
      <c r="B17" s="1226" t="s">
        <v>1313</v>
      </c>
      <c r="C17" s="1227"/>
      <c r="D17" s="1227"/>
      <c r="E17" s="1227"/>
      <c r="F17" s="1228"/>
      <c r="G17" s="489">
        <v>0</v>
      </c>
      <c r="H17" s="489">
        <v>0</v>
      </c>
      <c r="I17" s="489">
        <v>0</v>
      </c>
      <c r="J17" s="337">
        <v>0</v>
      </c>
    </row>
    <row r="18" spans="1:10" ht="15" x14ac:dyDescent="0.25">
      <c r="A18" s="488">
        <v>6471</v>
      </c>
      <c r="B18" s="1226" t="s">
        <v>1314</v>
      </c>
      <c r="C18" s="1227"/>
      <c r="D18" s="1227"/>
      <c r="E18" s="1227"/>
      <c r="F18" s="1228"/>
      <c r="G18" s="489">
        <v>0</v>
      </c>
      <c r="H18" s="489">
        <v>0</v>
      </c>
      <c r="I18" s="489">
        <v>0</v>
      </c>
      <c r="J18" s="337">
        <v>0</v>
      </c>
    </row>
    <row r="19" spans="1:10" ht="15" x14ac:dyDescent="0.25">
      <c r="A19" s="488">
        <v>6472</v>
      </c>
      <c r="B19" s="1226" t="s">
        <v>1315</v>
      </c>
      <c r="C19" s="1227"/>
      <c r="D19" s="1227"/>
      <c r="E19" s="1227"/>
      <c r="F19" s="1228"/>
      <c r="G19" s="489">
        <v>0</v>
      </c>
      <c r="H19" s="489">
        <v>0</v>
      </c>
      <c r="I19" s="489">
        <v>0</v>
      </c>
      <c r="J19" s="337">
        <v>0</v>
      </c>
    </row>
    <row r="20" spans="1:10" ht="15" x14ac:dyDescent="0.25">
      <c r="A20" s="488">
        <v>6473</v>
      </c>
      <c r="B20" s="1226" t="s">
        <v>1316</v>
      </c>
      <c r="C20" s="1227"/>
      <c r="D20" s="1227"/>
      <c r="E20" s="1227"/>
      <c r="F20" s="1228"/>
      <c r="G20" s="489">
        <v>0</v>
      </c>
      <c r="H20" s="489">
        <v>0</v>
      </c>
      <c r="I20" s="489">
        <v>0</v>
      </c>
      <c r="J20" s="337">
        <v>0</v>
      </c>
    </row>
    <row r="21" spans="1:10" ht="15" x14ac:dyDescent="0.25">
      <c r="A21" s="488">
        <v>6474</v>
      </c>
      <c r="B21" s="1226" t="s">
        <v>1317</v>
      </c>
      <c r="C21" s="1227"/>
      <c r="D21" s="1227"/>
      <c r="E21" s="1227"/>
      <c r="F21" s="1228"/>
      <c r="G21" s="489">
        <v>0</v>
      </c>
      <c r="H21" s="489">
        <v>0</v>
      </c>
      <c r="I21" s="489">
        <v>0</v>
      </c>
      <c r="J21" s="337">
        <v>0</v>
      </c>
    </row>
    <row r="22" spans="1:10" ht="15" x14ac:dyDescent="0.25">
      <c r="A22" s="488">
        <v>6478</v>
      </c>
      <c r="B22" s="1226" t="s">
        <v>1318</v>
      </c>
      <c r="C22" s="1227"/>
      <c r="D22" s="1227"/>
      <c r="E22" s="1227"/>
      <c r="F22" s="1228"/>
      <c r="G22" s="489">
        <v>0</v>
      </c>
      <c r="H22" s="489">
        <v>0</v>
      </c>
      <c r="I22" s="489">
        <v>0</v>
      </c>
      <c r="J22" s="337">
        <v>0</v>
      </c>
    </row>
    <row r="23" spans="1:10" ht="15" x14ac:dyDescent="0.25">
      <c r="A23" s="488">
        <v>648</v>
      </c>
      <c r="B23" s="1242" t="s">
        <v>1020</v>
      </c>
      <c r="C23" s="1243"/>
      <c r="D23" s="1243"/>
      <c r="E23" s="1243"/>
      <c r="F23" s="1244"/>
      <c r="G23" s="489">
        <v>0</v>
      </c>
      <c r="H23" s="489">
        <v>0</v>
      </c>
      <c r="I23" s="489">
        <v>0</v>
      </c>
      <c r="J23" s="337">
        <v>0</v>
      </c>
    </row>
    <row r="24" spans="1:10" ht="15" x14ac:dyDescent="0.25">
      <c r="A24" s="488">
        <v>649</v>
      </c>
      <c r="B24" s="1242" t="s">
        <v>1319</v>
      </c>
      <c r="C24" s="1243"/>
      <c r="D24" s="1243"/>
      <c r="E24" s="1243"/>
      <c r="F24" s="1244"/>
      <c r="G24" s="489">
        <v>0</v>
      </c>
      <c r="H24" s="489">
        <v>0</v>
      </c>
      <c r="I24" s="489">
        <v>0</v>
      </c>
      <c r="J24" s="337">
        <v>0</v>
      </c>
    </row>
    <row r="25" spans="1:10" ht="15" customHeight="1" x14ac:dyDescent="0.25">
      <c r="A25" s="490" t="s">
        <v>1320</v>
      </c>
      <c r="B25" s="1229" t="s">
        <v>582</v>
      </c>
      <c r="C25" s="1230"/>
      <c r="D25" s="1230"/>
      <c r="E25" s="1230"/>
      <c r="F25" s="1231"/>
      <c r="G25" s="491">
        <v>0</v>
      </c>
      <c r="H25" s="491">
        <v>0</v>
      </c>
      <c r="I25" s="491">
        <v>0</v>
      </c>
      <c r="J25" s="342">
        <v>0</v>
      </c>
    </row>
    <row r="26" spans="1:10" ht="15" x14ac:dyDescent="0.25">
      <c r="A26" s="488">
        <v>6511</v>
      </c>
      <c r="B26" s="1226" t="s">
        <v>528</v>
      </c>
      <c r="C26" s="1227"/>
      <c r="D26" s="1227"/>
      <c r="E26" s="1227"/>
      <c r="F26" s="1228"/>
      <c r="G26" s="489">
        <v>0</v>
      </c>
      <c r="H26" s="489">
        <v>0</v>
      </c>
      <c r="I26" s="489">
        <v>0</v>
      </c>
      <c r="J26" s="337">
        <v>0</v>
      </c>
    </row>
    <row r="27" spans="1:10" ht="15" x14ac:dyDescent="0.25">
      <c r="A27" s="488">
        <v>6512</v>
      </c>
      <c r="B27" s="1226" t="s">
        <v>1321</v>
      </c>
      <c r="C27" s="1227"/>
      <c r="D27" s="1227"/>
      <c r="E27" s="1227"/>
      <c r="F27" s="1228"/>
      <c r="G27" s="489">
        <v>0</v>
      </c>
      <c r="H27" s="489">
        <v>0</v>
      </c>
      <c r="I27" s="489">
        <v>0</v>
      </c>
      <c r="J27" s="337">
        <v>0</v>
      </c>
    </row>
    <row r="28" spans="1:10" ht="15" x14ac:dyDescent="0.25">
      <c r="A28" s="488">
        <v>6515</v>
      </c>
      <c r="B28" s="1226" t="s">
        <v>1322</v>
      </c>
      <c r="C28" s="1227"/>
      <c r="D28" s="1227"/>
      <c r="E28" s="1227"/>
      <c r="F28" s="1228"/>
      <c r="G28" s="489">
        <v>0</v>
      </c>
      <c r="H28" s="489">
        <v>0</v>
      </c>
      <c r="I28" s="489">
        <v>0</v>
      </c>
      <c r="J28" s="337">
        <v>0</v>
      </c>
    </row>
    <row r="29" spans="1:10" ht="15" x14ac:dyDescent="0.25">
      <c r="A29" s="488">
        <v>652</v>
      </c>
      <c r="B29" s="1226" t="s">
        <v>1323</v>
      </c>
      <c r="C29" s="1227"/>
      <c r="D29" s="1227"/>
      <c r="E29" s="1227"/>
      <c r="F29" s="1228"/>
      <c r="G29" s="489">
        <v>0</v>
      </c>
      <c r="H29" s="489">
        <v>0</v>
      </c>
      <c r="I29" s="489">
        <v>0</v>
      </c>
      <c r="J29" s="337">
        <v>0</v>
      </c>
    </row>
    <row r="30" spans="1:10" ht="15" x14ac:dyDescent="0.25">
      <c r="A30" s="488">
        <v>6541</v>
      </c>
      <c r="B30" s="1226" t="s">
        <v>1324</v>
      </c>
      <c r="C30" s="1227"/>
      <c r="D30" s="1227"/>
      <c r="E30" s="1227"/>
      <c r="F30" s="1228"/>
      <c r="G30" s="489">
        <v>0</v>
      </c>
      <c r="H30" s="489">
        <v>0</v>
      </c>
      <c r="I30" s="489">
        <v>0</v>
      </c>
      <c r="J30" s="337">
        <v>0</v>
      </c>
    </row>
    <row r="31" spans="1:10" ht="15" x14ac:dyDescent="0.25">
      <c r="A31" s="488">
        <v>6545</v>
      </c>
      <c r="B31" s="1226" t="s">
        <v>1325</v>
      </c>
      <c r="C31" s="1227"/>
      <c r="D31" s="1227"/>
      <c r="E31" s="1227"/>
      <c r="F31" s="1228"/>
      <c r="G31" s="489">
        <v>0</v>
      </c>
      <c r="H31" s="489">
        <v>0</v>
      </c>
      <c r="I31" s="489">
        <v>0</v>
      </c>
      <c r="J31" s="337">
        <v>0</v>
      </c>
    </row>
    <row r="32" spans="1:10" ht="15" x14ac:dyDescent="0.25">
      <c r="A32" s="488">
        <v>657</v>
      </c>
      <c r="B32" s="1226" t="s">
        <v>1027</v>
      </c>
      <c r="C32" s="1227"/>
      <c r="D32" s="1227"/>
      <c r="E32" s="1227"/>
      <c r="F32" s="1228"/>
      <c r="G32" s="489">
        <v>0</v>
      </c>
      <c r="H32" s="489">
        <v>0</v>
      </c>
      <c r="I32" s="489">
        <v>0</v>
      </c>
      <c r="J32" s="337">
        <v>0</v>
      </c>
    </row>
    <row r="33" spans="1:10" ht="15" x14ac:dyDescent="0.25">
      <c r="A33" s="488">
        <v>658</v>
      </c>
      <c r="B33" s="1226" t="s">
        <v>1326</v>
      </c>
      <c r="C33" s="1227"/>
      <c r="D33" s="1227"/>
      <c r="E33" s="1227"/>
      <c r="F33" s="1228"/>
      <c r="G33" s="489">
        <v>0</v>
      </c>
      <c r="H33" s="489">
        <v>0</v>
      </c>
      <c r="I33" s="489">
        <v>0</v>
      </c>
      <c r="J33" s="337">
        <v>0</v>
      </c>
    </row>
    <row r="34" spans="1:10" ht="15" x14ac:dyDescent="0.25">
      <c r="A34" s="488">
        <v>6591</v>
      </c>
      <c r="B34" s="1226" t="s">
        <v>1327</v>
      </c>
      <c r="C34" s="1227"/>
      <c r="D34" s="1227"/>
      <c r="E34" s="1227"/>
      <c r="F34" s="1228"/>
      <c r="G34" s="489">
        <v>0</v>
      </c>
      <c r="H34" s="489">
        <v>0</v>
      </c>
      <c r="I34" s="489">
        <v>0</v>
      </c>
      <c r="J34" s="337">
        <v>0</v>
      </c>
    </row>
    <row r="35" spans="1:10" ht="15" x14ac:dyDescent="0.25">
      <c r="A35" s="488">
        <v>6593</v>
      </c>
      <c r="B35" s="1226" t="s">
        <v>1328</v>
      </c>
      <c r="C35" s="1227"/>
      <c r="D35" s="1227"/>
      <c r="E35" s="1227"/>
      <c r="F35" s="1228"/>
      <c r="G35" s="489">
        <v>0</v>
      </c>
      <c r="H35" s="489">
        <v>0</v>
      </c>
      <c r="I35" s="489">
        <v>0</v>
      </c>
      <c r="J35" s="337">
        <v>0</v>
      </c>
    </row>
    <row r="36" spans="1:10" ht="15" x14ac:dyDescent="0.25">
      <c r="A36" s="488">
        <v>6594</v>
      </c>
      <c r="B36" s="1226" t="s">
        <v>1329</v>
      </c>
      <c r="C36" s="1227"/>
      <c r="D36" s="1227"/>
      <c r="E36" s="1227"/>
      <c r="F36" s="1228"/>
      <c r="G36" s="489">
        <v>0</v>
      </c>
      <c r="H36" s="489">
        <v>0</v>
      </c>
      <c r="I36" s="489">
        <v>0</v>
      </c>
      <c r="J36" s="337">
        <v>0</v>
      </c>
    </row>
    <row r="37" spans="1:10" ht="15" x14ac:dyDescent="0.25">
      <c r="A37" s="488">
        <v>6598</v>
      </c>
      <c r="B37" s="1226" t="s">
        <v>1330</v>
      </c>
      <c r="C37" s="1227"/>
      <c r="D37" s="1227"/>
      <c r="E37" s="1227"/>
      <c r="F37" s="1228"/>
      <c r="G37" s="489">
        <v>0</v>
      </c>
      <c r="H37" s="489">
        <v>0</v>
      </c>
      <c r="I37" s="489">
        <v>0</v>
      </c>
      <c r="J37" s="337">
        <v>0</v>
      </c>
    </row>
    <row r="38" spans="1:10" ht="15" customHeight="1" x14ac:dyDescent="0.25">
      <c r="A38" s="490" t="s">
        <v>1331</v>
      </c>
      <c r="B38" s="1229" t="s">
        <v>584</v>
      </c>
      <c r="C38" s="1230"/>
      <c r="D38" s="1230"/>
      <c r="E38" s="1230"/>
      <c r="F38" s="1231"/>
      <c r="G38" s="491">
        <v>0</v>
      </c>
      <c r="H38" s="491">
        <v>0</v>
      </c>
      <c r="I38" s="491">
        <v>0</v>
      </c>
      <c r="J38" s="342">
        <v>0</v>
      </c>
    </row>
    <row r="39" spans="1:10" ht="15" x14ac:dyDescent="0.25">
      <c r="A39" s="488">
        <v>6611</v>
      </c>
      <c r="B39" s="1226" t="s">
        <v>1332</v>
      </c>
      <c r="C39" s="1227"/>
      <c r="D39" s="1227"/>
      <c r="E39" s="1227"/>
      <c r="F39" s="1228"/>
      <c r="G39" s="489">
        <v>0</v>
      </c>
      <c r="H39" s="489">
        <v>0</v>
      </c>
      <c r="I39" s="489">
        <v>0</v>
      </c>
      <c r="J39" s="337">
        <v>0</v>
      </c>
    </row>
    <row r="40" spans="1:10" ht="15" x14ac:dyDescent="0.25">
      <c r="A40" s="488">
        <v>6612</v>
      </c>
      <c r="B40" s="1226" t="s">
        <v>1333</v>
      </c>
      <c r="C40" s="1227"/>
      <c r="D40" s="1227"/>
      <c r="E40" s="1227"/>
      <c r="F40" s="1228"/>
      <c r="G40" s="489">
        <v>0</v>
      </c>
      <c r="H40" s="489">
        <v>0</v>
      </c>
      <c r="I40" s="489">
        <v>0</v>
      </c>
      <c r="J40" s="337">
        <v>0</v>
      </c>
    </row>
    <row r="41" spans="1:10" ht="15" x14ac:dyDescent="0.25">
      <c r="A41" s="488">
        <v>6613</v>
      </c>
      <c r="B41" s="1226" t="s">
        <v>1334</v>
      </c>
      <c r="C41" s="1227"/>
      <c r="D41" s="1227"/>
      <c r="E41" s="1227"/>
      <c r="F41" s="1228"/>
      <c r="G41" s="489">
        <v>0</v>
      </c>
      <c r="H41" s="489">
        <v>0</v>
      </c>
      <c r="I41" s="489">
        <v>0</v>
      </c>
      <c r="J41" s="337">
        <v>0</v>
      </c>
    </row>
    <row r="42" spans="1:10" ht="15" x14ac:dyDescent="0.25">
      <c r="A42" s="488">
        <v>6614</v>
      </c>
      <c r="B42" s="1239" t="s">
        <v>1335</v>
      </c>
      <c r="C42" s="1240"/>
      <c r="D42" s="1240"/>
      <c r="E42" s="1240"/>
      <c r="F42" s="1241"/>
      <c r="G42" s="489">
        <v>0</v>
      </c>
      <c r="H42" s="489">
        <v>0</v>
      </c>
      <c r="I42" s="489">
        <v>0</v>
      </c>
      <c r="J42" s="337">
        <v>0</v>
      </c>
    </row>
    <row r="43" spans="1:10" ht="15" x14ac:dyDescent="0.25">
      <c r="A43" s="488">
        <v>6615</v>
      </c>
      <c r="B43" s="1226" t="s">
        <v>1336</v>
      </c>
      <c r="C43" s="1227"/>
      <c r="D43" s="1227"/>
      <c r="E43" s="1227"/>
      <c r="F43" s="1228"/>
      <c r="G43" s="489">
        <v>0</v>
      </c>
      <c r="H43" s="489">
        <v>0</v>
      </c>
      <c r="I43" s="489">
        <v>0</v>
      </c>
      <c r="J43" s="337">
        <v>0</v>
      </c>
    </row>
    <row r="44" spans="1:10" ht="15" x14ac:dyDescent="0.25">
      <c r="A44" s="488">
        <v>6616</v>
      </c>
      <c r="B44" s="1226" t="s">
        <v>1337</v>
      </c>
      <c r="C44" s="1227"/>
      <c r="D44" s="1227"/>
      <c r="E44" s="1227"/>
      <c r="F44" s="1228"/>
      <c r="G44" s="489">
        <v>0</v>
      </c>
      <c r="H44" s="489">
        <v>0</v>
      </c>
      <c r="I44" s="489">
        <v>0</v>
      </c>
      <c r="J44" s="337">
        <v>0</v>
      </c>
    </row>
    <row r="45" spans="1:10" ht="15" x14ac:dyDescent="0.25">
      <c r="A45" s="488">
        <v>6617</v>
      </c>
      <c r="B45" s="1226" t="s">
        <v>1338</v>
      </c>
      <c r="C45" s="1227"/>
      <c r="D45" s="1227"/>
      <c r="E45" s="1227"/>
      <c r="F45" s="1228"/>
      <c r="G45" s="489">
        <v>0</v>
      </c>
      <c r="H45" s="489">
        <v>0</v>
      </c>
      <c r="I45" s="489">
        <v>0</v>
      </c>
      <c r="J45" s="337">
        <v>0</v>
      </c>
    </row>
    <row r="46" spans="1:10" ht="15" x14ac:dyDescent="0.25">
      <c r="A46" s="488">
        <v>6618</v>
      </c>
      <c r="B46" s="1226" t="s">
        <v>1339</v>
      </c>
      <c r="C46" s="1227"/>
      <c r="D46" s="1227"/>
      <c r="E46" s="1227"/>
      <c r="F46" s="1228"/>
      <c r="G46" s="489">
        <v>0</v>
      </c>
      <c r="H46" s="489">
        <v>0</v>
      </c>
      <c r="I46" s="489">
        <v>0</v>
      </c>
      <c r="J46" s="337">
        <v>0</v>
      </c>
    </row>
    <row r="47" spans="1:10" ht="15" x14ac:dyDescent="0.25">
      <c r="A47" s="488">
        <v>6621</v>
      </c>
      <c r="B47" s="1226" t="s">
        <v>1332</v>
      </c>
      <c r="C47" s="1227"/>
      <c r="D47" s="1227"/>
      <c r="E47" s="1227"/>
      <c r="F47" s="1228"/>
      <c r="G47" s="489">
        <v>0</v>
      </c>
      <c r="H47" s="489">
        <v>0</v>
      </c>
      <c r="I47" s="489">
        <v>0</v>
      </c>
      <c r="J47" s="337">
        <v>0</v>
      </c>
    </row>
    <row r="48" spans="1:10" ht="15" x14ac:dyDescent="0.25">
      <c r="A48" s="488">
        <v>6622</v>
      </c>
      <c r="B48" s="1226" t="s">
        <v>1333</v>
      </c>
      <c r="C48" s="1227"/>
      <c r="D48" s="1227"/>
      <c r="E48" s="1227"/>
      <c r="F48" s="1228"/>
      <c r="G48" s="489">
        <v>0</v>
      </c>
      <c r="H48" s="489">
        <v>0</v>
      </c>
      <c r="I48" s="489">
        <v>0</v>
      </c>
      <c r="J48" s="337">
        <v>0</v>
      </c>
    </row>
    <row r="49" spans="1:10" ht="15" x14ac:dyDescent="0.25">
      <c r="A49" s="488">
        <v>6623</v>
      </c>
      <c r="B49" s="1226" t="s">
        <v>1334</v>
      </c>
      <c r="C49" s="1227"/>
      <c r="D49" s="1227"/>
      <c r="E49" s="1227"/>
      <c r="F49" s="1228"/>
      <c r="G49" s="489">
        <v>0</v>
      </c>
      <c r="H49" s="489">
        <v>0</v>
      </c>
      <c r="I49" s="489">
        <v>0</v>
      </c>
      <c r="J49" s="337">
        <v>0</v>
      </c>
    </row>
    <row r="50" spans="1:10" ht="15" x14ac:dyDescent="0.25">
      <c r="A50" s="488">
        <v>6624</v>
      </c>
      <c r="B50" s="1239" t="s">
        <v>1335</v>
      </c>
      <c r="C50" s="1240"/>
      <c r="D50" s="1240"/>
      <c r="E50" s="1240"/>
      <c r="F50" s="1241"/>
      <c r="G50" s="489">
        <v>0</v>
      </c>
      <c r="H50" s="489">
        <v>0</v>
      </c>
      <c r="I50" s="489">
        <v>0</v>
      </c>
      <c r="J50" s="337">
        <v>0</v>
      </c>
    </row>
    <row r="51" spans="1:10" ht="15" x14ac:dyDescent="0.25">
      <c r="A51" s="488">
        <v>6625</v>
      </c>
      <c r="B51" s="1226" t="s">
        <v>1336</v>
      </c>
      <c r="C51" s="1227"/>
      <c r="D51" s="1227"/>
      <c r="E51" s="1227"/>
      <c r="F51" s="1228"/>
      <c r="G51" s="489">
        <v>0</v>
      </c>
      <c r="H51" s="489">
        <v>0</v>
      </c>
      <c r="I51" s="489">
        <v>0</v>
      </c>
      <c r="J51" s="337">
        <v>0</v>
      </c>
    </row>
    <row r="52" spans="1:10" ht="15" x14ac:dyDescent="0.25">
      <c r="A52" s="488">
        <v>6626</v>
      </c>
      <c r="B52" s="1226" t="s">
        <v>1337</v>
      </c>
      <c r="C52" s="1227"/>
      <c r="D52" s="1227"/>
      <c r="E52" s="1227"/>
      <c r="F52" s="1228"/>
      <c r="G52" s="489">
        <v>0</v>
      </c>
      <c r="H52" s="489">
        <v>0</v>
      </c>
      <c r="I52" s="489">
        <v>0</v>
      </c>
      <c r="J52" s="337">
        <v>0</v>
      </c>
    </row>
    <row r="53" spans="1:10" ht="15" x14ac:dyDescent="0.25">
      <c r="A53" s="488">
        <v>6627</v>
      </c>
      <c r="B53" s="1226" t="s">
        <v>1338</v>
      </c>
      <c r="C53" s="1227"/>
      <c r="D53" s="1227"/>
      <c r="E53" s="1227"/>
      <c r="F53" s="1228"/>
      <c r="G53" s="489">
        <v>0</v>
      </c>
      <c r="H53" s="489">
        <v>0</v>
      </c>
      <c r="I53" s="489">
        <v>0</v>
      </c>
      <c r="J53" s="337">
        <v>0</v>
      </c>
    </row>
    <row r="54" spans="1:10" ht="15" x14ac:dyDescent="0.25">
      <c r="A54" s="488">
        <v>6628</v>
      </c>
      <c r="B54" s="1226" t="s">
        <v>1339</v>
      </c>
      <c r="C54" s="1227"/>
      <c r="D54" s="1227"/>
      <c r="E54" s="1227"/>
      <c r="F54" s="1228"/>
      <c r="G54" s="489">
        <v>0</v>
      </c>
      <c r="H54" s="489">
        <v>0</v>
      </c>
      <c r="I54" s="489">
        <v>0</v>
      </c>
      <c r="J54" s="337">
        <v>0</v>
      </c>
    </row>
    <row r="55" spans="1:10" ht="15" x14ac:dyDescent="0.25">
      <c r="A55" s="488">
        <v>6631</v>
      </c>
      <c r="B55" s="1226" t="s">
        <v>1340</v>
      </c>
      <c r="C55" s="1227"/>
      <c r="D55" s="1227"/>
      <c r="E55" s="1227"/>
      <c r="F55" s="1228"/>
      <c r="G55" s="489">
        <v>0</v>
      </c>
      <c r="H55" s="489">
        <v>0</v>
      </c>
      <c r="I55" s="489">
        <v>0</v>
      </c>
      <c r="J55" s="337">
        <v>0</v>
      </c>
    </row>
    <row r="56" spans="1:10" ht="15" x14ac:dyDescent="0.25">
      <c r="A56" s="488">
        <v>6632</v>
      </c>
      <c r="B56" s="1226" t="s">
        <v>1341</v>
      </c>
      <c r="C56" s="1227"/>
      <c r="D56" s="1227"/>
      <c r="E56" s="1227"/>
      <c r="F56" s="1228"/>
      <c r="G56" s="489">
        <v>0</v>
      </c>
      <c r="H56" s="489">
        <v>0</v>
      </c>
      <c r="I56" s="489">
        <v>0</v>
      </c>
      <c r="J56" s="337">
        <v>0</v>
      </c>
    </row>
    <row r="57" spans="1:10" ht="15" x14ac:dyDescent="0.25">
      <c r="A57" s="488">
        <v>6633</v>
      </c>
      <c r="B57" s="1226" t="s">
        <v>1342</v>
      </c>
      <c r="C57" s="1227"/>
      <c r="D57" s="1227"/>
      <c r="E57" s="1227"/>
      <c r="F57" s="1228"/>
      <c r="G57" s="489">
        <v>0</v>
      </c>
      <c r="H57" s="489">
        <v>0</v>
      </c>
      <c r="I57" s="489">
        <v>0</v>
      </c>
      <c r="J57" s="337">
        <v>0</v>
      </c>
    </row>
    <row r="58" spans="1:10" ht="15" x14ac:dyDescent="0.25">
      <c r="A58" s="488">
        <v>6634</v>
      </c>
      <c r="B58" s="1226" t="s">
        <v>1343</v>
      </c>
      <c r="C58" s="1227"/>
      <c r="D58" s="1227"/>
      <c r="E58" s="1227"/>
      <c r="F58" s="1228"/>
      <c r="G58" s="489">
        <v>0</v>
      </c>
      <c r="H58" s="489">
        <v>0</v>
      </c>
      <c r="I58" s="489">
        <v>0</v>
      </c>
      <c r="J58" s="337">
        <v>0</v>
      </c>
    </row>
    <row r="59" spans="1:10" ht="15" x14ac:dyDescent="0.25">
      <c r="A59" s="488">
        <v>6638</v>
      </c>
      <c r="B59" s="1226" t="s">
        <v>1344</v>
      </c>
      <c r="C59" s="1227"/>
      <c r="D59" s="1227"/>
      <c r="E59" s="1227"/>
      <c r="F59" s="1228"/>
      <c r="G59" s="489">
        <v>0</v>
      </c>
      <c r="H59" s="489">
        <v>0</v>
      </c>
      <c r="I59" s="489">
        <v>0</v>
      </c>
      <c r="J59" s="337">
        <v>0</v>
      </c>
    </row>
    <row r="60" spans="1:10" ht="15" x14ac:dyDescent="0.25">
      <c r="A60" s="488">
        <v>6641</v>
      </c>
      <c r="B60" s="1226" t="s">
        <v>1345</v>
      </c>
      <c r="C60" s="1227"/>
      <c r="D60" s="1227"/>
      <c r="E60" s="1227"/>
      <c r="F60" s="1228"/>
      <c r="G60" s="489">
        <v>0</v>
      </c>
      <c r="H60" s="489">
        <v>0</v>
      </c>
      <c r="I60" s="489">
        <v>0</v>
      </c>
      <c r="J60" s="337">
        <v>0</v>
      </c>
    </row>
    <row r="61" spans="1:10" ht="15" x14ac:dyDescent="0.25">
      <c r="A61" s="488">
        <v>6642</v>
      </c>
      <c r="B61" s="1226" t="s">
        <v>1346</v>
      </c>
      <c r="C61" s="1227"/>
      <c r="D61" s="1227"/>
      <c r="E61" s="1227"/>
      <c r="F61" s="1228"/>
      <c r="G61" s="489">
        <v>0</v>
      </c>
      <c r="H61" s="489">
        <v>0</v>
      </c>
      <c r="I61" s="489">
        <v>0</v>
      </c>
      <c r="J61" s="337">
        <v>0</v>
      </c>
    </row>
    <row r="62" spans="1:10" ht="15" x14ac:dyDescent="0.25">
      <c r="A62" s="488">
        <v>665</v>
      </c>
      <c r="B62" s="1226" t="s">
        <v>1038</v>
      </c>
      <c r="C62" s="1227"/>
      <c r="D62" s="1227"/>
      <c r="E62" s="1227"/>
      <c r="F62" s="1228"/>
      <c r="G62" s="489">
        <v>0</v>
      </c>
      <c r="H62" s="489">
        <v>0</v>
      </c>
      <c r="I62" s="489">
        <v>0</v>
      </c>
      <c r="J62" s="337">
        <v>0</v>
      </c>
    </row>
    <row r="63" spans="1:10" ht="15" x14ac:dyDescent="0.25">
      <c r="A63" s="488">
        <v>6671</v>
      </c>
      <c r="B63" s="1226" t="s">
        <v>1293</v>
      </c>
      <c r="C63" s="1227"/>
      <c r="D63" s="1227"/>
      <c r="E63" s="1227"/>
      <c r="F63" s="1228"/>
      <c r="G63" s="489">
        <v>0</v>
      </c>
      <c r="H63" s="489">
        <v>0</v>
      </c>
      <c r="I63" s="489">
        <v>0</v>
      </c>
      <c r="J63" s="337">
        <v>0</v>
      </c>
    </row>
    <row r="64" spans="1:10" ht="15" x14ac:dyDescent="0.25">
      <c r="A64" s="488">
        <v>6672</v>
      </c>
      <c r="B64" s="1226" t="s">
        <v>1294</v>
      </c>
      <c r="C64" s="1227"/>
      <c r="D64" s="1227"/>
      <c r="E64" s="1227"/>
      <c r="F64" s="1228"/>
      <c r="G64" s="489">
        <v>0</v>
      </c>
      <c r="H64" s="489">
        <v>0</v>
      </c>
      <c r="I64" s="489">
        <v>0</v>
      </c>
      <c r="J64" s="337">
        <v>0</v>
      </c>
    </row>
    <row r="65" spans="1:10" ht="15" x14ac:dyDescent="0.25">
      <c r="A65" s="488">
        <v>6681</v>
      </c>
      <c r="B65" s="1226" t="s">
        <v>1347</v>
      </c>
      <c r="C65" s="1227"/>
      <c r="D65" s="1227"/>
      <c r="E65" s="1227"/>
      <c r="F65" s="1228"/>
      <c r="G65" s="489">
        <v>0</v>
      </c>
      <c r="H65" s="489">
        <v>0</v>
      </c>
      <c r="I65" s="489">
        <v>0</v>
      </c>
      <c r="J65" s="337">
        <v>0</v>
      </c>
    </row>
    <row r="66" spans="1:10" ht="15" x14ac:dyDescent="0.25">
      <c r="A66" s="488">
        <v>6682</v>
      </c>
      <c r="B66" s="1226" t="s">
        <v>1348</v>
      </c>
      <c r="C66" s="1227"/>
      <c r="D66" s="1227"/>
      <c r="E66" s="1227"/>
      <c r="F66" s="1228"/>
      <c r="G66" s="489">
        <v>0</v>
      </c>
      <c r="H66" s="489">
        <v>0</v>
      </c>
      <c r="I66" s="489">
        <v>0</v>
      </c>
      <c r="J66" s="337">
        <v>0</v>
      </c>
    </row>
    <row r="67" spans="1:10" ht="15" x14ac:dyDescent="0.25">
      <c r="A67" s="488">
        <v>6683</v>
      </c>
      <c r="B67" s="1226" t="s">
        <v>1349</v>
      </c>
      <c r="C67" s="1227"/>
      <c r="D67" s="1227"/>
      <c r="E67" s="1227"/>
      <c r="F67" s="1228"/>
      <c r="G67" s="489">
        <v>0</v>
      </c>
      <c r="H67" s="489">
        <v>0</v>
      </c>
      <c r="I67" s="489">
        <v>0</v>
      </c>
      <c r="J67" s="337">
        <v>0</v>
      </c>
    </row>
    <row r="68" spans="1:10" ht="15" x14ac:dyDescent="0.25">
      <c r="A68" s="488">
        <v>6684</v>
      </c>
      <c r="B68" s="1226" t="s">
        <v>1350</v>
      </c>
      <c r="C68" s="1227"/>
      <c r="D68" s="1227"/>
      <c r="E68" s="1227"/>
      <c r="F68" s="1228"/>
      <c r="G68" s="489">
        <v>0</v>
      </c>
      <c r="H68" s="489">
        <v>0</v>
      </c>
      <c r="I68" s="497">
        <v>0</v>
      </c>
      <c r="J68" s="337">
        <v>0</v>
      </c>
    </row>
    <row r="69" spans="1:10" ht="15" x14ac:dyDescent="0.25"/>
    <row r="70" spans="1:10" ht="13.9" customHeight="1" x14ac:dyDescent="0.25"/>
    <row r="71" spans="1:10" ht="13.9" customHeight="1" x14ac:dyDescent="0.25"/>
    <row r="72" spans="1:10" ht="13.9" customHeight="1" x14ac:dyDescent="0.25"/>
    <row r="73" spans="1:10" ht="13.9" customHeight="1" x14ac:dyDescent="0.25"/>
    <row r="74" spans="1:10" ht="13.9" customHeight="1" x14ac:dyDescent="0.25"/>
    <row r="75" spans="1:10" ht="13.9" customHeight="1" x14ac:dyDescent="0.25"/>
    <row r="76" spans="1:10" ht="13.9" customHeight="1" x14ac:dyDescent="0.25"/>
    <row r="77" spans="1:10" ht="13.9" customHeight="1" x14ac:dyDescent="0.25"/>
    <row r="78" spans="1:10" ht="13.9" customHeight="1" x14ac:dyDescent="0.25"/>
    <row r="79" spans="1:10" ht="13.9" customHeight="1" x14ac:dyDescent="0.25"/>
  </sheetData>
  <mergeCells count="74">
    <mergeCell ref="C6:D6"/>
    <mergeCell ref="E6:F6"/>
    <mergeCell ref="H6:I6"/>
    <mergeCell ref="A1:J1"/>
    <mergeCell ref="C2:J2"/>
    <mergeCell ref="C3:J3"/>
    <mergeCell ref="C4:J4"/>
    <mergeCell ref="C5:J5"/>
    <mergeCell ref="C7:J7"/>
    <mergeCell ref="C8:J8"/>
    <mergeCell ref="C9:J9"/>
    <mergeCell ref="C10:E10"/>
    <mergeCell ref="F10:G10"/>
    <mergeCell ref="H10:J10"/>
    <mergeCell ref="B22:F22"/>
    <mergeCell ref="C11:E11"/>
    <mergeCell ref="F11:G11"/>
    <mergeCell ref="H11:J11"/>
    <mergeCell ref="A13:J13"/>
    <mergeCell ref="A15:F16"/>
    <mergeCell ref="G15:G16"/>
    <mergeCell ref="H15:H16"/>
    <mergeCell ref="I15:J15"/>
    <mergeCell ref="B17:F17"/>
    <mergeCell ref="B18:F18"/>
    <mergeCell ref="B19:F19"/>
    <mergeCell ref="B20:F20"/>
    <mergeCell ref="B21:F21"/>
    <mergeCell ref="B34:F34"/>
    <mergeCell ref="B23:F23"/>
    <mergeCell ref="B24:F24"/>
    <mergeCell ref="B25:F25"/>
    <mergeCell ref="B26:F26"/>
    <mergeCell ref="B27:F27"/>
    <mergeCell ref="B28:F28"/>
    <mergeCell ref="B29:F29"/>
    <mergeCell ref="B30:F30"/>
    <mergeCell ref="B31:F31"/>
    <mergeCell ref="B32:F32"/>
    <mergeCell ref="B33:F33"/>
    <mergeCell ref="B46:F46"/>
    <mergeCell ref="B35:F35"/>
    <mergeCell ref="B36:F36"/>
    <mergeCell ref="B37:F37"/>
    <mergeCell ref="B38:F38"/>
    <mergeCell ref="B39:F39"/>
    <mergeCell ref="B40:F40"/>
    <mergeCell ref="B41:F41"/>
    <mergeCell ref="B42:F42"/>
    <mergeCell ref="B43:F43"/>
    <mergeCell ref="B44:F44"/>
    <mergeCell ref="B45:F45"/>
    <mergeCell ref="B58:F58"/>
    <mergeCell ref="B47:F47"/>
    <mergeCell ref="B48:F48"/>
    <mergeCell ref="B49:F49"/>
    <mergeCell ref="B50:F50"/>
    <mergeCell ref="B51:F51"/>
    <mergeCell ref="B52:F52"/>
    <mergeCell ref="B53:F53"/>
    <mergeCell ref="B54:F54"/>
    <mergeCell ref="B55:F55"/>
    <mergeCell ref="B56:F56"/>
    <mergeCell ref="B57:F57"/>
    <mergeCell ref="B65:F65"/>
    <mergeCell ref="B66:F66"/>
    <mergeCell ref="B67:F67"/>
    <mergeCell ref="B68:F68"/>
    <mergeCell ref="B59:F59"/>
    <mergeCell ref="B60:F60"/>
    <mergeCell ref="B61:F61"/>
    <mergeCell ref="B62:F62"/>
    <mergeCell ref="B63:F63"/>
    <mergeCell ref="B64:F64"/>
  </mergeCells>
  <dataValidations count="1">
    <dataValidation type="whole" allowBlank="1" showInputMessage="1" showErrorMessage="1" errorTitle="Attention!" error="Valeur numérique attendue" sqref="G17:H68" xr:uid="{B21A320E-7840-40B1-AA70-FE6FAF21FBAB}">
      <formula1>-9999999999999</formula1>
      <formula2>9999999999999</formula2>
    </dataValidation>
  </dataValidation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4C94-5D0F-4EC8-9B81-625F156B3814}">
  <dimension ref="A1:J90"/>
  <sheetViews>
    <sheetView workbookViewId="0">
      <selection activeCell="G16" sqref="A1:XFD1048576"/>
    </sheetView>
  </sheetViews>
  <sheetFormatPr baseColWidth="10" defaultColWidth="11.42578125" defaultRowHeight="13.15" customHeight="1" x14ac:dyDescent="0.25"/>
  <cols>
    <col min="1" max="1" width="8.85546875" style="376" customWidth="1"/>
    <col min="2" max="2" width="21.85546875" style="376" customWidth="1"/>
    <col min="3" max="6" width="10" style="376" customWidth="1"/>
    <col min="7" max="7" width="15.5703125" style="376" customWidth="1"/>
    <col min="8" max="8" width="13.7109375" style="376" bestFit="1" customWidth="1"/>
    <col min="9" max="9" width="11.85546875" style="376" customWidth="1"/>
    <col min="10" max="10" width="7.42578125" style="376" customWidth="1"/>
    <col min="11" max="11" width="8.140625" style="376" customWidth="1"/>
    <col min="12" max="16384" width="11.42578125" style="376"/>
  </cols>
  <sheetData>
    <row r="1" spans="1:10" ht="3.75" customHeight="1" x14ac:dyDescent="0.25">
      <c r="A1" s="617"/>
      <c r="B1" s="617"/>
      <c r="C1" s="618"/>
      <c r="D1" s="618"/>
      <c r="E1" s="618"/>
      <c r="F1" s="618"/>
      <c r="G1" s="618"/>
      <c r="H1" s="618"/>
      <c r="I1" s="618"/>
      <c r="J1" s="618"/>
    </row>
    <row r="2" spans="1:10" ht="15" x14ac:dyDescent="0.25">
      <c r="A2" s="200" t="s">
        <v>363</v>
      </c>
      <c r="B2" s="200"/>
      <c r="C2" s="619">
        <v>4444444444</v>
      </c>
      <c r="D2" s="619"/>
      <c r="E2" s="619"/>
      <c r="F2" s="619"/>
      <c r="G2" s="619"/>
      <c r="H2" s="619"/>
      <c r="I2" s="619"/>
      <c r="J2" s="619"/>
    </row>
    <row r="3" spans="1:10" ht="15" x14ac:dyDescent="0.25">
      <c r="A3" s="200"/>
      <c r="B3" s="200"/>
      <c r="C3" s="620">
        <v>56565665</v>
      </c>
      <c r="D3" s="620"/>
      <c r="E3" s="620"/>
      <c r="F3" s="620"/>
      <c r="G3" s="620"/>
      <c r="H3" s="620"/>
      <c r="I3" s="620"/>
      <c r="J3" s="620"/>
    </row>
    <row r="4" spans="1:10" ht="15" x14ac:dyDescent="0.25">
      <c r="A4" s="200" t="s">
        <v>364</v>
      </c>
      <c r="B4" s="200"/>
      <c r="C4" s="620" t="s">
        <v>6</v>
      </c>
      <c r="D4" s="620"/>
      <c r="E4" s="620"/>
      <c r="F4" s="620"/>
      <c r="G4" s="620"/>
      <c r="H4" s="620"/>
      <c r="I4" s="620"/>
      <c r="J4" s="620"/>
    </row>
    <row r="5" spans="1:10" ht="15" customHeight="1" x14ac:dyDescent="0.25">
      <c r="A5" s="200" t="s">
        <v>365</v>
      </c>
      <c r="B5" s="200"/>
      <c r="C5" s="621" t="s">
        <v>699</v>
      </c>
      <c r="D5" s="621"/>
      <c r="E5" s="621"/>
      <c r="F5" s="621"/>
      <c r="G5" s="621"/>
      <c r="H5" s="621"/>
      <c r="I5" s="621"/>
      <c r="J5" s="621"/>
    </row>
    <row r="6" spans="1:10" ht="15" x14ac:dyDescent="0.25">
      <c r="A6" s="200" t="s">
        <v>366</v>
      </c>
      <c r="B6" s="200"/>
      <c r="C6" s="620">
        <v>125545</v>
      </c>
      <c r="D6" s="620"/>
      <c r="E6" s="622" t="s">
        <v>367</v>
      </c>
      <c r="F6" s="622"/>
      <c r="G6" s="240">
        <v>46022</v>
      </c>
      <c r="H6" s="611" t="s">
        <v>467</v>
      </c>
      <c r="I6" s="611"/>
      <c r="J6" s="241">
        <v>12</v>
      </c>
    </row>
    <row r="7" spans="1:10" ht="15" x14ac:dyDescent="0.25">
      <c r="A7" s="198" t="s">
        <v>369</v>
      </c>
      <c r="B7" s="24"/>
      <c r="C7" s="615" t="s">
        <v>8</v>
      </c>
      <c r="D7" s="615"/>
      <c r="E7" s="615"/>
      <c r="F7" s="615"/>
      <c r="G7" s="615"/>
      <c r="H7" s="615"/>
      <c r="I7" s="615"/>
      <c r="J7" s="615"/>
    </row>
    <row r="8" spans="1:10" ht="15" x14ac:dyDescent="0.25">
      <c r="A8" s="200" t="s">
        <v>468</v>
      </c>
      <c r="B8" s="24"/>
      <c r="C8" s="616" t="s">
        <v>35</v>
      </c>
      <c r="D8" s="616"/>
      <c r="E8" s="616"/>
      <c r="F8" s="616"/>
      <c r="G8" s="616"/>
      <c r="H8" s="616"/>
      <c r="I8" s="616"/>
      <c r="J8" s="616"/>
    </row>
    <row r="9" spans="1:10" ht="15" x14ac:dyDescent="0.25">
      <c r="A9" s="200"/>
      <c r="B9" s="24"/>
      <c r="C9" s="611" t="s">
        <v>36</v>
      </c>
      <c r="D9" s="611"/>
      <c r="E9" s="611"/>
      <c r="F9" s="611"/>
      <c r="G9" s="611"/>
      <c r="H9" s="611"/>
      <c r="I9" s="611"/>
      <c r="J9" s="611"/>
    </row>
    <row r="10" spans="1:10" ht="15" x14ac:dyDescent="0.25">
      <c r="A10" s="200" t="s">
        <v>469</v>
      </c>
      <c r="B10" s="24"/>
      <c r="C10" s="611" t="s">
        <v>40</v>
      </c>
      <c r="D10" s="611"/>
      <c r="E10" s="611"/>
      <c r="F10" s="611" t="s">
        <v>470</v>
      </c>
      <c r="G10" s="611"/>
      <c r="H10" s="611" t="s">
        <v>38</v>
      </c>
      <c r="I10" s="611"/>
      <c r="J10" s="611"/>
    </row>
    <row r="11" spans="1:10" ht="15" x14ac:dyDescent="0.25">
      <c r="A11" s="200" t="s">
        <v>471</v>
      </c>
      <c r="B11" s="24"/>
      <c r="C11" s="610">
        <v>44713</v>
      </c>
      <c r="D11" s="610"/>
      <c r="E11" s="610"/>
      <c r="F11" s="611" t="s">
        <v>472</v>
      </c>
      <c r="G11" s="611"/>
      <c r="H11" s="610">
        <v>45991</v>
      </c>
      <c r="I11" s="610"/>
      <c r="J11" s="610"/>
    </row>
    <row r="12" spans="1:10" ht="6" customHeight="1" thickBot="1" x14ac:dyDescent="0.3">
      <c r="A12" s="24"/>
      <c r="B12" s="24"/>
      <c r="C12" s="24"/>
      <c r="D12" s="24"/>
      <c r="E12" s="24"/>
      <c r="F12" s="24"/>
      <c r="G12" s="24"/>
      <c r="H12" s="24"/>
      <c r="I12" s="24"/>
      <c r="J12" s="24"/>
    </row>
    <row r="13" spans="1:10" ht="15.75" thickBot="1" x14ac:dyDescent="0.3">
      <c r="A13" s="1235" t="s">
        <v>1191</v>
      </c>
      <c r="B13" s="1236"/>
      <c r="C13" s="1236"/>
      <c r="D13" s="1236"/>
      <c r="E13" s="1236"/>
      <c r="F13" s="1236"/>
      <c r="G13" s="1236"/>
      <c r="H13" s="1236"/>
      <c r="I13" s="1236"/>
      <c r="J13" s="1237"/>
    </row>
    <row r="14" spans="1:10" ht="6" customHeight="1" x14ac:dyDescent="0.25">
      <c r="A14" s="24"/>
      <c r="B14" s="24"/>
      <c r="C14" s="24"/>
      <c r="D14" s="24"/>
      <c r="E14" s="24"/>
      <c r="F14" s="24"/>
      <c r="G14" s="24"/>
      <c r="H14" s="24"/>
      <c r="I14" s="24"/>
      <c r="J14" s="24"/>
    </row>
    <row r="15" spans="1:10" ht="15" x14ac:dyDescent="0.25">
      <c r="A15" s="1224" t="s">
        <v>1351</v>
      </c>
      <c r="B15" s="1224"/>
      <c r="C15" s="1224"/>
      <c r="D15" s="1224"/>
      <c r="E15" s="1224"/>
      <c r="F15" s="1224"/>
      <c r="G15" s="1224" t="s">
        <v>1193</v>
      </c>
      <c r="H15" s="1224" t="s">
        <v>1194</v>
      </c>
      <c r="I15" s="1224" t="s">
        <v>1195</v>
      </c>
      <c r="J15" s="1224"/>
    </row>
    <row r="16" spans="1:10" ht="15" x14ac:dyDescent="0.25">
      <c r="A16" s="1224"/>
      <c r="B16" s="1224"/>
      <c r="C16" s="1224"/>
      <c r="D16" s="1224"/>
      <c r="E16" s="1224"/>
      <c r="F16" s="1224"/>
      <c r="G16" s="1224"/>
      <c r="H16" s="1224"/>
      <c r="I16" s="483" t="s">
        <v>1196</v>
      </c>
      <c r="J16" s="483" t="s">
        <v>1197</v>
      </c>
    </row>
    <row r="17" spans="1:10" ht="15" x14ac:dyDescent="0.25">
      <c r="A17" s="488">
        <v>6685</v>
      </c>
      <c r="B17" s="1226" t="s">
        <v>1352</v>
      </c>
      <c r="C17" s="1227"/>
      <c r="D17" s="1227"/>
      <c r="E17" s="1227"/>
      <c r="F17" s="1228"/>
      <c r="G17" s="489">
        <v>0</v>
      </c>
      <c r="H17" s="489">
        <v>0</v>
      </c>
      <c r="I17" s="489">
        <v>0</v>
      </c>
      <c r="J17" s="337">
        <v>0</v>
      </c>
    </row>
    <row r="18" spans="1:10" ht="15" x14ac:dyDescent="0.25">
      <c r="A18" s="488">
        <v>6686</v>
      </c>
      <c r="B18" s="1226" t="s">
        <v>1353</v>
      </c>
      <c r="C18" s="1227"/>
      <c r="D18" s="1227"/>
      <c r="E18" s="1227"/>
      <c r="F18" s="1228"/>
      <c r="G18" s="489">
        <v>0</v>
      </c>
      <c r="H18" s="489">
        <v>0</v>
      </c>
      <c r="I18" s="489">
        <v>0</v>
      </c>
      <c r="J18" s="337">
        <v>0</v>
      </c>
    </row>
    <row r="19" spans="1:10" ht="15" x14ac:dyDescent="0.25">
      <c r="A19" s="488">
        <v>6687</v>
      </c>
      <c r="B19" s="1226" t="s">
        <v>1354</v>
      </c>
      <c r="C19" s="1227"/>
      <c r="D19" s="1227"/>
      <c r="E19" s="1227"/>
      <c r="F19" s="1228"/>
      <c r="G19" s="489">
        <v>0</v>
      </c>
      <c r="H19" s="489">
        <v>0</v>
      </c>
      <c r="I19" s="489">
        <v>0</v>
      </c>
      <c r="J19" s="337">
        <v>0</v>
      </c>
    </row>
    <row r="20" spans="1:10" ht="15" x14ac:dyDescent="0.25">
      <c r="A20" s="488">
        <v>6688</v>
      </c>
      <c r="B20" s="1226" t="s">
        <v>1355</v>
      </c>
      <c r="C20" s="1227"/>
      <c r="D20" s="1227"/>
      <c r="E20" s="1227"/>
      <c r="F20" s="1228"/>
      <c r="G20" s="489">
        <v>0</v>
      </c>
      <c r="H20" s="489">
        <v>0</v>
      </c>
      <c r="I20" s="489">
        <v>0</v>
      </c>
      <c r="J20" s="337">
        <v>0</v>
      </c>
    </row>
    <row r="21" spans="1:10" ht="15" x14ac:dyDescent="0.25">
      <c r="A21" s="488">
        <v>669</v>
      </c>
      <c r="B21" s="1226" t="s">
        <v>1356</v>
      </c>
      <c r="C21" s="1227"/>
      <c r="D21" s="1227"/>
      <c r="E21" s="1227"/>
      <c r="F21" s="1228"/>
      <c r="G21" s="489">
        <v>0</v>
      </c>
      <c r="H21" s="489">
        <v>0</v>
      </c>
      <c r="I21" s="489">
        <v>0</v>
      </c>
      <c r="J21" s="337">
        <v>0</v>
      </c>
    </row>
    <row r="22" spans="1:10" ht="15" customHeight="1" x14ac:dyDescent="0.25">
      <c r="A22" s="490" t="s">
        <v>1357</v>
      </c>
      <c r="B22" s="1229" t="s">
        <v>586</v>
      </c>
      <c r="C22" s="1230"/>
      <c r="D22" s="1230"/>
      <c r="E22" s="1230"/>
      <c r="F22" s="1231"/>
      <c r="G22" s="491">
        <v>0</v>
      </c>
      <c r="H22" s="491">
        <v>0</v>
      </c>
      <c r="I22" s="491">
        <v>0</v>
      </c>
      <c r="J22" s="342">
        <v>0</v>
      </c>
    </row>
    <row r="23" spans="1:10" ht="15" x14ac:dyDescent="0.25">
      <c r="A23" s="488">
        <v>6711</v>
      </c>
      <c r="B23" s="1226" t="s">
        <v>1358</v>
      </c>
      <c r="C23" s="1227"/>
      <c r="D23" s="1227"/>
      <c r="E23" s="1227"/>
      <c r="F23" s="1228"/>
      <c r="G23" s="489">
        <v>0</v>
      </c>
      <c r="H23" s="489">
        <v>0</v>
      </c>
      <c r="I23" s="489">
        <v>0</v>
      </c>
      <c r="J23" s="337">
        <v>0</v>
      </c>
    </row>
    <row r="24" spans="1:10" ht="15" x14ac:dyDescent="0.25">
      <c r="A24" s="488">
        <v>6712</v>
      </c>
      <c r="B24" s="1226" t="s">
        <v>1359</v>
      </c>
      <c r="C24" s="1227"/>
      <c r="D24" s="1227"/>
      <c r="E24" s="1227"/>
      <c r="F24" s="1228"/>
      <c r="G24" s="489">
        <v>0</v>
      </c>
      <c r="H24" s="489">
        <v>0</v>
      </c>
      <c r="I24" s="489">
        <v>0</v>
      </c>
      <c r="J24" s="337">
        <v>0</v>
      </c>
    </row>
    <row r="25" spans="1:10" ht="15" x14ac:dyDescent="0.25">
      <c r="A25" s="488">
        <v>6713</v>
      </c>
      <c r="B25" s="1226" t="s">
        <v>1360</v>
      </c>
      <c r="C25" s="1227"/>
      <c r="D25" s="1227"/>
      <c r="E25" s="1227"/>
      <c r="F25" s="1228"/>
      <c r="G25" s="489">
        <v>0</v>
      </c>
      <c r="H25" s="489">
        <v>0</v>
      </c>
      <c r="I25" s="489">
        <v>0</v>
      </c>
      <c r="J25" s="337">
        <v>0</v>
      </c>
    </row>
    <row r="26" spans="1:10" ht="15" x14ac:dyDescent="0.25">
      <c r="A26" s="488">
        <v>6721</v>
      </c>
      <c r="B26" s="1226" t="s">
        <v>1361</v>
      </c>
      <c r="C26" s="1227"/>
      <c r="D26" s="1227"/>
      <c r="E26" s="1227"/>
      <c r="F26" s="1228"/>
      <c r="G26" s="489">
        <v>0</v>
      </c>
      <c r="H26" s="489">
        <v>0</v>
      </c>
      <c r="I26" s="489">
        <v>0</v>
      </c>
      <c r="J26" s="337">
        <v>0</v>
      </c>
    </row>
    <row r="27" spans="1:10" ht="15" x14ac:dyDescent="0.25">
      <c r="A27" s="488">
        <v>6722</v>
      </c>
      <c r="B27" s="1226" t="s">
        <v>1362</v>
      </c>
      <c r="C27" s="1227"/>
      <c r="D27" s="1227"/>
      <c r="E27" s="1227"/>
      <c r="F27" s="1228"/>
      <c r="G27" s="489">
        <v>0</v>
      </c>
      <c r="H27" s="489">
        <v>0</v>
      </c>
      <c r="I27" s="489">
        <v>0</v>
      </c>
      <c r="J27" s="337">
        <v>0</v>
      </c>
    </row>
    <row r="28" spans="1:10" ht="15" x14ac:dyDescent="0.25">
      <c r="A28" s="488">
        <v>6723</v>
      </c>
      <c r="B28" s="1226" t="s">
        <v>1363</v>
      </c>
      <c r="C28" s="1227"/>
      <c r="D28" s="1227"/>
      <c r="E28" s="1227"/>
      <c r="F28" s="1228"/>
      <c r="G28" s="489">
        <v>0</v>
      </c>
      <c r="H28" s="489">
        <v>0</v>
      </c>
      <c r="I28" s="489">
        <v>0</v>
      </c>
      <c r="J28" s="337">
        <v>0</v>
      </c>
    </row>
    <row r="29" spans="1:10" ht="15" x14ac:dyDescent="0.25">
      <c r="A29" s="488">
        <v>6724</v>
      </c>
      <c r="B29" s="1226" t="s">
        <v>1364</v>
      </c>
      <c r="C29" s="1227"/>
      <c r="D29" s="1227"/>
      <c r="E29" s="1227"/>
      <c r="F29" s="1228"/>
      <c r="G29" s="489">
        <v>0</v>
      </c>
      <c r="H29" s="489">
        <v>0</v>
      </c>
      <c r="I29" s="489">
        <v>0</v>
      </c>
      <c r="J29" s="337">
        <v>0</v>
      </c>
    </row>
    <row r="30" spans="1:10" ht="15" x14ac:dyDescent="0.25">
      <c r="A30" s="488">
        <v>673</v>
      </c>
      <c r="B30" s="1226" t="s">
        <v>1089</v>
      </c>
      <c r="C30" s="1227"/>
      <c r="D30" s="1227"/>
      <c r="E30" s="1227"/>
      <c r="F30" s="1228"/>
      <c r="G30" s="489">
        <v>0</v>
      </c>
      <c r="H30" s="489">
        <v>0</v>
      </c>
      <c r="I30" s="489">
        <v>0</v>
      </c>
      <c r="J30" s="337">
        <v>0</v>
      </c>
    </row>
    <row r="31" spans="1:10" ht="15" x14ac:dyDescent="0.25">
      <c r="A31" s="488">
        <v>6741</v>
      </c>
      <c r="B31" s="1226" t="s">
        <v>1365</v>
      </c>
      <c r="C31" s="1227"/>
      <c r="D31" s="1227"/>
      <c r="E31" s="1227"/>
      <c r="F31" s="1228"/>
      <c r="G31" s="489">
        <v>0</v>
      </c>
      <c r="H31" s="489">
        <v>0</v>
      </c>
      <c r="I31" s="489">
        <v>0</v>
      </c>
      <c r="J31" s="337">
        <v>0</v>
      </c>
    </row>
    <row r="32" spans="1:10" ht="15" x14ac:dyDescent="0.25">
      <c r="A32" s="488">
        <v>6742</v>
      </c>
      <c r="B32" s="1226" t="s">
        <v>1366</v>
      </c>
      <c r="C32" s="1227"/>
      <c r="D32" s="1227"/>
      <c r="E32" s="1227"/>
      <c r="F32" s="1228"/>
      <c r="G32" s="489">
        <v>0</v>
      </c>
      <c r="H32" s="489">
        <v>0</v>
      </c>
      <c r="I32" s="489">
        <v>0</v>
      </c>
      <c r="J32" s="337">
        <v>0</v>
      </c>
    </row>
    <row r="33" spans="1:10" ht="15" x14ac:dyDescent="0.25">
      <c r="A33" s="488">
        <v>6744</v>
      </c>
      <c r="B33" s="1226" t="s">
        <v>1367</v>
      </c>
      <c r="C33" s="1227"/>
      <c r="D33" s="1227"/>
      <c r="E33" s="1227"/>
      <c r="F33" s="1228"/>
      <c r="G33" s="489">
        <v>0</v>
      </c>
      <c r="H33" s="489">
        <v>0</v>
      </c>
      <c r="I33" s="489">
        <v>0</v>
      </c>
      <c r="J33" s="337">
        <v>0</v>
      </c>
    </row>
    <row r="34" spans="1:10" ht="15" x14ac:dyDescent="0.25">
      <c r="A34" s="488">
        <v>6745</v>
      </c>
      <c r="B34" s="1226" t="s">
        <v>1368</v>
      </c>
      <c r="C34" s="1227"/>
      <c r="D34" s="1227"/>
      <c r="E34" s="1227"/>
      <c r="F34" s="1228"/>
      <c r="G34" s="489">
        <v>0</v>
      </c>
      <c r="H34" s="489">
        <v>0</v>
      </c>
      <c r="I34" s="489">
        <v>0</v>
      </c>
      <c r="J34" s="337">
        <v>0</v>
      </c>
    </row>
    <row r="35" spans="1:10" ht="15" x14ac:dyDescent="0.25">
      <c r="A35" s="488">
        <v>6748</v>
      </c>
      <c r="B35" s="1226" t="s">
        <v>1369</v>
      </c>
      <c r="C35" s="1227"/>
      <c r="D35" s="1227"/>
      <c r="E35" s="1227"/>
      <c r="F35" s="1228"/>
      <c r="G35" s="489">
        <v>0</v>
      </c>
      <c r="H35" s="489">
        <v>0</v>
      </c>
      <c r="I35" s="489">
        <v>0</v>
      </c>
      <c r="J35" s="337">
        <v>0</v>
      </c>
    </row>
    <row r="36" spans="1:10" ht="15" x14ac:dyDescent="0.25">
      <c r="A36" s="488">
        <v>676</v>
      </c>
      <c r="B36" s="1226" t="s">
        <v>1091</v>
      </c>
      <c r="C36" s="1227"/>
      <c r="D36" s="1227"/>
      <c r="E36" s="1227"/>
      <c r="F36" s="1228"/>
      <c r="G36" s="489">
        <v>0</v>
      </c>
      <c r="H36" s="489">
        <v>0</v>
      </c>
      <c r="I36" s="489">
        <v>0</v>
      </c>
      <c r="J36" s="337">
        <v>0</v>
      </c>
    </row>
    <row r="37" spans="1:10" ht="15" x14ac:dyDescent="0.25">
      <c r="A37" s="488">
        <v>6771</v>
      </c>
      <c r="B37" s="1226" t="s">
        <v>1370</v>
      </c>
      <c r="C37" s="1227"/>
      <c r="D37" s="1227"/>
      <c r="E37" s="1227"/>
      <c r="F37" s="1228"/>
      <c r="G37" s="489">
        <v>0</v>
      </c>
      <c r="H37" s="489">
        <v>0</v>
      </c>
      <c r="I37" s="489">
        <v>0</v>
      </c>
      <c r="J37" s="337">
        <v>0</v>
      </c>
    </row>
    <row r="38" spans="1:10" ht="15" x14ac:dyDescent="0.25">
      <c r="A38" s="488">
        <v>6781</v>
      </c>
      <c r="B38" s="1226" t="s">
        <v>1371</v>
      </c>
      <c r="C38" s="1227"/>
      <c r="D38" s="1227"/>
      <c r="E38" s="1227"/>
      <c r="F38" s="1228"/>
      <c r="G38" s="489">
        <v>0</v>
      </c>
      <c r="H38" s="489">
        <v>0</v>
      </c>
      <c r="I38" s="489">
        <v>0</v>
      </c>
      <c r="J38" s="337">
        <v>0</v>
      </c>
    </row>
    <row r="39" spans="1:10" ht="15" x14ac:dyDescent="0.25">
      <c r="A39" s="488">
        <v>6782</v>
      </c>
      <c r="B39" s="1226" t="s">
        <v>1372</v>
      </c>
      <c r="C39" s="1227"/>
      <c r="D39" s="1227"/>
      <c r="E39" s="1227"/>
      <c r="F39" s="1228"/>
      <c r="G39" s="489">
        <v>0</v>
      </c>
      <c r="H39" s="489">
        <v>0</v>
      </c>
      <c r="I39" s="489">
        <v>0</v>
      </c>
      <c r="J39" s="337">
        <v>0</v>
      </c>
    </row>
    <row r="40" spans="1:10" ht="15" x14ac:dyDescent="0.25">
      <c r="A40" s="488">
        <v>6791</v>
      </c>
      <c r="B40" s="1226" t="s">
        <v>1373</v>
      </c>
      <c r="C40" s="1227"/>
      <c r="D40" s="1227"/>
      <c r="E40" s="1227"/>
      <c r="F40" s="1228"/>
      <c r="G40" s="489">
        <v>0</v>
      </c>
      <c r="H40" s="489">
        <v>0</v>
      </c>
      <c r="I40" s="489">
        <v>0</v>
      </c>
      <c r="J40" s="337">
        <v>0</v>
      </c>
    </row>
    <row r="41" spans="1:10" ht="15" x14ac:dyDescent="0.25">
      <c r="A41" s="488">
        <v>6795</v>
      </c>
      <c r="B41" s="1239" t="s">
        <v>1374</v>
      </c>
      <c r="C41" s="1240"/>
      <c r="D41" s="1240"/>
      <c r="E41" s="1240"/>
      <c r="F41" s="1241"/>
      <c r="G41" s="489">
        <v>0</v>
      </c>
      <c r="H41" s="489">
        <v>0</v>
      </c>
      <c r="I41" s="489">
        <v>0</v>
      </c>
      <c r="J41" s="337">
        <v>0</v>
      </c>
    </row>
    <row r="42" spans="1:10" ht="15" x14ac:dyDescent="0.25">
      <c r="A42" s="488">
        <v>6798</v>
      </c>
      <c r="B42" s="1226" t="s">
        <v>1375</v>
      </c>
      <c r="C42" s="1227"/>
      <c r="D42" s="1227"/>
      <c r="E42" s="1227"/>
      <c r="F42" s="1228"/>
      <c r="G42" s="489">
        <v>0</v>
      </c>
      <c r="H42" s="489">
        <v>0</v>
      </c>
      <c r="I42" s="489">
        <v>0</v>
      </c>
      <c r="J42" s="337">
        <v>0</v>
      </c>
    </row>
    <row r="43" spans="1:10" ht="15" x14ac:dyDescent="0.25">
      <c r="A43" s="490" t="s">
        <v>1376</v>
      </c>
      <c r="B43" s="1246" t="s">
        <v>1377</v>
      </c>
      <c r="C43" s="1247"/>
      <c r="D43" s="1247"/>
      <c r="E43" s="1247"/>
      <c r="F43" s="1248"/>
      <c r="G43" s="491">
        <v>0</v>
      </c>
      <c r="H43" s="491">
        <v>0</v>
      </c>
      <c r="I43" s="491">
        <v>0</v>
      </c>
      <c r="J43" s="342">
        <v>0</v>
      </c>
    </row>
    <row r="44" spans="1:10" ht="15" x14ac:dyDescent="0.25">
      <c r="A44" s="488">
        <v>6812</v>
      </c>
      <c r="B44" s="1226" t="s">
        <v>1378</v>
      </c>
      <c r="C44" s="1227"/>
      <c r="D44" s="1227"/>
      <c r="E44" s="1227"/>
      <c r="F44" s="1228"/>
      <c r="G44" s="489">
        <v>0</v>
      </c>
      <c r="H44" s="489">
        <v>0</v>
      </c>
      <c r="I44" s="489">
        <v>0</v>
      </c>
      <c r="J44" s="337">
        <v>0</v>
      </c>
    </row>
    <row r="45" spans="1:10" ht="15" x14ac:dyDescent="0.25">
      <c r="A45" s="488">
        <v>6813</v>
      </c>
      <c r="B45" s="1226" t="s">
        <v>1379</v>
      </c>
      <c r="C45" s="1227"/>
      <c r="D45" s="1227"/>
      <c r="E45" s="1227"/>
      <c r="F45" s="1228"/>
      <c r="G45" s="489">
        <v>0</v>
      </c>
      <c r="H45" s="489">
        <v>0</v>
      </c>
      <c r="I45" s="489">
        <v>0</v>
      </c>
      <c r="J45" s="337">
        <v>0</v>
      </c>
    </row>
    <row r="46" spans="1:10" ht="15" x14ac:dyDescent="0.25">
      <c r="A46" s="490" t="s">
        <v>1380</v>
      </c>
      <c r="B46" s="1246" t="s">
        <v>1381</v>
      </c>
      <c r="C46" s="1247"/>
      <c r="D46" s="1247"/>
      <c r="E46" s="1247"/>
      <c r="F46" s="1248"/>
      <c r="G46" s="491">
        <v>0</v>
      </c>
      <c r="H46" s="491">
        <v>0</v>
      </c>
      <c r="I46" s="491">
        <v>0</v>
      </c>
      <c r="J46" s="342">
        <v>0</v>
      </c>
    </row>
    <row r="47" spans="1:10" ht="15" x14ac:dyDescent="0.25">
      <c r="A47" s="488">
        <v>6911</v>
      </c>
      <c r="B47" s="1226" t="s">
        <v>1382</v>
      </c>
      <c r="C47" s="1227"/>
      <c r="D47" s="1227"/>
      <c r="E47" s="1227"/>
      <c r="F47" s="1228"/>
      <c r="G47" s="489">
        <v>0</v>
      </c>
      <c r="H47" s="489">
        <v>0</v>
      </c>
      <c r="I47" s="489">
        <v>0</v>
      </c>
      <c r="J47" s="337">
        <v>0</v>
      </c>
    </row>
    <row r="48" spans="1:10" ht="15" x14ac:dyDescent="0.25">
      <c r="A48" s="488">
        <v>6913</v>
      </c>
      <c r="B48" s="1226" t="s">
        <v>1383</v>
      </c>
      <c r="C48" s="1227"/>
      <c r="D48" s="1227"/>
      <c r="E48" s="1227"/>
      <c r="F48" s="1228"/>
      <c r="G48" s="489">
        <v>0</v>
      </c>
      <c r="H48" s="489">
        <v>0</v>
      </c>
      <c r="I48" s="489">
        <v>0</v>
      </c>
      <c r="J48" s="337">
        <v>0</v>
      </c>
    </row>
    <row r="49" spans="1:10" ht="15" x14ac:dyDescent="0.25">
      <c r="A49" s="488">
        <v>6914</v>
      </c>
      <c r="B49" s="1226" t="s">
        <v>1384</v>
      </c>
      <c r="C49" s="1227"/>
      <c r="D49" s="1227"/>
      <c r="E49" s="1227"/>
      <c r="F49" s="1228"/>
      <c r="G49" s="489">
        <v>0</v>
      </c>
      <c r="H49" s="489">
        <v>0</v>
      </c>
      <c r="I49" s="489">
        <v>0</v>
      </c>
      <c r="J49" s="337">
        <v>0</v>
      </c>
    </row>
    <row r="50" spans="1:10" ht="15" x14ac:dyDescent="0.25">
      <c r="A50" s="488">
        <v>6951</v>
      </c>
      <c r="B50" s="1226" t="s">
        <v>1385</v>
      </c>
      <c r="C50" s="1227"/>
      <c r="D50" s="1227"/>
      <c r="E50" s="1227"/>
      <c r="F50" s="1228"/>
      <c r="G50" s="489">
        <v>0</v>
      </c>
      <c r="H50" s="489">
        <v>0</v>
      </c>
      <c r="I50" s="489">
        <v>0</v>
      </c>
      <c r="J50" s="337">
        <v>0</v>
      </c>
    </row>
    <row r="51" spans="1:10" ht="15" x14ac:dyDescent="0.25">
      <c r="A51" s="488">
        <v>6952</v>
      </c>
      <c r="B51" s="1226" t="s">
        <v>1386</v>
      </c>
      <c r="C51" s="1227"/>
      <c r="D51" s="1227"/>
      <c r="E51" s="1227"/>
      <c r="F51" s="1228"/>
      <c r="G51" s="489">
        <v>0</v>
      </c>
      <c r="H51" s="489">
        <v>0</v>
      </c>
      <c r="I51" s="489">
        <v>0</v>
      </c>
      <c r="J51" s="337">
        <v>0</v>
      </c>
    </row>
    <row r="52" spans="1:10" ht="15" x14ac:dyDescent="0.25">
      <c r="A52" s="488">
        <v>6971</v>
      </c>
      <c r="B52" s="1226" t="s">
        <v>1382</v>
      </c>
      <c r="C52" s="1227"/>
      <c r="D52" s="1227"/>
      <c r="E52" s="1227"/>
      <c r="F52" s="1228"/>
      <c r="G52" s="489">
        <v>0</v>
      </c>
      <c r="H52" s="489">
        <v>0</v>
      </c>
      <c r="I52" s="489">
        <v>0</v>
      </c>
      <c r="J52" s="337">
        <v>0</v>
      </c>
    </row>
    <row r="53" spans="1:10" ht="15" x14ac:dyDescent="0.25">
      <c r="A53" s="488">
        <v>6972</v>
      </c>
      <c r="B53" s="1226" t="s">
        <v>1387</v>
      </c>
      <c r="C53" s="1227"/>
      <c r="D53" s="1227"/>
      <c r="E53" s="1227"/>
      <c r="F53" s="1228"/>
      <c r="G53" s="489">
        <v>0</v>
      </c>
      <c r="H53" s="489">
        <v>0</v>
      </c>
      <c r="I53" s="489">
        <v>0</v>
      </c>
      <c r="J53" s="337">
        <v>0</v>
      </c>
    </row>
    <row r="54" spans="1:10" ht="15" x14ac:dyDescent="0.25">
      <c r="A54" s="490" t="s">
        <v>1388</v>
      </c>
      <c r="B54" s="1246" t="s">
        <v>1389</v>
      </c>
      <c r="C54" s="1247"/>
      <c r="D54" s="1247"/>
      <c r="E54" s="1247"/>
      <c r="F54" s="1248"/>
      <c r="G54" s="491">
        <v>0</v>
      </c>
      <c r="H54" s="491">
        <v>0</v>
      </c>
      <c r="I54" s="491">
        <v>0</v>
      </c>
      <c r="J54" s="342">
        <v>0</v>
      </c>
    </row>
    <row r="55" spans="1:10" ht="16.149999999999999" customHeight="1" x14ac:dyDescent="0.25">
      <c r="A55" s="488">
        <v>811</v>
      </c>
      <c r="B55" s="1245" t="s">
        <v>1124</v>
      </c>
      <c r="C55" s="1245"/>
      <c r="D55" s="1245"/>
      <c r="E55" s="1245"/>
      <c r="F55" s="1245"/>
      <c r="G55" s="489">
        <v>0</v>
      </c>
      <c r="H55" s="489">
        <v>0</v>
      </c>
      <c r="I55" s="489">
        <v>0</v>
      </c>
      <c r="J55" s="337">
        <v>0</v>
      </c>
    </row>
    <row r="56" spans="1:10" ht="16.149999999999999" customHeight="1" x14ac:dyDescent="0.25">
      <c r="A56" s="488">
        <v>812</v>
      </c>
      <c r="B56" s="1245" t="s">
        <v>1125</v>
      </c>
      <c r="C56" s="1245"/>
      <c r="D56" s="1245"/>
      <c r="E56" s="1245"/>
      <c r="F56" s="1245"/>
      <c r="G56" s="489">
        <v>0</v>
      </c>
      <c r="H56" s="489">
        <v>0</v>
      </c>
      <c r="I56" s="489">
        <v>0</v>
      </c>
      <c r="J56" s="337">
        <v>0</v>
      </c>
    </row>
    <row r="57" spans="1:10" ht="16.149999999999999" customHeight="1" x14ac:dyDescent="0.25">
      <c r="A57" s="488">
        <v>816</v>
      </c>
      <c r="B57" s="1245" t="s">
        <v>1390</v>
      </c>
      <c r="C57" s="1245"/>
      <c r="D57" s="1245"/>
      <c r="E57" s="1245"/>
      <c r="F57" s="1245"/>
      <c r="G57" s="489">
        <v>0</v>
      </c>
      <c r="H57" s="489">
        <v>0</v>
      </c>
      <c r="I57" s="489">
        <v>0</v>
      </c>
      <c r="J57" s="337">
        <v>0</v>
      </c>
    </row>
    <row r="58" spans="1:10" ht="34.15" customHeight="1" x14ac:dyDescent="0.25">
      <c r="A58" s="488">
        <v>818</v>
      </c>
      <c r="B58" s="1218" t="s">
        <v>1391</v>
      </c>
      <c r="C58" s="1218"/>
      <c r="D58" s="1218"/>
      <c r="E58" s="1218"/>
      <c r="F58" s="1218"/>
      <c r="G58" s="489">
        <v>0</v>
      </c>
      <c r="H58" s="489">
        <v>0</v>
      </c>
      <c r="I58" s="489">
        <v>0</v>
      </c>
      <c r="J58" s="337">
        <v>0</v>
      </c>
    </row>
    <row r="59" spans="1:10" ht="16.149999999999999" customHeight="1" x14ac:dyDescent="0.25">
      <c r="A59" s="490" t="s">
        <v>1392</v>
      </c>
      <c r="B59" s="1246" t="s">
        <v>1393</v>
      </c>
      <c r="C59" s="1247"/>
      <c r="D59" s="1247"/>
      <c r="E59" s="1247"/>
      <c r="F59" s="1248"/>
      <c r="G59" s="491">
        <v>0</v>
      </c>
      <c r="H59" s="491">
        <v>0</v>
      </c>
      <c r="I59" s="491">
        <v>0</v>
      </c>
      <c r="J59" s="342">
        <v>0</v>
      </c>
    </row>
    <row r="60" spans="1:10" ht="16.149999999999999" customHeight="1" x14ac:dyDescent="0.25">
      <c r="A60" s="488">
        <v>8311</v>
      </c>
      <c r="B60" s="1245" t="s">
        <v>1394</v>
      </c>
      <c r="C60" s="1245"/>
      <c r="D60" s="1245"/>
      <c r="E60" s="1245"/>
      <c r="F60" s="1245"/>
      <c r="G60" s="489">
        <v>0</v>
      </c>
      <c r="H60" s="489">
        <v>0</v>
      </c>
      <c r="I60" s="489">
        <v>0</v>
      </c>
      <c r="J60" s="337">
        <v>0</v>
      </c>
    </row>
    <row r="61" spans="1:10" ht="16.149999999999999" customHeight="1" x14ac:dyDescent="0.25">
      <c r="A61" s="488">
        <v>8321</v>
      </c>
      <c r="B61" s="1245" t="s">
        <v>1395</v>
      </c>
      <c r="C61" s="1245"/>
      <c r="D61" s="1245"/>
      <c r="E61" s="1245"/>
      <c r="F61" s="1245"/>
      <c r="G61" s="489">
        <v>0</v>
      </c>
      <c r="H61" s="489">
        <v>0</v>
      </c>
      <c r="I61" s="489">
        <v>0</v>
      </c>
      <c r="J61" s="337">
        <v>0</v>
      </c>
    </row>
    <row r="62" spans="1:10" ht="16.149999999999999" customHeight="1" x14ac:dyDescent="0.25">
      <c r="A62" s="488">
        <v>8325</v>
      </c>
      <c r="B62" s="1245" t="s">
        <v>1396</v>
      </c>
      <c r="C62" s="1245"/>
      <c r="D62" s="1245"/>
      <c r="E62" s="1245"/>
      <c r="F62" s="1245"/>
      <c r="G62" s="489">
        <v>0</v>
      </c>
      <c r="H62" s="489">
        <v>0</v>
      </c>
      <c r="I62" s="489">
        <v>0</v>
      </c>
      <c r="J62" s="337">
        <v>0</v>
      </c>
    </row>
    <row r="63" spans="1:10" ht="16.149999999999999" customHeight="1" x14ac:dyDescent="0.25">
      <c r="A63" s="488">
        <v>834</v>
      </c>
      <c r="B63" s="1245" t="s">
        <v>1397</v>
      </c>
      <c r="C63" s="1245"/>
      <c r="D63" s="1245"/>
      <c r="E63" s="1245"/>
      <c r="F63" s="1245"/>
      <c r="G63" s="489">
        <v>0</v>
      </c>
      <c r="H63" s="489">
        <v>0</v>
      </c>
      <c r="I63" s="489">
        <v>0</v>
      </c>
      <c r="J63" s="337">
        <v>0</v>
      </c>
    </row>
    <row r="64" spans="1:10" ht="16.149999999999999" customHeight="1" x14ac:dyDescent="0.25">
      <c r="A64" s="488">
        <v>836</v>
      </c>
      <c r="B64" s="1245" t="s">
        <v>1128</v>
      </c>
      <c r="C64" s="1245"/>
      <c r="D64" s="1245"/>
      <c r="E64" s="1245"/>
      <c r="F64" s="1245"/>
      <c r="G64" s="489">
        <v>0</v>
      </c>
      <c r="H64" s="489">
        <v>0</v>
      </c>
      <c r="I64" s="489">
        <v>0</v>
      </c>
      <c r="J64" s="337">
        <v>0</v>
      </c>
    </row>
    <row r="65" spans="1:10" ht="16.149999999999999" customHeight="1" x14ac:dyDescent="0.25">
      <c r="A65" s="488">
        <v>838</v>
      </c>
      <c r="B65" s="1245" t="s">
        <v>1398</v>
      </c>
      <c r="C65" s="1245"/>
      <c r="D65" s="1245"/>
      <c r="E65" s="1245"/>
      <c r="F65" s="1245"/>
      <c r="G65" s="489">
        <v>0</v>
      </c>
      <c r="H65" s="489">
        <v>0</v>
      </c>
      <c r="I65" s="489">
        <v>0</v>
      </c>
      <c r="J65" s="337">
        <v>0</v>
      </c>
    </row>
    <row r="66" spans="1:10" ht="16.149999999999999" customHeight="1" x14ac:dyDescent="0.25">
      <c r="A66" s="488">
        <v>839</v>
      </c>
      <c r="B66" s="1245" t="s">
        <v>1399</v>
      </c>
      <c r="C66" s="1245"/>
      <c r="D66" s="1245"/>
      <c r="E66" s="1245"/>
      <c r="F66" s="1245"/>
      <c r="G66" s="489">
        <v>0</v>
      </c>
      <c r="H66" s="489">
        <v>0</v>
      </c>
      <c r="I66" s="489">
        <v>0</v>
      </c>
      <c r="J66" s="337">
        <v>0</v>
      </c>
    </row>
    <row r="67" spans="1:10" ht="16.149999999999999" customHeight="1" x14ac:dyDescent="0.25">
      <c r="A67" s="490" t="s">
        <v>1400</v>
      </c>
      <c r="B67" s="1246" t="s">
        <v>594</v>
      </c>
      <c r="C67" s="1247"/>
      <c r="D67" s="1247"/>
      <c r="E67" s="1247"/>
      <c r="F67" s="1248"/>
      <c r="G67" s="491">
        <v>0</v>
      </c>
      <c r="H67" s="491">
        <v>0</v>
      </c>
      <c r="I67" s="491">
        <v>0</v>
      </c>
      <c r="J67" s="342">
        <v>0</v>
      </c>
    </row>
    <row r="68" spans="1:10" ht="16.149999999999999" customHeight="1" x14ac:dyDescent="0.25">
      <c r="A68" s="488">
        <v>851</v>
      </c>
      <c r="B68" s="1245" t="s">
        <v>1131</v>
      </c>
      <c r="C68" s="1245"/>
      <c r="D68" s="1245"/>
      <c r="E68" s="1245"/>
      <c r="F68" s="1245"/>
      <c r="G68" s="489">
        <v>0</v>
      </c>
      <c r="H68" s="489">
        <v>0</v>
      </c>
      <c r="I68" s="489">
        <v>0</v>
      </c>
      <c r="J68" s="337">
        <v>0</v>
      </c>
    </row>
    <row r="69" spans="1:10" ht="16.149999999999999" customHeight="1" x14ac:dyDescent="0.25">
      <c r="A69" s="488">
        <v>852</v>
      </c>
      <c r="B69" s="1245" t="s">
        <v>1401</v>
      </c>
      <c r="C69" s="1245"/>
      <c r="D69" s="1245"/>
      <c r="E69" s="1245"/>
      <c r="F69" s="1245"/>
      <c r="G69" s="489">
        <v>0</v>
      </c>
      <c r="H69" s="489">
        <v>0</v>
      </c>
      <c r="I69" s="489">
        <v>0</v>
      </c>
      <c r="J69" s="337">
        <v>0</v>
      </c>
    </row>
    <row r="70" spans="1:10" ht="16.149999999999999" customHeight="1" x14ac:dyDescent="0.25">
      <c r="A70" s="488">
        <v>853</v>
      </c>
      <c r="B70" s="1245" t="s">
        <v>1402</v>
      </c>
      <c r="C70" s="1245"/>
      <c r="D70" s="1245"/>
      <c r="E70" s="1245"/>
      <c r="F70" s="1245"/>
      <c r="G70" s="489">
        <v>0</v>
      </c>
      <c r="H70" s="489">
        <v>0</v>
      </c>
      <c r="I70" s="489">
        <v>0</v>
      </c>
      <c r="J70" s="337">
        <v>0</v>
      </c>
    </row>
    <row r="71" spans="1:10" ht="16.149999999999999" customHeight="1" x14ac:dyDescent="0.25">
      <c r="A71" s="488">
        <v>854</v>
      </c>
      <c r="B71" s="1245" t="s">
        <v>1403</v>
      </c>
      <c r="C71" s="1245"/>
      <c r="D71" s="1245"/>
      <c r="E71" s="1245"/>
      <c r="F71" s="1245"/>
      <c r="G71" s="489">
        <v>0</v>
      </c>
      <c r="H71" s="489">
        <v>0</v>
      </c>
      <c r="I71" s="489">
        <v>0</v>
      </c>
      <c r="J71" s="337">
        <v>0</v>
      </c>
    </row>
    <row r="72" spans="1:10" ht="16.149999999999999" customHeight="1" x14ac:dyDescent="0.25">
      <c r="A72" s="488">
        <v>858</v>
      </c>
      <c r="B72" s="1245" t="s">
        <v>1404</v>
      </c>
      <c r="C72" s="1245"/>
      <c r="D72" s="1245"/>
      <c r="E72" s="1245"/>
      <c r="F72" s="1245"/>
      <c r="G72" s="489">
        <v>0</v>
      </c>
      <c r="H72" s="489">
        <v>0</v>
      </c>
      <c r="I72" s="489">
        <v>0</v>
      </c>
      <c r="J72" s="337">
        <v>0</v>
      </c>
    </row>
    <row r="73" spans="1:10" ht="16.149999999999999" customHeight="1" x14ac:dyDescent="0.25">
      <c r="A73" s="490" t="s">
        <v>1405</v>
      </c>
      <c r="B73" s="1246" t="s">
        <v>1406</v>
      </c>
      <c r="C73" s="1247"/>
      <c r="D73" s="1247"/>
      <c r="E73" s="1247"/>
      <c r="F73" s="1248"/>
      <c r="G73" s="491">
        <v>0</v>
      </c>
      <c r="H73" s="491">
        <v>0</v>
      </c>
      <c r="I73" s="491">
        <v>0</v>
      </c>
      <c r="J73" s="342">
        <v>0</v>
      </c>
    </row>
    <row r="74" spans="1:10" ht="15" x14ac:dyDescent="0.25">
      <c r="A74" s="1249" t="s">
        <v>1407</v>
      </c>
      <c r="B74" s="1249"/>
      <c r="C74" s="1249"/>
      <c r="D74" s="1249"/>
      <c r="E74" s="1249"/>
      <c r="F74" s="1249"/>
      <c r="G74" s="499">
        <v>0</v>
      </c>
      <c r="H74" s="499">
        <v>0</v>
      </c>
      <c r="I74" s="499">
        <v>0</v>
      </c>
      <c r="J74" s="500">
        <v>0</v>
      </c>
    </row>
    <row r="75" spans="1:10" ht="15" x14ac:dyDescent="0.25"/>
    <row r="76" spans="1:10" ht="13.9" customHeight="1" x14ac:dyDescent="0.25"/>
    <row r="77" spans="1:10" ht="13.9" customHeight="1" x14ac:dyDescent="0.25"/>
    <row r="78" spans="1:10" ht="13.9" customHeight="1" x14ac:dyDescent="0.25"/>
    <row r="79" spans="1:10" ht="13.9" customHeight="1" x14ac:dyDescent="0.25"/>
    <row r="80" spans="1:10" ht="13.9" customHeight="1" x14ac:dyDescent="0.25"/>
    <row r="81" s="376" customFormat="1" ht="13.9" customHeight="1" x14ac:dyDescent="0.25"/>
    <row r="82" s="376" customFormat="1" ht="13.9" customHeight="1" x14ac:dyDescent="0.25"/>
    <row r="83" s="376" customFormat="1" ht="13.9" customHeight="1" x14ac:dyDescent="0.25"/>
    <row r="84" s="376" customFormat="1" ht="13.9" customHeight="1" x14ac:dyDescent="0.25"/>
    <row r="85" s="376" customFormat="1" ht="13.9" customHeight="1" x14ac:dyDescent="0.25"/>
    <row r="86" s="376" customFormat="1" ht="13.9" customHeight="1" x14ac:dyDescent="0.25"/>
    <row r="87" s="376" customFormat="1" ht="13.9" customHeight="1" x14ac:dyDescent="0.25"/>
    <row r="88" s="376" customFormat="1" ht="13.9" customHeight="1" x14ac:dyDescent="0.25"/>
    <row r="89" s="376" customFormat="1" ht="13.9" customHeight="1" x14ac:dyDescent="0.25"/>
    <row r="90" s="376" customFormat="1" ht="13.9" customHeight="1" x14ac:dyDescent="0.25"/>
  </sheetData>
  <mergeCells count="80">
    <mergeCell ref="C6:D6"/>
    <mergeCell ref="E6:F6"/>
    <mergeCell ref="H6:I6"/>
    <mergeCell ref="A1:J1"/>
    <mergeCell ref="C2:J2"/>
    <mergeCell ref="C3:J3"/>
    <mergeCell ref="C4:J4"/>
    <mergeCell ref="C5:J5"/>
    <mergeCell ref="C7:J7"/>
    <mergeCell ref="C8:J8"/>
    <mergeCell ref="C9:J9"/>
    <mergeCell ref="C10:E10"/>
    <mergeCell ref="F10:G10"/>
    <mergeCell ref="H10:J10"/>
    <mergeCell ref="C11:E11"/>
    <mergeCell ref="F11:G11"/>
    <mergeCell ref="H11:J11"/>
    <mergeCell ref="A13:J13"/>
    <mergeCell ref="A15:F16"/>
    <mergeCell ref="G15:G16"/>
    <mergeCell ref="H15:H16"/>
    <mergeCell ref="I15:J15"/>
    <mergeCell ref="B28:F28"/>
    <mergeCell ref="B17:F17"/>
    <mergeCell ref="B18:F18"/>
    <mergeCell ref="B19:F19"/>
    <mergeCell ref="B20:F20"/>
    <mergeCell ref="B21:F21"/>
    <mergeCell ref="B22:F22"/>
    <mergeCell ref="B23:F23"/>
    <mergeCell ref="B24:F24"/>
    <mergeCell ref="B25:F25"/>
    <mergeCell ref="B26:F26"/>
    <mergeCell ref="B27:F27"/>
    <mergeCell ref="B40:F40"/>
    <mergeCell ref="B29:F29"/>
    <mergeCell ref="B30:F30"/>
    <mergeCell ref="B31:F31"/>
    <mergeCell ref="B32:F32"/>
    <mergeCell ref="B33:F33"/>
    <mergeCell ref="B34:F34"/>
    <mergeCell ref="B35:F35"/>
    <mergeCell ref="B36:F36"/>
    <mergeCell ref="B37:F37"/>
    <mergeCell ref="B38:F38"/>
    <mergeCell ref="B39:F39"/>
    <mergeCell ref="B52:F52"/>
    <mergeCell ref="B41:F41"/>
    <mergeCell ref="B42:F42"/>
    <mergeCell ref="B43:F43"/>
    <mergeCell ref="B44:F44"/>
    <mergeCell ref="B45:F45"/>
    <mergeCell ref="B46:F46"/>
    <mergeCell ref="B47:F47"/>
    <mergeCell ref="B48:F48"/>
    <mergeCell ref="B49:F49"/>
    <mergeCell ref="B50:F50"/>
    <mergeCell ref="B51:F51"/>
    <mergeCell ref="B64:F64"/>
    <mergeCell ref="B53:F53"/>
    <mergeCell ref="B54:F54"/>
    <mergeCell ref="B55:F55"/>
    <mergeCell ref="B56:F56"/>
    <mergeCell ref="B57:F57"/>
    <mergeCell ref="B58:F58"/>
    <mergeCell ref="B59:F59"/>
    <mergeCell ref="B60:F60"/>
    <mergeCell ref="B61:F61"/>
    <mergeCell ref="B62:F62"/>
    <mergeCell ref="B63:F63"/>
    <mergeCell ref="B71:F71"/>
    <mergeCell ref="B72:F72"/>
    <mergeCell ref="B73:F73"/>
    <mergeCell ref="A74:F74"/>
    <mergeCell ref="B65:F65"/>
    <mergeCell ref="B66:F66"/>
    <mergeCell ref="B67:F67"/>
    <mergeCell ref="B68:F68"/>
    <mergeCell ref="B69:F69"/>
    <mergeCell ref="B70:F70"/>
  </mergeCells>
  <dataValidations count="1">
    <dataValidation type="whole" allowBlank="1" showInputMessage="1" showErrorMessage="1" errorTitle="Attention!" error="Valeur numérique attendue" sqref="G17:H73" xr:uid="{BF3C05F5-D42F-4FD8-9066-F421D9EB48F7}">
      <formula1>-9999999999999</formula1>
      <formula2>9999999999999</formula2>
    </dataValidation>
  </dataValidation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21D4A-32D7-4802-9433-D8BAB9F251E4}">
  <dimension ref="A1:J77"/>
  <sheetViews>
    <sheetView workbookViewId="0">
      <selection sqref="A1:XFD1048576"/>
    </sheetView>
  </sheetViews>
  <sheetFormatPr baseColWidth="10" defaultColWidth="11.42578125" defaultRowHeight="13.15" customHeight="1" x14ac:dyDescent="0.25"/>
  <cols>
    <col min="1" max="1" width="11.7109375" style="376" customWidth="1"/>
    <col min="2" max="2" width="19.7109375" style="376" customWidth="1"/>
    <col min="3" max="6" width="10.140625" style="376" customWidth="1"/>
    <col min="7" max="9" width="13.42578125" style="376" customWidth="1"/>
    <col min="10" max="10" width="8.85546875" style="376" customWidth="1"/>
    <col min="11" max="11" width="8.140625" style="376" customWidth="1"/>
    <col min="12" max="12" width="10.140625" style="376" customWidth="1"/>
    <col min="13" max="16384" width="11.42578125" style="376"/>
  </cols>
  <sheetData>
    <row r="1" spans="1:10" ht="10.5" customHeight="1" x14ac:dyDescent="0.25">
      <c r="A1" s="617"/>
      <c r="B1" s="617"/>
      <c r="C1" s="618"/>
      <c r="D1" s="618"/>
      <c r="E1" s="618"/>
      <c r="F1" s="618"/>
      <c r="G1" s="618"/>
      <c r="H1" s="618"/>
      <c r="I1" s="618"/>
      <c r="J1" s="618"/>
    </row>
    <row r="2" spans="1:10" ht="15" x14ac:dyDescent="0.25">
      <c r="A2" s="200" t="s">
        <v>363</v>
      </c>
      <c r="B2" s="200"/>
      <c r="C2" s="619">
        <v>4444444444</v>
      </c>
      <c r="D2" s="619"/>
      <c r="E2" s="619"/>
      <c r="F2" s="619"/>
      <c r="G2" s="619"/>
      <c r="H2" s="619"/>
      <c r="I2" s="619"/>
      <c r="J2" s="619"/>
    </row>
    <row r="3" spans="1:10" ht="15" customHeight="1" x14ac:dyDescent="0.25">
      <c r="A3" s="200"/>
      <c r="B3" s="200"/>
      <c r="C3" s="620">
        <v>56565665</v>
      </c>
      <c r="D3" s="620"/>
      <c r="E3" s="620"/>
      <c r="F3" s="620"/>
      <c r="G3" s="620"/>
      <c r="H3" s="620"/>
      <c r="I3" s="620"/>
      <c r="J3" s="620"/>
    </row>
    <row r="4" spans="1:10" ht="15" x14ac:dyDescent="0.25">
      <c r="A4" s="200" t="s">
        <v>364</v>
      </c>
      <c r="B4" s="200"/>
      <c r="C4" s="620" t="s">
        <v>6</v>
      </c>
      <c r="D4" s="620"/>
      <c r="E4" s="620"/>
      <c r="F4" s="620"/>
      <c r="G4" s="620"/>
      <c r="H4" s="620"/>
      <c r="I4" s="620"/>
      <c r="J4" s="620"/>
    </row>
    <row r="5" spans="1:10" ht="15" customHeight="1" x14ac:dyDescent="0.25">
      <c r="A5" s="200" t="s">
        <v>365</v>
      </c>
      <c r="B5" s="200"/>
      <c r="C5" s="621" t="s">
        <v>699</v>
      </c>
      <c r="D5" s="621"/>
      <c r="E5" s="621"/>
      <c r="F5" s="621"/>
      <c r="G5" s="621"/>
      <c r="H5" s="621"/>
      <c r="I5" s="621"/>
      <c r="J5" s="621"/>
    </row>
    <row r="6" spans="1:10" ht="15" x14ac:dyDescent="0.25">
      <c r="A6" s="200" t="s">
        <v>366</v>
      </c>
      <c r="B6" s="200"/>
      <c r="C6" s="620">
        <v>125545</v>
      </c>
      <c r="D6" s="620"/>
      <c r="E6" s="622" t="s">
        <v>367</v>
      </c>
      <c r="F6" s="622"/>
      <c r="G6" s="240">
        <v>46022</v>
      </c>
      <c r="H6" s="611" t="s">
        <v>467</v>
      </c>
      <c r="I6" s="611"/>
      <c r="J6" s="241">
        <v>12</v>
      </c>
    </row>
    <row r="7" spans="1:10" ht="15" x14ac:dyDescent="0.25">
      <c r="A7" s="198" t="s">
        <v>369</v>
      </c>
      <c r="B7" s="24"/>
      <c r="C7" s="615" t="s">
        <v>8</v>
      </c>
      <c r="D7" s="615"/>
      <c r="E7" s="615"/>
      <c r="F7" s="615"/>
      <c r="G7" s="615"/>
      <c r="H7" s="615"/>
      <c r="I7" s="615"/>
      <c r="J7" s="615"/>
    </row>
    <row r="8" spans="1:10" ht="15" x14ac:dyDescent="0.25">
      <c r="A8" s="200" t="s">
        <v>468</v>
      </c>
      <c r="B8" s="24"/>
      <c r="C8" s="616" t="s">
        <v>35</v>
      </c>
      <c r="D8" s="616"/>
      <c r="E8" s="616"/>
      <c r="F8" s="616"/>
      <c r="G8" s="616"/>
      <c r="H8" s="616"/>
      <c r="I8" s="616"/>
      <c r="J8" s="616"/>
    </row>
    <row r="9" spans="1:10" ht="15" x14ac:dyDescent="0.25">
      <c r="A9" s="200"/>
      <c r="B9" s="24"/>
      <c r="C9" s="611" t="s">
        <v>36</v>
      </c>
      <c r="D9" s="611"/>
      <c r="E9" s="611"/>
      <c r="F9" s="611"/>
      <c r="G9" s="611"/>
      <c r="H9" s="611"/>
      <c r="I9" s="611"/>
      <c r="J9" s="611"/>
    </row>
    <row r="10" spans="1:10" ht="15" x14ac:dyDescent="0.25">
      <c r="A10" s="200" t="s">
        <v>469</v>
      </c>
      <c r="B10" s="24"/>
      <c r="C10" s="611" t="s">
        <v>40</v>
      </c>
      <c r="D10" s="611"/>
      <c r="E10" s="611"/>
      <c r="F10" s="611" t="s">
        <v>470</v>
      </c>
      <c r="G10" s="611"/>
      <c r="H10" s="611" t="s">
        <v>38</v>
      </c>
      <c r="I10" s="611"/>
      <c r="J10" s="611"/>
    </row>
    <row r="11" spans="1:10" ht="15" x14ac:dyDescent="0.25">
      <c r="A11" s="200" t="s">
        <v>471</v>
      </c>
      <c r="B11" s="24"/>
      <c r="C11" s="610">
        <v>44713</v>
      </c>
      <c r="D11" s="610"/>
      <c r="E11" s="610"/>
      <c r="F11" s="611" t="s">
        <v>472</v>
      </c>
      <c r="G11" s="611"/>
      <c r="H11" s="610">
        <v>45991</v>
      </c>
      <c r="I11" s="610"/>
      <c r="J11" s="610"/>
    </row>
    <row r="12" spans="1:10" ht="6.6" customHeight="1" thickBot="1" x14ac:dyDescent="0.3">
      <c r="A12" s="24"/>
      <c r="B12" s="24"/>
      <c r="C12" s="24"/>
      <c r="D12" s="24"/>
      <c r="E12" s="24"/>
      <c r="F12" s="24"/>
      <c r="G12" s="24"/>
      <c r="H12" s="24"/>
      <c r="I12" s="24"/>
      <c r="J12" s="24"/>
    </row>
    <row r="13" spans="1:10" ht="15.75" thickBot="1" x14ac:dyDescent="0.3">
      <c r="A13" s="1235" t="s">
        <v>1408</v>
      </c>
      <c r="B13" s="1236"/>
      <c r="C13" s="1236"/>
      <c r="D13" s="1236"/>
      <c r="E13" s="1236"/>
      <c r="F13" s="1236"/>
      <c r="G13" s="1236"/>
      <c r="H13" s="1236"/>
      <c r="I13" s="1236"/>
      <c r="J13" s="1237"/>
    </row>
    <row r="14" spans="1:10" ht="6" customHeight="1" x14ac:dyDescent="0.25">
      <c r="A14" s="24"/>
      <c r="B14" s="24"/>
      <c r="C14" s="24"/>
      <c r="D14" s="24"/>
      <c r="E14" s="24"/>
      <c r="F14" s="24"/>
      <c r="G14" s="24"/>
      <c r="H14" s="24"/>
      <c r="I14" s="24"/>
      <c r="J14" s="24"/>
    </row>
    <row r="15" spans="1:10" ht="15" x14ac:dyDescent="0.25">
      <c r="A15" s="1224" t="s">
        <v>1409</v>
      </c>
      <c r="B15" s="1224"/>
      <c r="C15" s="1224"/>
      <c r="D15" s="1224"/>
      <c r="E15" s="1224"/>
      <c r="F15" s="1224"/>
      <c r="G15" s="1224" t="s">
        <v>1193</v>
      </c>
      <c r="H15" s="1224" t="s">
        <v>1194</v>
      </c>
      <c r="I15" s="1224" t="s">
        <v>1195</v>
      </c>
      <c r="J15" s="1224"/>
    </row>
    <row r="16" spans="1:10" ht="15" x14ac:dyDescent="0.25">
      <c r="A16" s="1224"/>
      <c r="B16" s="1224"/>
      <c r="C16" s="1224"/>
      <c r="D16" s="1224"/>
      <c r="E16" s="1224"/>
      <c r="F16" s="1224"/>
      <c r="G16" s="1224"/>
      <c r="H16" s="1224"/>
      <c r="I16" s="483" t="s">
        <v>1196</v>
      </c>
      <c r="J16" s="483" t="s">
        <v>1197</v>
      </c>
    </row>
    <row r="17" spans="1:10" ht="15" x14ac:dyDescent="0.25">
      <c r="A17" s="488">
        <v>701</v>
      </c>
      <c r="B17" s="1226" t="s">
        <v>1410</v>
      </c>
      <c r="C17" s="1227"/>
      <c r="D17" s="1227"/>
      <c r="E17" s="1227"/>
      <c r="F17" s="1228"/>
      <c r="G17" s="489">
        <v>0</v>
      </c>
      <c r="H17" s="489">
        <v>0</v>
      </c>
      <c r="I17" s="489">
        <v>0</v>
      </c>
      <c r="J17" s="337">
        <v>0</v>
      </c>
    </row>
    <row r="18" spans="1:10" ht="15" x14ac:dyDescent="0.25">
      <c r="A18" s="488">
        <v>702</v>
      </c>
      <c r="B18" s="1226" t="s">
        <v>1411</v>
      </c>
      <c r="C18" s="1227"/>
      <c r="D18" s="1227"/>
      <c r="E18" s="1227"/>
      <c r="F18" s="1228"/>
      <c r="G18" s="489">
        <v>0</v>
      </c>
      <c r="H18" s="489">
        <v>0</v>
      </c>
      <c r="I18" s="489">
        <v>0</v>
      </c>
      <c r="J18" s="337">
        <v>0</v>
      </c>
    </row>
    <row r="19" spans="1:10" ht="15" x14ac:dyDescent="0.25">
      <c r="A19" s="488">
        <v>703</v>
      </c>
      <c r="B19" s="1226" t="s">
        <v>1412</v>
      </c>
      <c r="C19" s="1227"/>
      <c r="D19" s="1227"/>
      <c r="E19" s="1227"/>
      <c r="F19" s="1228"/>
      <c r="G19" s="489">
        <v>0</v>
      </c>
      <c r="H19" s="489">
        <v>0</v>
      </c>
      <c r="I19" s="489">
        <v>0</v>
      </c>
      <c r="J19" s="337">
        <v>0</v>
      </c>
    </row>
    <row r="20" spans="1:10" ht="15" x14ac:dyDescent="0.25">
      <c r="A20" s="488">
        <v>7041</v>
      </c>
      <c r="B20" s="1226" t="s">
        <v>1413</v>
      </c>
      <c r="C20" s="1227"/>
      <c r="D20" s="1227"/>
      <c r="E20" s="1227"/>
      <c r="F20" s="1228"/>
      <c r="G20" s="489">
        <v>0</v>
      </c>
      <c r="H20" s="489">
        <v>0</v>
      </c>
      <c r="I20" s="489">
        <v>0</v>
      </c>
      <c r="J20" s="337">
        <v>0</v>
      </c>
    </row>
    <row r="21" spans="1:10" ht="15" x14ac:dyDescent="0.25">
      <c r="A21" s="488">
        <v>7042</v>
      </c>
      <c r="B21" s="1226" t="s">
        <v>1414</v>
      </c>
      <c r="C21" s="1227"/>
      <c r="D21" s="1227"/>
      <c r="E21" s="1227"/>
      <c r="F21" s="1228"/>
      <c r="G21" s="489">
        <v>0</v>
      </c>
      <c r="H21" s="489">
        <v>0</v>
      </c>
      <c r="I21" s="489">
        <v>0</v>
      </c>
      <c r="J21" s="337">
        <v>0</v>
      </c>
    </row>
    <row r="22" spans="1:10" ht="15" x14ac:dyDescent="0.25">
      <c r="A22" s="488">
        <v>7043</v>
      </c>
      <c r="B22" s="1226" t="s">
        <v>1415</v>
      </c>
      <c r="C22" s="1227"/>
      <c r="D22" s="1227"/>
      <c r="E22" s="1227"/>
      <c r="F22" s="1228"/>
      <c r="G22" s="489">
        <v>0</v>
      </c>
      <c r="H22" s="489">
        <v>0</v>
      </c>
      <c r="I22" s="489">
        <v>0</v>
      </c>
      <c r="J22" s="337">
        <v>0</v>
      </c>
    </row>
    <row r="23" spans="1:10" ht="15" x14ac:dyDescent="0.25">
      <c r="A23" s="488">
        <v>7044</v>
      </c>
      <c r="B23" s="1226" t="s">
        <v>1416</v>
      </c>
      <c r="C23" s="1227"/>
      <c r="D23" s="1227"/>
      <c r="E23" s="1227"/>
      <c r="F23" s="1228"/>
      <c r="G23" s="489">
        <v>0</v>
      </c>
      <c r="H23" s="489">
        <v>0</v>
      </c>
      <c r="I23" s="489">
        <v>0</v>
      </c>
      <c r="J23" s="337">
        <v>0</v>
      </c>
    </row>
    <row r="24" spans="1:10" ht="15" x14ac:dyDescent="0.25">
      <c r="A24" s="488">
        <v>7045</v>
      </c>
      <c r="B24" s="1226" t="s">
        <v>1417</v>
      </c>
      <c r="C24" s="1227"/>
      <c r="D24" s="1227"/>
      <c r="E24" s="1227"/>
      <c r="F24" s="1228"/>
      <c r="G24" s="489">
        <v>0</v>
      </c>
      <c r="H24" s="489">
        <v>0</v>
      </c>
      <c r="I24" s="489">
        <v>0</v>
      </c>
      <c r="J24" s="337">
        <v>0</v>
      </c>
    </row>
    <row r="25" spans="1:10" ht="15" x14ac:dyDescent="0.25">
      <c r="A25" s="501">
        <v>7046</v>
      </c>
      <c r="B25" s="1250" t="s">
        <v>1418</v>
      </c>
      <c r="C25" s="1245"/>
      <c r="D25" s="1245"/>
      <c r="E25" s="1245"/>
      <c r="F25" s="1251"/>
      <c r="G25" s="489">
        <v>0</v>
      </c>
      <c r="H25" s="489">
        <v>0</v>
      </c>
      <c r="I25" s="489">
        <v>0</v>
      </c>
      <c r="J25" s="337">
        <v>0</v>
      </c>
    </row>
    <row r="26" spans="1:10" ht="15" x14ac:dyDescent="0.25">
      <c r="A26" s="501">
        <v>7047</v>
      </c>
      <c r="B26" s="1250" t="s">
        <v>1419</v>
      </c>
      <c r="C26" s="1245"/>
      <c r="D26" s="1245"/>
      <c r="E26" s="1245"/>
      <c r="F26" s="1251"/>
      <c r="G26" s="489">
        <v>0</v>
      </c>
      <c r="H26" s="489">
        <v>0</v>
      </c>
      <c r="I26" s="489">
        <v>0</v>
      </c>
      <c r="J26" s="337">
        <v>0</v>
      </c>
    </row>
    <row r="27" spans="1:10" ht="15" x14ac:dyDescent="0.25">
      <c r="A27" s="501">
        <v>7048</v>
      </c>
      <c r="B27" s="1250" t="s">
        <v>1420</v>
      </c>
      <c r="C27" s="1245"/>
      <c r="D27" s="1245"/>
      <c r="E27" s="1245"/>
      <c r="F27" s="1251"/>
      <c r="G27" s="489">
        <v>0</v>
      </c>
      <c r="H27" s="489">
        <v>0</v>
      </c>
      <c r="I27" s="489">
        <v>0</v>
      </c>
      <c r="J27" s="337">
        <v>0</v>
      </c>
    </row>
    <row r="28" spans="1:10" ht="15" x14ac:dyDescent="0.25">
      <c r="A28" s="501">
        <v>7051</v>
      </c>
      <c r="B28" s="1250" t="s">
        <v>1421</v>
      </c>
      <c r="C28" s="1245"/>
      <c r="D28" s="1245"/>
      <c r="E28" s="1245"/>
      <c r="F28" s="1251"/>
      <c r="G28" s="489">
        <v>0</v>
      </c>
      <c r="H28" s="489">
        <v>0</v>
      </c>
      <c r="I28" s="489">
        <v>0</v>
      </c>
      <c r="J28" s="337">
        <v>0</v>
      </c>
    </row>
    <row r="29" spans="1:10" ht="15" x14ac:dyDescent="0.25">
      <c r="A29" s="501">
        <v>7052</v>
      </c>
      <c r="B29" s="1250" t="s">
        <v>1422</v>
      </c>
      <c r="C29" s="1245"/>
      <c r="D29" s="1245"/>
      <c r="E29" s="1245"/>
      <c r="F29" s="1251"/>
      <c r="G29" s="489">
        <v>0</v>
      </c>
      <c r="H29" s="489">
        <v>0</v>
      </c>
      <c r="I29" s="489">
        <v>0</v>
      </c>
      <c r="J29" s="337">
        <v>0</v>
      </c>
    </row>
    <row r="30" spans="1:10" ht="15" x14ac:dyDescent="0.25">
      <c r="A30" s="501">
        <v>7053</v>
      </c>
      <c r="B30" s="1250" t="s">
        <v>1423</v>
      </c>
      <c r="C30" s="1245"/>
      <c r="D30" s="1245"/>
      <c r="E30" s="1245"/>
      <c r="F30" s="1251"/>
      <c r="G30" s="489">
        <v>0</v>
      </c>
      <c r="H30" s="489">
        <v>0</v>
      </c>
      <c r="I30" s="489">
        <v>0</v>
      </c>
      <c r="J30" s="337">
        <v>0</v>
      </c>
    </row>
    <row r="31" spans="1:10" ht="15" x14ac:dyDescent="0.25">
      <c r="A31" s="501">
        <v>7054</v>
      </c>
      <c r="B31" s="1250" t="s">
        <v>1424</v>
      </c>
      <c r="C31" s="1245"/>
      <c r="D31" s="1245"/>
      <c r="E31" s="1245"/>
      <c r="F31" s="1251"/>
      <c r="G31" s="489">
        <v>0</v>
      </c>
      <c r="H31" s="489">
        <v>0</v>
      </c>
      <c r="I31" s="489">
        <v>0</v>
      </c>
      <c r="J31" s="337">
        <v>0</v>
      </c>
    </row>
    <row r="32" spans="1:10" ht="15" x14ac:dyDescent="0.25">
      <c r="A32" s="501">
        <v>7055</v>
      </c>
      <c r="B32" s="1250" t="s">
        <v>1425</v>
      </c>
      <c r="C32" s="1245"/>
      <c r="D32" s="1245"/>
      <c r="E32" s="1245"/>
      <c r="F32" s="1251"/>
      <c r="G32" s="489">
        <v>0</v>
      </c>
      <c r="H32" s="489">
        <v>0</v>
      </c>
      <c r="I32" s="489">
        <v>0</v>
      </c>
      <c r="J32" s="337">
        <v>0</v>
      </c>
    </row>
    <row r="33" spans="1:10" ht="15" x14ac:dyDescent="0.25">
      <c r="A33" s="501">
        <v>706</v>
      </c>
      <c r="B33" s="1250" t="s">
        <v>1426</v>
      </c>
      <c r="C33" s="1245"/>
      <c r="D33" s="1245"/>
      <c r="E33" s="1245"/>
      <c r="F33" s="1251"/>
      <c r="G33" s="489">
        <v>0</v>
      </c>
      <c r="H33" s="489">
        <v>0</v>
      </c>
      <c r="I33" s="489">
        <v>0</v>
      </c>
      <c r="J33" s="337">
        <v>0</v>
      </c>
    </row>
    <row r="34" spans="1:10" ht="15" x14ac:dyDescent="0.25">
      <c r="A34" s="501">
        <v>707</v>
      </c>
      <c r="B34" s="1250" t="s">
        <v>967</v>
      </c>
      <c r="C34" s="1245"/>
      <c r="D34" s="1245"/>
      <c r="E34" s="1245"/>
      <c r="F34" s="1251"/>
      <c r="G34" s="489">
        <v>0</v>
      </c>
      <c r="H34" s="489">
        <v>0</v>
      </c>
      <c r="I34" s="489">
        <v>0</v>
      </c>
      <c r="J34" s="337">
        <v>0</v>
      </c>
    </row>
    <row r="35" spans="1:10" ht="15" x14ac:dyDescent="0.25">
      <c r="A35" s="501">
        <v>7081</v>
      </c>
      <c r="B35" s="1250" t="s">
        <v>1427</v>
      </c>
      <c r="C35" s="1245"/>
      <c r="D35" s="1245"/>
      <c r="E35" s="1245"/>
      <c r="F35" s="1251"/>
      <c r="G35" s="489">
        <v>0</v>
      </c>
      <c r="H35" s="489">
        <v>0</v>
      </c>
      <c r="I35" s="489">
        <v>0</v>
      </c>
      <c r="J35" s="337">
        <v>0</v>
      </c>
    </row>
    <row r="36" spans="1:10" ht="15" x14ac:dyDescent="0.25">
      <c r="A36" s="501">
        <v>7082</v>
      </c>
      <c r="B36" s="1250" t="s">
        <v>1428</v>
      </c>
      <c r="C36" s="1245"/>
      <c r="D36" s="1245"/>
      <c r="E36" s="1245"/>
      <c r="F36" s="1251"/>
      <c r="G36" s="489">
        <v>0</v>
      </c>
      <c r="H36" s="489">
        <v>0</v>
      </c>
      <c r="I36" s="489">
        <v>0</v>
      </c>
      <c r="J36" s="337">
        <v>0</v>
      </c>
    </row>
    <row r="37" spans="1:10" ht="15" x14ac:dyDescent="0.25">
      <c r="A37" s="504" t="s">
        <v>559</v>
      </c>
      <c r="B37" s="1252" t="s">
        <v>1429</v>
      </c>
      <c r="C37" s="1252"/>
      <c r="D37" s="1252"/>
      <c r="E37" s="1252"/>
      <c r="F37" s="1252"/>
      <c r="G37" s="505">
        <v>0</v>
      </c>
      <c r="H37" s="505">
        <v>0</v>
      </c>
      <c r="I37" s="506">
        <v>0</v>
      </c>
      <c r="J37" s="507">
        <v>0</v>
      </c>
    </row>
    <row r="38" spans="1:10" ht="15" x14ac:dyDescent="0.25">
      <c r="A38" s="501">
        <v>711</v>
      </c>
      <c r="B38" s="1250" t="s">
        <v>1430</v>
      </c>
      <c r="C38" s="1245"/>
      <c r="D38" s="1245"/>
      <c r="E38" s="1245"/>
      <c r="F38" s="1251"/>
      <c r="G38" s="489">
        <v>0</v>
      </c>
      <c r="H38" s="489">
        <v>0</v>
      </c>
      <c r="I38" s="489">
        <v>0</v>
      </c>
      <c r="J38" s="337">
        <v>0</v>
      </c>
    </row>
    <row r="39" spans="1:10" ht="15" x14ac:dyDescent="0.25">
      <c r="A39" s="501">
        <v>713</v>
      </c>
      <c r="B39" s="1250" t="s">
        <v>1431</v>
      </c>
      <c r="C39" s="1245"/>
      <c r="D39" s="1245"/>
      <c r="E39" s="1245"/>
      <c r="F39" s="1251"/>
      <c r="G39" s="489">
        <v>0</v>
      </c>
      <c r="H39" s="489">
        <v>0</v>
      </c>
      <c r="I39" s="489">
        <v>0</v>
      </c>
      <c r="J39" s="337">
        <v>0</v>
      </c>
    </row>
    <row r="40" spans="1:10" ht="15" x14ac:dyDescent="0.25">
      <c r="A40" s="501">
        <v>718</v>
      </c>
      <c r="B40" s="1250" t="s">
        <v>1432</v>
      </c>
      <c r="C40" s="1245"/>
      <c r="D40" s="1245"/>
      <c r="E40" s="1245"/>
      <c r="F40" s="1251"/>
      <c r="G40" s="489">
        <v>0</v>
      </c>
      <c r="H40" s="489">
        <v>0</v>
      </c>
      <c r="I40" s="489">
        <v>0</v>
      </c>
      <c r="J40" s="337">
        <v>0</v>
      </c>
    </row>
    <row r="41" spans="1:10" ht="15" x14ac:dyDescent="0.25">
      <c r="A41" s="504" t="s">
        <v>561</v>
      </c>
      <c r="B41" s="1252" t="s">
        <v>1433</v>
      </c>
      <c r="C41" s="1252"/>
      <c r="D41" s="1252"/>
      <c r="E41" s="1252"/>
      <c r="F41" s="1252"/>
      <c r="G41" s="505">
        <v>0</v>
      </c>
      <c r="H41" s="505">
        <v>0</v>
      </c>
      <c r="I41" s="506">
        <v>0</v>
      </c>
      <c r="J41" s="507">
        <v>0</v>
      </c>
    </row>
    <row r="42" spans="1:10" ht="15" x14ac:dyDescent="0.25">
      <c r="A42" s="501">
        <v>721</v>
      </c>
      <c r="B42" s="1250" t="s">
        <v>1434</v>
      </c>
      <c r="C42" s="1245"/>
      <c r="D42" s="1245"/>
      <c r="E42" s="1245"/>
      <c r="F42" s="1251"/>
      <c r="G42" s="489">
        <v>0</v>
      </c>
      <c r="H42" s="489">
        <v>0</v>
      </c>
      <c r="I42" s="489">
        <v>0</v>
      </c>
      <c r="J42" s="337">
        <v>0</v>
      </c>
    </row>
    <row r="43" spans="1:10" ht="15" x14ac:dyDescent="0.25">
      <c r="A43" s="501">
        <v>722</v>
      </c>
      <c r="B43" s="1250" t="s">
        <v>1435</v>
      </c>
      <c r="C43" s="1245"/>
      <c r="D43" s="1245"/>
      <c r="E43" s="1245"/>
      <c r="F43" s="1251"/>
      <c r="G43" s="489">
        <v>0</v>
      </c>
      <c r="H43" s="489">
        <v>0</v>
      </c>
      <c r="I43" s="489">
        <v>0</v>
      </c>
      <c r="J43" s="337">
        <v>0</v>
      </c>
    </row>
    <row r="44" spans="1:10" ht="15" x14ac:dyDescent="0.25">
      <c r="A44" s="501">
        <v>724</v>
      </c>
      <c r="B44" s="1250" t="s">
        <v>1436</v>
      </c>
      <c r="C44" s="1245"/>
      <c r="D44" s="1245"/>
      <c r="E44" s="1245"/>
      <c r="F44" s="1251"/>
      <c r="G44" s="489">
        <v>0</v>
      </c>
      <c r="H44" s="489">
        <v>0</v>
      </c>
      <c r="I44" s="489">
        <v>0</v>
      </c>
      <c r="J44" s="337">
        <v>0</v>
      </c>
    </row>
    <row r="45" spans="1:10" ht="15" x14ac:dyDescent="0.25">
      <c r="A45" s="501">
        <v>726</v>
      </c>
      <c r="B45" s="1250" t="s">
        <v>1437</v>
      </c>
      <c r="C45" s="1245"/>
      <c r="D45" s="1245"/>
      <c r="E45" s="1245"/>
      <c r="F45" s="1251"/>
      <c r="G45" s="489">
        <v>0</v>
      </c>
      <c r="H45" s="489">
        <v>0</v>
      </c>
      <c r="I45" s="489">
        <v>0</v>
      </c>
      <c r="J45" s="337">
        <v>0</v>
      </c>
    </row>
    <row r="46" spans="1:10" ht="15" x14ac:dyDescent="0.25">
      <c r="A46" s="504" t="s">
        <v>563</v>
      </c>
      <c r="B46" s="1252" t="s">
        <v>1438</v>
      </c>
      <c r="C46" s="1252"/>
      <c r="D46" s="1252"/>
      <c r="E46" s="1252"/>
      <c r="F46" s="1252"/>
      <c r="G46" s="505">
        <v>0</v>
      </c>
      <c r="H46" s="505">
        <v>0</v>
      </c>
      <c r="I46" s="506">
        <v>0</v>
      </c>
      <c r="J46" s="507">
        <v>0</v>
      </c>
    </row>
    <row r="47" spans="1:10" ht="15" x14ac:dyDescent="0.25">
      <c r="A47" s="501">
        <v>735</v>
      </c>
      <c r="B47" s="1250" t="s">
        <v>1439</v>
      </c>
      <c r="C47" s="1245"/>
      <c r="D47" s="1245"/>
      <c r="E47" s="1245"/>
      <c r="F47" s="1251"/>
      <c r="G47" s="508">
        <v>0</v>
      </c>
      <c r="H47" s="508">
        <v>0</v>
      </c>
      <c r="I47" s="489">
        <v>0</v>
      </c>
      <c r="J47" s="337">
        <v>0</v>
      </c>
    </row>
    <row r="48" spans="1:10" ht="15" x14ac:dyDescent="0.25">
      <c r="A48" s="501">
        <v>736</v>
      </c>
      <c r="B48" s="1250" t="s">
        <v>1440</v>
      </c>
      <c r="C48" s="1245"/>
      <c r="D48" s="1245"/>
      <c r="E48" s="1245"/>
      <c r="F48" s="1251"/>
      <c r="G48" s="508">
        <v>0</v>
      </c>
      <c r="H48" s="508">
        <v>0</v>
      </c>
      <c r="I48" s="489">
        <v>0</v>
      </c>
      <c r="J48" s="337">
        <v>0</v>
      </c>
    </row>
    <row r="49" spans="1:10" ht="15" x14ac:dyDescent="0.25">
      <c r="A49" s="504" t="s">
        <v>565</v>
      </c>
      <c r="B49" s="1252" t="s">
        <v>1441</v>
      </c>
      <c r="C49" s="1252"/>
      <c r="D49" s="1252"/>
      <c r="E49" s="1252"/>
      <c r="F49" s="1252"/>
      <c r="G49" s="505">
        <v>0</v>
      </c>
      <c r="H49" s="505">
        <v>0</v>
      </c>
      <c r="I49" s="506">
        <v>0</v>
      </c>
      <c r="J49" s="507">
        <v>0</v>
      </c>
    </row>
    <row r="50" spans="1:10" ht="15" x14ac:dyDescent="0.25">
      <c r="A50" s="501">
        <v>751</v>
      </c>
      <c r="B50" s="1250" t="s">
        <v>1442</v>
      </c>
      <c r="C50" s="1245"/>
      <c r="D50" s="1245"/>
      <c r="E50" s="1245"/>
      <c r="F50" s="1251"/>
      <c r="G50" s="489">
        <v>0</v>
      </c>
      <c r="H50" s="489">
        <v>0</v>
      </c>
      <c r="I50" s="489">
        <v>0</v>
      </c>
      <c r="J50" s="337">
        <v>0</v>
      </c>
    </row>
    <row r="51" spans="1:10" ht="15" x14ac:dyDescent="0.25">
      <c r="A51" s="501">
        <v>752</v>
      </c>
      <c r="B51" s="1250" t="s">
        <v>1443</v>
      </c>
      <c r="C51" s="1245"/>
      <c r="D51" s="1245"/>
      <c r="E51" s="1245"/>
      <c r="F51" s="1251"/>
      <c r="G51" s="489">
        <v>0</v>
      </c>
      <c r="H51" s="489">
        <v>0</v>
      </c>
      <c r="I51" s="489">
        <v>0</v>
      </c>
      <c r="J51" s="337">
        <v>0</v>
      </c>
    </row>
    <row r="52" spans="1:10" ht="15" x14ac:dyDescent="0.25">
      <c r="A52" s="501">
        <v>7542</v>
      </c>
      <c r="B52" s="1250" t="s">
        <v>1444</v>
      </c>
      <c r="C52" s="1245"/>
      <c r="D52" s="1245"/>
      <c r="E52" s="1245"/>
      <c r="F52" s="1251"/>
      <c r="G52" s="489">
        <v>0</v>
      </c>
      <c r="H52" s="489">
        <v>0</v>
      </c>
      <c r="I52" s="489">
        <v>0</v>
      </c>
      <c r="J52" s="337">
        <v>0</v>
      </c>
    </row>
    <row r="53" spans="1:10" ht="15" x14ac:dyDescent="0.25">
      <c r="A53" s="501">
        <v>7582</v>
      </c>
      <c r="B53" s="1250" t="s">
        <v>1445</v>
      </c>
      <c r="C53" s="1245"/>
      <c r="D53" s="1245"/>
      <c r="E53" s="1245"/>
      <c r="F53" s="1251"/>
      <c r="G53" s="489">
        <v>0</v>
      </c>
      <c r="H53" s="489">
        <v>0</v>
      </c>
      <c r="I53" s="489">
        <v>0</v>
      </c>
      <c r="J53" s="337">
        <v>0</v>
      </c>
    </row>
    <row r="54" spans="1:10" ht="15" x14ac:dyDescent="0.25">
      <c r="A54" s="501">
        <v>7583</v>
      </c>
      <c r="B54" s="1250" t="s">
        <v>1446</v>
      </c>
      <c r="C54" s="1245"/>
      <c r="D54" s="1245"/>
      <c r="E54" s="1245"/>
      <c r="F54" s="1251"/>
      <c r="G54" s="489">
        <v>0</v>
      </c>
      <c r="H54" s="489">
        <v>0</v>
      </c>
      <c r="I54" s="489">
        <v>0</v>
      </c>
      <c r="J54" s="337">
        <v>0</v>
      </c>
    </row>
    <row r="55" spans="1:10" ht="15" x14ac:dyDescent="0.25">
      <c r="A55" s="501">
        <v>7588</v>
      </c>
      <c r="B55" s="1250" t="s">
        <v>1447</v>
      </c>
      <c r="C55" s="1245"/>
      <c r="D55" s="1245"/>
      <c r="E55" s="1245"/>
      <c r="F55" s="1251"/>
      <c r="G55" s="489">
        <v>0</v>
      </c>
      <c r="H55" s="489">
        <v>0</v>
      </c>
      <c r="I55" s="489">
        <v>0</v>
      </c>
      <c r="J55" s="337">
        <v>0</v>
      </c>
    </row>
    <row r="56" spans="1:10" ht="15" x14ac:dyDescent="0.25">
      <c r="A56" s="501">
        <v>7591</v>
      </c>
      <c r="B56" s="1250" t="s">
        <v>1448</v>
      </c>
      <c r="C56" s="1245"/>
      <c r="D56" s="1245"/>
      <c r="E56" s="1245"/>
      <c r="F56" s="1251"/>
      <c r="G56" s="489">
        <v>0</v>
      </c>
      <c r="H56" s="489">
        <v>0</v>
      </c>
      <c r="I56" s="489">
        <v>0</v>
      </c>
      <c r="J56" s="337">
        <v>0</v>
      </c>
    </row>
    <row r="57" spans="1:10" ht="15" x14ac:dyDescent="0.25">
      <c r="A57" s="501">
        <v>7593</v>
      </c>
      <c r="B57" s="1250" t="s">
        <v>1449</v>
      </c>
      <c r="C57" s="1245"/>
      <c r="D57" s="1245"/>
      <c r="E57" s="1245"/>
      <c r="F57" s="1251"/>
      <c r="G57" s="489">
        <v>0</v>
      </c>
      <c r="H57" s="489">
        <v>0</v>
      </c>
      <c r="I57" s="489">
        <v>0</v>
      </c>
      <c r="J57" s="337">
        <v>0</v>
      </c>
    </row>
    <row r="58" spans="1:10" ht="15" x14ac:dyDescent="0.25">
      <c r="A58" s="501">
        <v>7594</v>
      </c>
      <c r="B58" s="1250" t="s">
        <v>1450</v>
      </c>
      <c r="C58" s="1245"/>
      <c r="D58" s="1245"/>
      <c r="E58" s="1245"/>
      <c r="F58" s="1251"/>
      <c r="G58" s="489">
        <v>0</v>
      </c>
      <c r="H58" s="489">
        <v>0</v>
      </c>
      <c r="I58" s="489">
        <v>0</v>
      </c>
      <c r="J58" s="337">
        <v>0</v>
      </c>
    </row>
    <row r="59" spans="1:10" ht="15" x14ac:dyDescent="0.25">
      <c r="A59" s="501">
        <v>7598</v>
      </c>
      <c r="B59" s="1250" t="s">
        <v>1451</v>
      </c>
      <c r="C59" s="1245"/>
      <c r="D59" s="1245"/>
      <c r="E59" s="1245"/>
      <c r="F59" s="1251"/>
      <c r="G59" s="489">
        <v>0</v>
      </c>
      <c r="H59" s="489">
        <v>0</v>
      </c>
      <c r="I59" s="489">
        <v>0</v>
      </c>
      <c r="J59" s="337">
        <v>0</v>
      </c>
    </row>
    <row r="60" spans="1:10" ht="15" x14ac:dyDescent="0.25">
      <c r="A60" s="504" t="s">
        <v>567</v>
      </c>
      <c r="B60" s="1252" t="s">
        <v>1452</v>
      </c>
      <c r="C60" s="1252"/>
      <c r="D60" s="1252"/>
      <c r="E60" s="1252"/>
      <c r="F60" s="1252"/>
      <c r="G60" s="505">
        <v>0</v>
      </c>
      <c r="H60" s="505">
        <v>0</v>
      </c>
      <c r="I60" s="506">
        <v>0</v>
      </c>
      <c r="J60" s="507">
        <v>0</v>
      </c>
    </row>
    <row r="61" spans="1:10" ht="15" x14ac:dyDescent="0.25">
      <c r="A61" s="501">
        <v>7712</v>
      </c>
      <c r="B61" s="1250" t="s">
        <v>1453</v>
      </c>
      <c r="C61" s="1245"/>
      <c r="D61" s="1245"/>
      <c r="E61" s="1245"/>
      <c r="F61" s="1251"/>
      <c r="G61" s="489">
        <v>0</v>
      </c>
      <c r="H61" s="489">
        <v>0</v>
      </c>
      <c r="I61" s="489">
        <v>0</v>
      </c>
      <c r="J61" s="337">
        <v>0</v>
      </c>
    </row>
    <row r="62" spans="1:10" ht="15" x14ac:dyDescent="0.25">
      <c r="A62" s="501">
        <v>7713</v>
      </c>
      <c r="B62" s="1250" t="s">
        <v>1454</v>
      </c>
      <c r="C62" s="1245"/>
      <c r="D62" s="1245"/>
      <c r="E62" s="1245"/>
      <c r="F62" s="1251"/>
      <c r="G62" s="489">
        <v>0</v>
      </c>
      <c r="H62" s="489">
        <v>0</v>
      </c>
      <c r="I62" s="489">
        <v>0</v>
      </c>
      <c r="J62" s="337">
        <v>0</v>
      </c>
    </row>
    <row r="63" spans="1:10" ht="15" x14ac:dyDescent="0.25">
      <c r="A63" s="501">
        <v>7721</v>
      </c>
      <c r="B63" s="1250" t="s">
        <v>1455</v>
      </c>
      <c r="C63" s="1245"/>
      <c r="D63" s="1245"/>
      <c r="E63" s="1245"/>
      <c r="F63" s="1251"/>
      <c r="G63" s="489">
        <v>0</v>
      </c>
      <c r="H63" s="489">
        <v>0</v>
      </c>
      <c r="I63" s="489">
        <v>0</v>
      </c>
      <c r="J63" s="337">
        <v>0</v>
      </c>
    </row>
    <row r="64" spans="1:10" ht="15" x14ac:dyDescent="0.25">
      <c r="A64" s="501">
        <v>7722</v>
      </c>
      <c r="B64" s="1250" t="s">
        <v>1456</v>
      </c>
      <c r="C64" s="1245"/>
      <c r="D64" s="1245"/>
      <c r="E64" s="1245"/>
      <c r="F64" s="1251"/>
      <c r="G64" s="489">
        <v>0</v>
      </c>
      <c r="H64" s="489">
        <v>0</v>
      </c>
      <c r="I64" s="489">
        <v>0</v>
      </c>
      <c r="J64" s="337">
        <v>0</v>
      </c>
    </row>
    <row r="65" spans="1:10" ht="15" x14ac:dyDescent="0.25">
      <c r="A65" s="501">
        <v>773</v>
      </c>
      <c r="B65" s="1250" t="s">
        <v>1097</v>
      </c>
      <c r="C65" s="1245"/>
      <c r="D65" s="1245"/>
      <c r="E65" s="1245"/>
      <c r="F65" s="1251"/>
      <c r="G65" s="489">
        <v>0</v>
      </c>
      <c r="H65" s="489">
        <v>0</v>
      </c>
      <c r="I65" s="489">
        <v>0</v>
      </c>
      <c r="J65" s="337">
        <v>0</v>
      </c>
    </row>
    <row r="66" spans="1:10" ht="15" x14ac:dyDescent="0.25">
      <c r="A66" s="501">
        <v>7745</v>
      </c>
      <c r="B66" s="1250" t="s">
        <v>1457</v>
      </c>
      <c r="C66" s="1245"/>
      <c r="D66" s="1245"/>
      <c r="E66" s="1245"/>
      <c r="F66" s="1251"/>
      <c r="G66" s="489">
        <v>0</v>
      </c>
      <c r="H66" s="489">
        <v>0</v>
      </c>
      <c r="I66" s="489">
        <v>0</v>
      </c>
      <c r="J66" s="337">
        <v>0</v>
      </c>
    </row>
    <row r="67" spans="1:10" ht="15" x14ac:dyDescent="0.25">
      <c r="A67" s="501">
        <v>7746</v>
      </c>
      <c r="B67" s="1250" t="s">
        <v>1458</v>
      </c>
      <c r="C67" s="1245"/>
      <c r="D67" s="1245"/>
      <c r="E67" s="1245"/>
      <c r="F67" s="1251"/>
      <c r="G67" s="489">
        <v>0</v>
      </c>
      <c r="H67" s="489">
        <v>0</v>
      </c>
      <c r="I67" s="489">
        <v>0</v>
      </c>
      <c r="J67" s="337">
        <v>0</v>
      </c>
    </row>
    <row r="68" spans="1:10" ht="13.9" customHeight="1" x14ac:dyDescent="0.25">
      <c r="A68" s="501">
        <v>7747</v>
      </c>
      <c r="B68" s="1250" t="s">
        <v>1459</v>
      </c>
      <c r="C68" s="1245"/>
      <c r="D68" s="1245"/>
      <c r="E68" s="1245"/>
      <c r="F68" s="1251"/>
      <c r="G68" s="489">
        <v>0</v>
      </c>
      <c r="H68" s="489">
        <v>0</v>
      </c>
      <c r="I68" s="489">
        <v>0</v>
      </c>
      <c r="J68" s="337">
        <v>0</v>
      </c>
    </row>
    <row r="69" spans="1:10" ht="13.9" customHeight="1" x14ac:dyDescent="0.25">
      <c r="A69" s="501">
        <v>7748</v>
      </c>
      <c r="B69" s="1250" t="s">
        <v>1460</v>
      </c>
      <c r="C69" s="1245"/>
      <c r="D69" s="1245"/>
      <c r="E69" s="1245"/>
      <c r="F69" s="1251"/>
      <c r="G69" s="489">
        <v>0</v>
      </c>
      <c r="H69" s="489">
        <v>0</v>
      </c>
      <c r="I69" s="489">
        <v>0</v>
      </c>
      <c r="J69" s="337">
        <v>0</v>
      </c>
    </row>
    <row r="70" spans="1:10" ht="13.9" customHeight="1" x14ac:dyDescent="0.25">
      <c r="A70" s="501">
        <v>776</v>
      </c>
      <c r="B70" s="1250" t="s">
        <v>1099</v>
      </c>
      <c r="C70" s="1245"/>
      <c r="D70" s="1245"/>
      <c r="E70" s="1245"/>
      <c r="F70" s="1251"/>
      <c r="G70" s="489">
        <v>0</v>
      </c>
      <c r="H70" s="489">
        <v>0</v>
      </c>
      <c r="I70" s="489">
        <v>0</v>
      </c>
      <c r="J70" s="337">
        <v>0</v>
      </c>
    </row>
    <row r="71" spans="1:10" ht="13.9" customHeight="1" x14ac:dyDescent="0.25">
      <c r="A71" s="501">
        <v>777</v>
      </c>
      <c r="B71" s="1250" t="s">
        <v>1100</v>
      </c>
      <c r="C71" s="1245"/>
      <c r="D71" s="1245"/>
      <c r="E71" s="1245"/>
      <c r="F71" s="1251"/>
      <c r="G71" s="489">
        <v>0</v>
      </c>
      <c r="H71" s="489">
        <v>0</v>
      </c>
      <c r="I71" s="489">
        <v>0</v>
      </c>
      <c r="J71" s="337">
        <v>0</v>
      </c>
    </row>
    <row r="72" spans="1:10" ht="13.9" customHeight="1" x14ac:dyDescent="0.25">
      <c r="A72" s="501">
        <v>7781</v>
      </c>
      <c r="B72" s="1250" t="s">
        <v>1461</v>
      </c>
      <c r="C72" s="1245"/>
      <c r="D72" s="1245"/>
      <c r="E72" s="1245"/>
      <c r="F72" s="1251"/>
      <c r="G72" s="489">
        <v>0</v>
      </c>
      <c r="H72" s="489">
        <v>0</v>
      </c>
      <c r="I72" s="489">
        <v>0</v>
      </c>
      <c r="J72" s="337">
        <v>0</v>
      </c>
    </row>
    <row r="73" spans="1:10" ht="13.9" customHeight="1" x14ac:dyDescent="0.25">
      <c r="A73" s="501">
        <v>7782</v>
      </c>
      <c r="B73" s="1250" t="s">
        <v>1462</v>
      </c>
      <c r="C73" s="1245"/>
      <c r="D73" s="1245"/>
      <c r="E73" s="1245"/>
      <c r="F73" s="1251"/>
      <c r="G73" s="489">
        <v>0</v>
      </c>
      <c r="H73" s="489">
        <v>0</v>
      </c>
      <c r="I73" s="489">
        <v>0</v>
      </c>
      <c r="J73" s="337">
        <v>0</v>
      </c>
    </row>
    <row r="74" spans="1:10" ht="13.9" customHeight="1" x14ac:dyDescent="0.25">
      <c r="A74" s="501">
        <v>7791</v>
      </c>
      <c r="B74" s="1250" t="s">
        <v>1463</v>
      </c>
      <c r="C74" s="1245"/>
      <c r="D74" s="1245"/>
      <c r="E74" s="1245"/>
      <c r="F74" s="1251"/>
      <c r="G74" s="489">
        <v>0</v>
      </c>
      <c r="H74" s="489">
        <v>0</v>
      </c>
      <c r="I74" s="489">
        <v>0</v>
      </c>
      <c r="J74" s="337">
        <v>0</v>
      </c>
    </row>
    <row r="75" spans="1:10" ht="13.9" customHeight="1" x14ac:dyDescent="0.25">
      <c r="A75" s="501">
        <v>7795</v>
      </c>
      <c r="B75" s="1250" t="s">
        <v>1464</v>
      </c>
      <c r="C75" s="1245"/>
      <c r="D75" s="1245"/>
      <c r="E75" s="1245"/>
      <c r="F75" s="1251"/>
      <c r="G75" s="489">
        <v>0</v>
      </c>
      <c r="H75" s="489">
        <v>0</v>
      </c>
      <c r="I75" s="489">
        <v>0</v>
      </c>
      <c r="J75" s="337">
        <v>0</v>
      </c>
    </row>
    <row r="76" spans="1:10" ht="13.9" customHeight="1" x14ac:dyDescent="0.25">
      <c r="A76" s="501">
        <v>7798</v>
      </c>
      <c r="B76" s="502" t="s">
        <v>1465</v>
      </c>
      <c r="C76" s="498"/>
      <c r="D76" s="498"/>
      <c r="E76" s="498"/>
      <c r="F76" s="503"/>
      <c r="G76" s="489">
        <v>0</v>
      </c>
      <c r="H76" s="489">
        <v>0</v>
      </c>
      <c r="I76" s="489">
        <v>0</v>
      </c>
      <c r="J76" s="337">
        <v>0</v>
      </c>
    </row>
    <row r="77" spans="1:10" ht="13.15" customHeight="1" x14ac:dyDescent="0.25">
      <c r="A77" s="504" t="s">
        <v>1234</v>
      </c>
      <c r="B77" s="1252" t="s">
        <v>1466</v>
      </c>
      <c r="C77" s="1252"/>
      <c r="D77" s="1252"/>
      <c r="E77" s="1252"/>
      <c r="F77" s="1252"/>
      <c r="G77" s="505">
        <v>0</v>
      </c>
      <c r="H77" s="505">
        <v>0</v>
      </c>
      <c r="I77" s="506">
        <v>0</v>
      </c>
      <c r="J77" s="507">
        <v>0</v>
      </c>
    </row>
  </sheetData>
  <mergeCells count="82">
    <mergeCell ref="C6:D6"/>
    <mergeCell ref="E6:F6"/>
    <mergeCell ref="H6:I6"/>
    <mergeCell ref="A1:J1"/>
    <mergeCell ref="C2:J2"/>
    <mergeCell ref="C3:J3"/>
    <mergeCell ref="C4:J4"/>
    <mergeCell ref="C5:J5"/>
    <mergeCell ref="C7:J7"/>
    <mergeCell ref="C8:J8"/>
    <mergeCell ref="C9:J9"/>
    <mergeCell ref="C10:E10"/>
    <mergeCell ref="F10:G10"/>
    <mergeCell ref="H10:J10"/>
    <mergeCell ref="C11:E11"/>
    <mergeCell ref="F11:G11"/>
    <mergeCell ref="H11:J11"/>
    <mergeCell ref="A13:J13"/>
    <mergeCell ref="A15:F16"/>
    <mergeCell ref="G15:G16"/>
    <mergeCell ref="H15:H16"/>
    <mergeCell ref="I15:J15"/>
    <mergeCell ref="B28:F28"/>
    <mergeCell ref="B17:F17"/>
    <mergeCell ref="B18:F18"/>
    <mergeCell ref="B19:F19"/>
    <mergeCell ref="B20:F20"/>
    <mergeCell ref="B21:F21"/>
    <mergeCell ref="B22:F22"/>
    <mergeCell ref="B23:F23"/>
    <mergeCell ref="B24:F24"/>
    <mergeCell ref="B25:F25"/>
    <mergeCell ref="B26:F26"/>
    <mergeCell ref="B27:F27"/>
    <mergeCell ref="B40:F40"/>
    <mergeCell ref="B29:F29"/>
    <mergeCell ref="B30:F30"/>
    <mergeCell ref="B31:F31"/>
    <mergeCell ref="B32:F32"/>
    <mergeCell ref="B33:F33"/>
    <mergeCell ref="B34:F34"/>
    <mergeCell ref="B35:F35"/>
    <mergeCell ref="B36:F36"/>
    <mergeCell ref="B37:F37"/>
    <mergeCell ref="B38:F38"/>
    <mergeCell ref="B39:F39"/>
    <mergeCell ref="B52:F52"/>
    <mergeCell ref="B41:F41"/>
    <mergeCell ref="B42:F42"/>
    <mergeCell ref="B43:F43"/>
    <mergeCell ref="B44:F44"/>
    <mergeCell ref="B45:F45"/>
    <mergeCell ref="B46:F46"/>
    <mergeCell ref="B47:F47"/>
    <mergeCell ref="B48:F48"/>
    <mergeCell ref="B49:F49"/>
    <mergeCell ref="B50:F50"/>
    <mergeCell ref="B51:F51"/>
    <mergeCell ref="B64:F64"/>
    <mergeCell ref="B53:F53"/>
    <mergeCell ref="B54:F54"/>
    <mergeCell ref="B55:F55"/>
    <mergeCell ref="B56:F56"/>
    <mergeCell ref="B57:F57"/>
    <mergeCell ref="B58:F58"/>
    <mergeCell ref="B59:F59"/>
    <mergeCell ref="B60:F60"/>
    <mergeCell ref="B61:F61"/>
    <mergeCell ref="B62:F62"/>
    <mergeCell ref="B63:F63"/>
    <mergeCell ref="B77:F77"/>
    <mergeCell ref="B65:F65"/>
    <mergeCell ref="B66:F66"/>
    <mergeCell ref="B67:F67"/>
    <mergeCell ref="B68:F68"/>
    <mergeCell ref="B69:F69"/>
    <mergeCell ref="B70:F70"/>
    <mergeCell ref="B71:F71"/>
    <mergeCell ref="B72:F72"/>
    <mergeCell ref="B73:F73"/>
    <mergeCell ref="B74:F74"/>
    <mergeCell ref="B75:F75"/>
  </mergeCells>
  <dataValidations count="1">
    <dataValidation type="whole" allowBlank="1" showInputMessage="1" showErrorMessage="1" errorTitle="Attention!" error="Valeur numérique attendue" sqref="G17:H36 G38:H40 G42:H45 G50:H59 G61:H76" xr:uid="{87E25D9D-1F01-4FBB-B42C-DC5D4CCD31C4}">
      <formula1>-9999999999999</formula1>
      <formula2>9999999999999</formula2>
    </dataValidation>
  </dataValidation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A3A4D-CB80-4EEF-BEA0-256AFDF29F2F}">
  <dimension ref="A1:J62"/>
  <sheetViews>
    <sheetView workbookViewId="0">
      <selection sqref="A1:XFD1048576"/>
    </sheetView>
  </sheetViews>
  <sheetFormatPr baseColWidth="10" defaultColWidth="11.42578125" defaultRowHeight="13.9" customHeight="1" x14ac:dyDescent="0.25"/>
  <cols>
    <col min="1" max="1" width="11.7109375" style="376" customWidth="1"/>
    <col min="2" max="2" width="28.140625" style="376" customWidth="1"/>
    <col min="3" max="6" width="10.140625" style="376" customWidth="1"/>
    <col min="7" max="9" width="13.42578125" style="376" customWidth="1"/>
    <col min="10" max="10" width="8.85546875" style="376" customWidth="1"/>
    <col min="11" max="11" width="8.140625" style="376" customWidth="1"/>
    <col min="12" max="12" width="10" style="376" customWidth="1"/>
    <col min="13" max="16384" width="11.42578125" style="376"/>
  </cols>
  <sheetData>
    <row r="1" spans="1:10" ht="11.45" customHeight="1" x14ac:dyDescent="0.25">
      <c r="A1" s="617"/>
      <c r="B1" s="617"/>
      <c r="C1" s="618"/>
      <c r="D1" s="618"/>
      <c r="E1" s="618"/>
      <c r="F1" s="618"/>
      <c r="G1" s="618"/>
      <c r="H1" s="618"/>
      <c r="I1" s="618"/>
      <c r="J1" s="618"/>
    </row>
    <row r="2" spans="1:10" ht="15" x14ac:dyDescent="0.25">
      <c r="A2" s="200" t="s">
        <v>363</v>
      </c>
      <c r="B2" s="200"/>
      <c r="C2" s="619">
        <v>4444444444</v>
      </c>
      <c r="D2" s="619"/>
      <c r="E2" s="619"/>
      <c r="F2" s="619"/>
      <c r="G2" s="619"/>
      <c r="H2" s="619"/>
      <c r="I2" s="619"/>
      <c r="J2" s="619"/>
    </row>
    <row r="3" spans="1:10" ht="15" customHeight="1" x14ac:dyDescent="0.25">
      <c r="A3" s="200"/>
      <c r="B3" s="200"/>
      <c r="C3" s="620">
        <v>56565665</v>
      </c>
      <c r="D3" s="620"/>
      <c r="E3" s="620"/>
      <c r="F3" s="620"/>
      <c r="G3" s="620"/>
      <c r="H3" s="620"/>
      <c r="I3" s="620"/>
      <c r="J3" s="620"/>
    </row>
    <row r="4" spans="1:10" ht="15" x14ac:dyDescent="0.25">
      <c r="A4" s="200" t="s">
        <v>364</v>
      </c>
      <c r="B4" s="200"/>
      <c r="C4" s="620" t="s">
        <v>6</v>
      </c>
      <c r="D4" s="620"/>
      <c r="E4" s="620"/>
      <c r="F4" s="620"/>
      <c r="G4" s="620"/>
      <c r="H4" s="620"/>
      <c r="I4" s="620"/>
      <c r="J4" s="620"/>
    </row>
    <row r="5" spans="1:10" ht="15" customHeight="1" x14ac:dyDescent="0.25">
      <c r="A5" s="200" t="s">
        <v>365</v>
      </c>
      <c r="B5" s="200"/>
      <c r="C5" s="621" t="s">
        <v>699</v>
      </c>
      <c r="D5" s="621"/>
      <c r="E5" s="621"/>
      <c r="F5" s="621"/>
      <c r="G5" s="621"/>
      <c r="H5" s="621"/>
      <c r="I5" s="621"/>
      <c r="J5" s="621"/>
    </row>
    <row r="6" spans="1:10" ht="15" x14ac:dyDescent="0.25">
      <c r="A6" s="200" t="s">
        <v>366</v>
      </c>
      <c r="B6" s="200"/>
      <c r="C6" s="620">
        <v>125545</v>
      </c>
      <c r="D6" s="620"/>
      <c r="E6" s="622" t="s">
        <v>367</v>
      </c>
      <c r="F6" s="622"/>
      <c r="G6" s="240">
        <v>46022</v>
      </c>
      <c r="H6" s="611" t="s">
        <v>467</v>
      </c>
      <c r="I6" s="611"/>
      <c r="J6" s="241">
        <v>12</v>
      </c>
    </row>
    <row r="7" spans="1:10" ht="15" x14ac:dyDescent="0.25">
      <c r="A7" s="198" t="s">
        <v>369</v>
      </c>
      <c r="B7" s="24"/>
      <c r="C7" s="615" t="s">
        <v>8</v>
      </c>
      <c r="D7" s="615"/>
      <c r="E7" s="615"/>
      <c r="F7" s="615"/>
      <c r="G7" s="615"/>
      <c r="H7" s="615"/>
      <c r="I7" s="615"/>
      <c r="J7" s="615"/>
    </row>
    <row r="8" spans="1:10" ht="15" x14ac:dyDescent="0.25">
      <c r="A8" s="200" t="s">
        <v>468</v>
      </c>
      <c r="B8" s="24"/>
      <c r="C8" s="616" t="s">
        <v>35</v>
      </c>
      <c r="D8" s="616"/>
      <c r="E8" s="616"/>
      <c r="F8" s="616"/>
      <c r="G8" s="616"/>
      <c r="H8" s="616"/>
      <c r="I8" s="616"/>
      <c r="J8" s="616"/>
    </row>
    <row r="9" spans="1:10" ht="15" x14ac:dyDescent="0.25">
      <c r="A9" s="200"/>
      <c r="B9" s="24"/>
      <c r="C9" s="611" t="s">
        <v>36</v>
      </c>
      <c r="D9" s="611"/>
      <c r="E9" s="611"/>
      <c r="F9" s="611"/>
      <c r="G9" s="611"/>
      <c r="H9" s="611"/>
      <c r="I9" s="611"/>
      <c r="J9" s="611"/>
    </row>
    <row r="10" spans="1:10" ht="15" x14ac:dyDescent="0.25">
      <c r="A10" s="200" t="s">
        <v>469</v>
      </c>
      <c r="B10" s="24"/>
      <c r="C10" s="611" t="s">
        <v>40</v>
      </c>
      <c r="D10" s="611"/>
      <c r="E10" s="611"/>
      <c r="F10" s="611" t="s">
        <v>470</v>
      </c>
      <c r="G10" s="611"/>
      <c r="H10" s="611" t="s">
        <v>38</v>
      </c>
      <c r="I10" s="611"/>
      <c r="J10" s="611"/>
    </row>
    <row r="11" spans="1:10" ht="15" x14ac:dyDescent="0.25">
      <c r="A11" s="200" t="s">
        <v>471</v>
      </c>
      <c r="B11" s="24"/>
      <c r="C11" s="610">
        <v>44713</v>
      </c>
      <c r="D11" s="610"/>
      <c r="E11" s="610"/>
      <c r="F11" s="611" t="s">
        <v>472</v>
      </c>
      <c r="G11" s="611"/>
      <c r="H11" s="610">
        <v>45991</v>
      </c>
      <c r="I11" s="610"/>
      <c r="J11" s="610"/>
    </row>
    <row r="12" spans="1:10" ht="11.45" customHeight="1" thickBot="1" x14ac:dyDescent="0.3">
      <c r="A12" s="24"/>
      <c r="B12" s="24"/>
      <c r="C12" s="24"/>
      <c r="D12" s="24"/>
      <c r="E12" s="24"/>
      <c r="F12" s="24"/>
      <c r="G12" s="24"/>
      <c r="H12" s="24"/>
      <c r="I12" s="24"/>
      <c r="J12" s="24"/>
    </row>
    <row r="13" spans="1:10" ht="21.75" customHeight="1" thickBot="1" x14ac:dyDescent="0.3">
      <c r="A13" s="1235" t="s">
        <v>1408</v>
      </c>
      <c r="B13" s="1236"/>
      <c r="C13" s="1236"/>
      <c r="D13" s="1236"/>
      <c r="E13" s="1236"/>
      <c r="F13" s="1236"/>
      <c r="G13" s="1236"/>
      <c r="H13" s="1236"/>
      <c r="I13" s="1236"/>
      <c r="J13" s="1237"/>
    </row>
    <row r="14" spans="1:10" ht="6" customHeight="1" x14ac:dyDescent="0.25">
      <c r="A14" s="24"/>
      <c r="B14" s="24"/>
      <c r="C14" s="24"/>
      <c r="D14" s="24"/>
      <c r="E14" s="24"/>
      <c r="F14" s="24"/>
      <c r="G14" s="24"/>
      <c r="H14" s="24"/>
      <c r="I14" s="24"/>
      <c r="J14" s="24"/>
    </row>
    <row r="15" spans="1:10" ht="15" x14ac:dyDescent="0.25">
      <c r="A15" s="1224" t="s">
        <v>1467</v>
      </c>
      <c r="B15" s="1224"/>
      <c r="C15" s="1224"/>
      <c r="D15" s="1224"/>
      <c r="E15" s="1224"/>
      <c r="F15" s="1224"/>
      <c r="G15" s="1224" t="s">
        <v>1193</v>
      </c>
      <c r="H15" s="1224" t="s">
        <v>1194</v>
      </c>
      <c r="I15" s="1224" t="s">
        <v>1195</v>
      </c>
      <c r="J15" s="1224"/>
    </row>
    <row r="16" spans="1:10" ht="15" x14ac:dyDescent="0.25">
      <c r="A16" s="1224"/>
      <c r="B16" s="1224"/>
      <c r="C16" s="1224"/>
      <c r="D16" s="1224"/>
      <c r="E16" s="1224"/>
      <c r="F16" s="1224"/>
      <c r="G16" s="1224"/>
      <c r="H16" s="1224"/>
      <c r="I16" s="483" t="s">
        <v>1196</v>
      </c>
      <c r="J16" s="483" t="s">
        <v>1197</v>
      </c>
    </row>
    <row r="17" spans="1:10" ht="15" x14ac:dyDescent="0.25">
      <c r="A17" s="509">
        <v>781</v>
      </c>
      <c r="B17" s="1250" t="s">
        <v>1468</v>
      </c>
      <c r="C17" s="1245"/>
      <c r="D17" s="1245"/>
      <c r="E17" s="1245"/>
      <c r="F17" s="1251"/>
      <c r="G17" s="489">
        <v>0</v>
      </c>
      <c r="H17" s="489">
        <v>0</v>
      </c>
      <c r="I17" s="508">
        <v>0</v>
      </c>
      <c r="J17" s="337">
        <v>0</v>
      </c>
    </row>
    <row r="18" spans="1:10" ht="15" x14ac:dyDescent="0.25">
      <c r="A18" s="509">
        <v>787</v>
      </c>
      <c r="B18" s="1250" t="s">
        <v>1101</v>
      </c>
      <c r="C18" s="1245"/>
      <c r="D18" s="1245"/>
      <c r="E18" s="1245"/>
      <c r="F18" s="1251"/>
      <c r="G18" s="489">
        <v>0</v>
      </c>
      <c r="H18" s="489">
        <v>0</v>
      </c>
      <c r="I18" s="508">
        <v>0</v>
      </c>
      <c r="J18" s="337">
        <v>0</v>
      </c>
    </row>
    <row r="19" spans="1:10" ht="15" x14ac:dyDescent="0.25">
      <c r="A19" s="510" t="s">
        <v>1238</v>
      </c>
      <c r="B19" s="1252" t="s">
        <v>1469</v>
      </c>
      <c r="C19" s="1252"/>
      <c r="D19" s="1252"/>
      <c r="E19" s="1252"/>
      <c r="F19" s="1252"/>
      <c r="G19" s="505">
        <v>0</v>
      </c>
      <c r="H19" s="505">
        <v>0</v>
      </c>
      <c r="I19" s="505">
        <v>0</v>
      </c>
      <c r="J19" s="507">
        <v>0</v>
      </c>
    </row>
    <row r="20" spans="1:10" ht="15" x14ac:dyDescent="0.25">
      <c r="A20" s="509">
        <v>7911</v>
      </c>
      <c r="B20" s="1250" t="s">
        <v>1470</v>
      </c>
      <c r="C20" s="1245"/>
      <c r="D20" s="1245"/>
      <c r="E20" s="1245"/>
      <c r="F20" s="1251"/>
      <c r="G20" s="489">
        <v>0</v>
      </c>
      <c r="H20" s="489">
        <v>0</v>
      </c>
      <c r="I20" s="508">
        <v>0</v>
      </c>
      <c r="J20" s="337">
        <v>0</v>
      </c>
    </row>
    <row r="21" spans="1:10" ht="15" x14ac:dyDescent="0.25">
      <c r="A21" s="509">
        <v>7913</v>
      </c>
      <c r="B21" s="1250" t="s">
        <v>1471</v>
      </c>
      <c r="C21" s="1245"/>
      <c r="D21" s="1245"/>
      <c r="E21" s="1245"/>
      <c r="F21" s="1251"/>
      <c r="G21" s="489">
        <v>0</v>
      </c>
      <c r="H21" s="489">
        <v>0</v>
      </c>
      <c r="I21" s="508">
        <v>0</v>
      </c>
      <c r="J21" s="337">
        <v>0</v>
      </c>
    </row>
    <row r="22" spans="1:10" ht="15" x14ac:dyDescent="0.25">
      <c r="A22" s="509">
        <v>7914</v>
      </c>
      <c r="B22" s="1250" t="s">
        <v>1472</v>
      </c>
      <c r="C22" s="1245"/>
      <c r="D22" s="1245"/>
      <c r="E22" s="1245"/>
      <c r="F22" s="1251"/>
      <c r="G22" s="489">
        <v>0</v>
      </c>
      <c r="H22" s="489">
        <v>0</v>
      </c>
      <c r="I22" s="508">
        <v>0</v>
      </c>
      <c r="J22" s="337">
        <v>0</v>
      </c>
    </row>
    <row r="23" spans="1:10" ht="15" x14ac:dyDescent="0.25">
      <c r="A23" s="509">
        <v>7921</v>
      </c>
      <c r="B23" s="1250" t="s">
        <v>1473</v>
      </c>
      <c r="C23" s="1245"/>
      <c r="D23" s="1245"/>
      <c r="E23" s="1245"/>
      <c r="F23" s="1251"/>
      <c r="G23" s="489">
        <v>0</v>
      </c>
      <c r="H23" s="489">
        <v>0</v>
      </c>
      <c r="I23" s="508">
        <v>0</v>
      </c>
      <c r="J23" s="337">
        <v>0</v>
      </c>
    </row>
    <row r="24" spans="1:10" ht="15" x14ac:dyDescent="0.25">
      <c r="A24" s="509">
        <v>7923</v>
      </c>
      <c r="B24" s="1250" t="s">
        <v>1474</v>
      </c>
      <c r="C24" s="1245"/>
      <c r="D24" s="1245"/>
      <c r="E24" s="1245"/>
      <c r="F24" s="1251"/>
      <c r="G24" s="489">
        <v>0</v>
      </c>
      <c r="H24" s="489">
        <v>0</v>
      </c>
      <c r="I24" s="508"/>
      <c r="J24" s="337">
        <v>0</v>
      </c>
    </row>
    <row r="25" spans="1:10" ht="15" x14ac:dyDescent="0.25">
      <c r="A25" s="509">
        <v>7925</v>
      </c>
      <c r="B25" s="1250" t="s">
        <v>1475</v>
      </c>
      <c r="C25" s="1245"/>
      <c r="D25" s="1245"/>
      <c r="E25" s="1245"/>
      <c r="F25" s="1251"/>
      <c r="G25" s="489">
        <v>0</v>
      </c>
      <c r="H25" s="489">
        <v>0</v>
      </c>
      <c r="I25" s="508">
        <v>0</v>
      </c>
      <c r="J25" s="337">
        <v>0</v>
      </c>
    </row>
    <row r="26" spans="1:10" ht="15" x14ac:dyDescent="0.25">
      <c r="A26" s="509">
        <v>7928</v>
      </c>
      <c r="B26" s="1250" t="s">
        <v>1476</v>
      </c>
      <c r="C26" s="1245"/>
      <c r="D26" s="1245"/>
      <c r="E26" s="1245"/>
      <c r="F26" s="1251"/>
      <c r="G26" s="489">
        <v>0</v>
      </c>
      <c r="H26" s="489">
        <v>0</v>
      </c>
      <c r="I26" s="508">
        <v>0</v>
      </c>
      <c r="J26" s="337">
        <v>0</v>
      </c>
    </row>
    <row r="27" spans="1:10" ht="15" x14ac:dyDescent="0.25">
      <c r="A27" s="509">
        <v>7951</v>
      </c>
      <c r="B27" s="1250" t="s">
        <v>1477</v>
      </c>
      <c r="C27" s="1245"/>
      <c r="D27" s="1245"/>
      <c r="E27" s="1245"/>
      <c r="F27" s="1251"/>
      <c r="G27" s="489">
        <v>0</v>
      </c>
      <c r="H27" s="489">
        <v>0</v>
      </c>
      <c r="I27" s="508">
        <v>0</v>
      </c>
      <c r="J27" s="337">
        <v>0</v>
      </c>
    </row>
    <row r="28" spans="1:10" ht="15" x14ac:dyDescent="0.25">
      <c r="A28" s="509">
        <v>7952</v>
      </c>
      <c r="B28" s="1250" t="s">
        <v>1478</v>
      </c>
      <c r="C28" s="1245"/>
      <c r="D28" s="1245"/>
      <c r="E28" s="1245"/>
      <c r="F28" s="1251"/>
      <c r="G28" s="489">
        <v>0</v>
      </c>
      <c r="H28" s="489">
        <v>0</v>
      </c>
      <c r="I28" s="508">
        <v>0</v>
      </c>
      <c r="J28" s="337">
        <v>0</v>
      </c>
    </row>
    <row r="29" spans="1:10" ht="15" x14ac:dyDescent="0.25">
      <c r="A29" s="509">
        <v>7961</v>
      </c>
      <c r="B29" s="1250" t="s">
        <v>1479</v>
      </c>
      <c r="C29" s="1245"/>
      <c r="D29" s="1245"/>
      <c r="E29" s="1245"/>
      <c r="F29" s="1251"/>
      <c r="G29" s="489">
        <v>0</v>
      </c>
      <c r="H29" s="489">
        <v>0</v>
      </c>
      <c r="I29" s="508">
        <v>0</v>
      </c>
      <c r="J29" s="337">
        <v>0</v>
      </c>
    </row>
    <row r="30" spans="1:10" ht="15" x14ac:dyDescent="0.25">
      <c r="A30" s="509">
        <v>7962</v>
      </c>
      <c r="B30" s="1250" t="s">
        <v>1480</v>
      </c>
      <c r="C30" s="1245"/>
      <c r="D30" s="1245"/>
      <c r="E30" s="1245"/>
      <c r="F30" s="1251"/>
      <c r="G30" s="489">
        <v>0</v>
      </c>
      <c r="H30" s="489">
        <v>0</v>
      </c>
      <c r="I30" s="508">
        <v>0</v>
      </c>
      <c r="J30" s="337">
        <v>0</v>
      </c>
    </row>
    <row r="31" spans="1:10" ht="15" x14ac:dyDescent="0.25">
      <c r="A31" s="509">
        <v>7968</v>
      </c>
      <c r="B31" s="1250" t="s">
        <v>1481</v>
      </c>
      <c r="C31" s="1245"/>
      <c r="D31" s="1245"/>
      <c r="E31" s="1245"/>
      <c r="F31" s="1251"/>
      <c r="G31" s="489">
        <v>0</v>
      </c>
      <c r="H31" s="489">
        <v>0</v>
      </c>
      <c r="I31" s="508">
        <v>0</v>
      </c>
      <c r="J31" s="337">
        <v>0</v>
      </c>
    </row>
    <row r="32" spans="1:10" ht="15" x14ac:dyDescent="0.25">
      <c r="A32" s="509">
        <v>7971</v>
      </c>
      <c r="B32" s="1250" t="s">
        <v>1470</v>
      </c>
      <c r="C32" s="1245"/>
      <c r="D32" s="1245"/>
      <c r="E32" s="1245"/>
      <c r="F32" s="1251"/>
      <c r="G32" s="489">
        <v>0</v>
      </c>
      <c r="H32" s="489">
        <v>0</v>
      </c>
      <c r="I32" s="508">
        <v>0</v>
      </c>
      <c r="J32" s="337">
        <v>0</v>
      </c>
    </row>
    <row r="33" spans="1:10" ht="15" x14ac:dyDescent="0.25">
      <c r="A33" s="509">
        <v>7972</v>
      </c>
      <c r="B33" s="1250" t="s">
        <v>1482</v>
      </c>
      <c r="C33" s="1245"/>
      <c r="D33" s="1245"/>
      <c r="E33" s="1245"/>
      <c r="F33" s="1251"/>
      <c r="G33" s="489">
        <v>0</v>
      </c>
      <c r="H33" s="489">
        <v>0</v>
      </c>
      <c r="I33" s="508">
        <v>0</v>
      </c>
      <c r="J33" s="337">
        <v>0</v>
      </c>
    </row>
    <row r="34" spans="1:10" ht="15" x14ac:dyDescent="0.25">
      <c r="A34" s="509">
        <v>798</v>
      </c>
      <c r="B34" s="1250" t="s">
        <v>1483</v>
      </c>
      <c r="C34" s="1245"/>
      <c r="D34" s="1245"/>
      <c r="E34" s="1245"/>
      <c r="F34" s="1251"/>
      <c r="G34" s="489">
        <v>0</v>
      </c>
      <c r="H34" s="489">
        <v>0</v>
      </c>
      <c r="I34" s="508">
        <v>0</v>
      </c>
      <c r="J34" s="337">
        <v>0</v>
      </c>
    </row>
    <row r="35" spans="1:10" ht="15" x14ac:dyDescent="0.25">
      <c r="A35" s="509">
        <v>799</v>
      </c>
      <c r="B35" s="1250" t="s">
        <v>1484</v>
      </c>
      <c r="C35" s="1245"/>
      <c r="D35" s="1245"/>
      <c r="E35" s="1245"/>
      <c r="F35" s="1251"/>
      <c r="G35" s="489">
        <v>0</v>
      </c>
      <c r="H35" s="489">
        <v>0</v>
      </c>
      <c r="I35" s="508">
        <v>0</v>
      </c>
      <c r="J35" s="337">
        <v>0</v>
      </c>
    </row>
    <row r="36" spans="1:10" ht="15" x14ac:dyDescent="0.25">
      <c r="A36" s="510" t="s">
        <v>1301</v>
      </c>
      <c r="B36" s="1252" t="s">
        <v>1485</v>
      </c>
      <c r="C36" s="1252"/>
      <c r="D36" s="1252"/>
      <c r="E36" s="1252"/>
      <c r="F36" s="1252"/>
      <c r="G36" s="505">
        <v>0</v>
      </c>
      <c r="H36" s="505">
        <v>0</v>
      </c>
      <c r="I36" s="505">
        <v>0</v>
      </c>
      <c r="J36" s="507">
        <v>0</v>
      </c>
    </row>
    <row r="37" spans="1:10" ht="15" x14ac:dyDescent="0.25">
      <c r="A37" s="509">
        <v>821</v>
      </c>
      <c r="B37" s="1250" t="s">
        <v>1136</v>
      </c>
      <c r="C37" s="1245"/>
      <c r="D37" s="1245"/>
      <c r="E37" s="1245"/>
      <c r="F37" s="1251"/>
      <c r="G37" s="489">
        <v>0</v>
      </c>
      <c r="H37" s="489">
        <v>0</v>
      </c>
      <c r="I37" s="508">
        <v>0</v>
      </c>
      <c r="J37" s="337">
        <v>0</v>
      </c>
    </row>
    <row r="38" spans="1:10" ht="15" x14ac:dyDescent="0.25">
      <c r="A38" s="509">
        <v>822</v>
      </c>
      <c r="B38" s="1250" t="s">
        <v>1137</v>
      </c>
      <c r="C38" s="1245"/>
      <c r="D38" s="1245"/>
      <c r="E38" s="1245"/>
      <c r="F38" s="1251"/>
      <c r="G38" s="489">
        <v>0</v>
      </c>
      <c r="H38" s="489">
        <v>0</v>
      </c>
      <c r="I38" s="508">
        <v>0</v>
      </c>
      <c r="J38" s="337">
        <v>0</v>
      </c>
    </row>
    <row r="39" spans="1:10" ht="15" x14ac:dyDescent="0.25">
      <c r="A39" s="509">
        <v>826</v>
      </c>
      <c r="B39" s="1250" t="s">
        <v>1486</v>
      </c>
      <c r="C39" s="1245"/>
      <c r="D39" s="1245"/>
      <c r="E39" s="1245"/>
      <c r="F39" s="1251"/>
      <c r="G39" s="489">
        <v>0</v>
      </c>
      <c r="H39" s="489">
        <v>0</v>
      </c>
      <c r="I39" s="508">
        <v>0</v>
      </c>
      <c r="J39" s="337">
        <v>0</v>
      </c>
    </row>
    <row r="40" spans="1:10" ht="15" x14ac:dyDescent="0.25">
      <c r="A40" s="509">
        <v>828</v>
      </c>
      <c r="B40" s="1250" t="s">
        <v>1487</v>
      </c>
      <c r="C40" s="1245"/>
      <c r="D40" s="1245"/>
      <c r="E40" s="1245"/>
      <c r="F40" s="1251"/>
      <c r="G40" s="489">
        <v>0</v>
      </c>
      <c r="H40" s="489">
        <v>0</v>
      </c>
      <c r="I40" s="508">
        <v>0</v>
      </c>
      <c r="J40" s="337">
        <v>0</v>
      </c>
    </row>
    <row r="41" spans="1:10" ht="15" x14ac:dyDescent="0.25">
      <c r="A41" s="510" t="s">
        <v>1320</v>
      </c>
      <c r="B41" s="1252" t="s">
        <v>1488</v>
      </c>
      <c r="C41" s="1252"/>
      <c r="D41" s="1252"/>
      <c r="E41" s="1252"/>
      <c r="F41" s="1252"/>
      <c r="G41" s="505">
        <v>0</v>
      </c>
      <c r="H41" s="505">
        <v>0</v>
      </c>
      <c r="I41" s="505">
        <v>0</v>
      </c>
      <c r="J41" s="507">
        <v>0</v>
      </c>
    </row>
    <row r="42" spans="1:10" ht="15" x14ac:dyDescent="0.25">
      <c r="A42" s="509">
        <v>8411</v>
      </c>
      <c r="B42" s="1250" t="s">
        <v>1489</v>
      </c>
      <c r="C42" s="1245"/>
      <c r="D42" s="1245"/>
      <c r="E42" s="1245"/>
      <c r="F42" s="1251"/>
      <c r="G42" s="489">
        <v>0</v>
      </c>
      <c r="H42" s="489">
        <v>0</v>
      </c>
      <c r="I42" s="508">
        <v>0</v>
      </c>
      <c r="J42" s="337">
        <v>0</v>
      </c>
    </row>
    <row r="43" spans="1:10" ht="15" x14ac:dyDescent="0.25">
      <c r="A43" s="509">
        <v>8421</v>
      </c>
      <c r="B43" s="1250" t="s">
        <v>1490</v>
      </c>
      <c r="C43" s="1245"/>
      <c r="D43" s="1245"/>
      <c r="E43" s="1245"/>
      <c r="F43" s="1251"/>
      <c r="G43" s="489">
        <v>0</v>
      </c>
      <c r="H43" s="489">
        <v>0</v>
      </c>
      <c r="I43" s="508">
        <v>0</v>
      </c>
      <c r="J43" s="337">
        <v>0</v>
      </c>
    </row>
    <row r="44" spans="1:10" ht="15" x14ac:dyDescent="0.25">
      <c r="A44" s="509">
        <v>8422</v>
      </c>
      <c r="B44" s="1217" t="s">
        <v>1491</v>
      </c>
      <c r="C44" s="1218"/>
      <c r="D44" s="1218"/>
      <c r="E44" s="1218"/>
      <c r="F44" s="1219"/>
      <c r="G44" s="489">
        <v>0</v>
      </c>
      <c r="H44" s="489">
        <v>0</v>
      </c>
      <c r="I44" s="508">
        <v>0</v>
      </c>
      <c r="J44" s="337">
        <v>0</v>
      </c>
    </row>
    <row r="45" spans="1:10" ht="15" x14ac:dyDescent="0.25">
      <c r="A45" s="509">
        <v>8425</v>
      </c>
      <c r="B45" s="1250" t="s">
        <v>1492</v>
      </c>
      <c r="C45" s="1245"/>
      <c r="D45" s="1245"/>
      <c r="E45" s="1245"/>
      <c r="F45" s="1251"/>
      <c r="G45" s="489">
        <v>0</v>
      </c>
      <c r="H45" s="489">
        <v>0</v>
      </c>
      <c r="I45" s="508">
        <v>0</v>
      </c>
      <c r="J45" s="337">
        <v>0</v>
      </c>
    </row>
    <row r="46" spans="1:10" ht="15" x14ac:dyDescent="0.25">
      <c r="A46" s="509">
        <v>843</v>
      </c>
      <c r="B46" s="1250" t="s">
        <v>1493</v>
      </c>
      <c r="C46" s="1245"/>
      <c r="D46" s="1245"/>
      <c r="E46" s="1245"/>
      <c r="F46" s="1251"/>
      <c r="G46" s="489">
        <v>0</v>
      </c>
      <c r="H46" s="489">
        <v>0</v>
      </c>
      <c r="I46" s="508">
        <v>0</v>
      </c>
      <c r="J46" s="337">
        <v>0</v>
      </c>
    </row>
    <row r="47" spans="1:10" ht="15" x14ac:dyDescent="0.25">
      <c r="A47" s="509">
        <v>846</v>
      </c>
      <c r="B47" s="1250" t="s">
        <v>1139</v>
      </c>
      <c r="C47" s="1245"/>
      <c r="D47" s="1245"/>
      <c r="E47" s="1245"/>
      <c r="F47" s="1251"/>
      <c r="G47" s="489">
        <v>0</v>
      </c>
      <c r="H47" s="489">
        <v>0</v>
      </c>
      <c r="I47" s="508">
        <v>0</v>
      </c>
      <c r="J47" s="337">
        <v>0</v>
      </c>
    </row>
    <row r="48" spans="1:10" ht="15" x14ac:dyDescent="0.25">
      <c r="A48" s="509">
        <v>848</v>
      </c>
      <c r="B48" s="1250" t="s">
        <v>1494</v>
      </c>
      <c r="C48" s="1245"/>
      <c r="D48" s="1245"/>
      <c r="E48" s="1245"/>
      <c r="F48" s="1251"/>
      <c r="G48" s="489">
        <v>0</v>
      </c>
      <c r="H48" s="489">
        <v>0</v>
      </c>
      <c r="I48" s="508">
        <v>0</v>
      </c>
      <c r="J48" s="337">
        <v>0</v>
      </c>
    </row>
    <row r="49" spans="1:10" ht="15" x14ac:dyDescent="0.25">
      <c r="A49" s="509">
        <v>849</v>
      </c>
      <c r="B49" s="1250" t="s">
        <v>1495</v>
      </c>
      <c r="C49" s="1245"/>
      <c r="D49" s="1245"/>
      <c r="E49" s="1245"/>
      <c r="F49" s="1251"/>
      <c r="G49" s="489">
        <v>0</v>
      </c>
      <c r="H49" s="489">
        <v>0</v>
      </c>
      <c r="I49" s="508">
        <v>0</v>
      </c>
      <c r="J49" s="337">
        <v>0</v>
      </c>
    </row>
    <row r="50" spans="1:10" ht="15" x14ac:dyDescent="0.25">
      <c r="A50" s="510" t="s">
        <v>1331</v>
      </c>
      <c r="B50" s="1252" t="s">
        <v>1496</v>
      </c>
      <c r="C50" s="1252"/>
      <c r="D50" s="1252"/>
      <c r="E50" s="1252"/>
      <c r="F50" s="1252"/>
      <c r="G50" s="505">
        <v>0</v>
      </c>
      <c r="H50" s="505">
        <v>0</v>
      </c>
      <c r="I50" s="505">
        <v>0</v>
      </c>
      <c r="J50" s="507">
        <v>0</v>
      </c>
    </row>
    <row r="51" spans="1:10" ht="15" x14ac:dyDescent="0.25">
      <c r="A51" s="509">
        <v>861</v>
      </c>
      <c r="B51" s="1250" t="s">
        <v>1497</v>
      </c>
      <c r="C51" s="1245"/>
      <c r="D51" s="1245"/>
      <c r="E51" s="1245"/>
      <c r="F51" s="1251"/>
      <c r="G51" s="489">
        <v>0</v>
      </c>
      <c r="H51" s="489">
        <v>0</v>
      </c>
      <c r="I51" s="508"/>
      <c r="J51" s="337">
        <v>0</v>
      </c>
    </row>
    <row r="52" spans="1:10" ht="15" x14ac:dyDescent="0.25">
      <c r="A52" s="509">
        <v>862</v>
      </c>
      <c r="B52" s="1250" t="s">
        <v>1498</v>
      </c>
      <c r="C52" s="1245"/>
      <c r="D52" s="1245"/>
      <c r="E52" s="1245"/>
      <c r="F52" s="1251"/>
      <c r="G52" s="489">
        <v>0</v>
      </c>
      <c r="H52" s="489">
        <v>0</v>
      </c>
      <c r="I52" s="508"/>
      <c r="J52" s="337">
        <v>0</v>
      </c>
    </row>
    <row r="53" spans="1:10" ht="15" x14ac:dyDescent="0.25">
      <c r="A53" s="509">
        <v>863</v>
      </c>
      <c r="B53" s="1250" t="s">
        <v>1499</v>
      </c>
      <c r="C53" s="1245"/>
      <c r="D53" s="1245"/>
      <c r="E53" s="1245"/>
      <c r="F53" s="1251"/>
      <c r="G53" s="489">
        <v>0</v>
      </c>
      <c r="H53" s="489">
        <v>0</v>
      </c>
      <c r="I53" s="508"/>
      <c r="J53" s="337">
        <v>0</v>
      </c>
    </row>
    <row r="54" spans="1:10" ht="15" x14ac:dyDescent="0.25">
      <c r="A54" s="509">
        <v>864</v>
      </c>
      <c r="B54" s="1250" t="s">
        <v>1500</v>
      </c>
      <c r="C54" s="1245"/>
      <c r="D54" s="1245"/>
      <c r="E54" s="1245"/>
      <c r="F54" s="1251"/>
      <c r="G54" s="489">
        <v>0</v>
      </c>
      <c r="H54" s="489">
        <v>0</v>
      </c>
      <c r="I54" s="508"/>
      <c r="J54" s="337">
        <v>0</v>
      </c>
    </row>
    <row r="55" spans="1:10" ht="15" x14ac:dyDescent="0.25">
      <c r="A55" s="509">
        <v>868</v>
      </c>
      <c r="B55" s="1250" t="s">
        <v>1501</v>
      </c>
      <c r="C55" s="1245"/>
      <c r="D55" s="1245"/>
      <c r="E55" s="1245"/>
      <c r="F55" s="1251"/>
      <c r="G55" s="489">
        <v>0</v>
      </c>
      <c r="H55" s="489">
        <v>0</v>
      </c>
      <c r="I55" s="508"/>
      <c r="J55" s="337">
        <v>0</v>
      </c>
    </row>
    <row r="56" spans="1:10" ht="15" x14ac:dyDescent="0.25">
      <c r="A56" s="510" t="s">
        <v>1357</v>
      </c>
      <c r="B56" s="1252" t="s">
        <v>1502</v>
      </c>
      <c r="C56" s="1252"/>
      <c r="D56" s="1252"/>
      <c r="E56" s="1252"/>
      <c r="F56" s="1252"/>
      <c r="G56" s="505">
        <v>0</v>
      </c>
      <c r="H56" s="505">
        <v>0</v>
      </c>
      <c r="I56" s="505">
        <v>0</v>
      </c>
      <c r="J56" s="507">
        <v>0</v>
      </c>
    </row>
    <row r="57" spans="1:10" ht="15" x14ac:dyDescent="0.25">
      <c r="A57" s="509">
        <v>881</v>
      </c>
      <c r="B57" s="1250" t="s">
        <v>1503</v>
      </c>
      <c r="C57" s="1245"/>
      <c r="D57" s="1245"/>
      <c r="E57" s="1245"/>
      <c r="F57" s="1251"/>
      <c r="G57" s="489">
        <v>0</v>
      </c>
      <c r="H57" s="489">
        <v>0</v>
      </c>
      <c r="I57" s="508"/>
      <c r="J57" s="337">
        <v>0</v>
      </c>
    </row>
    <row r="58" spans="1:10" ht="15" x14ac:dyDescent="0.25">
      <c r="A58" s="509">
        <v>884</v>
      </c>
      <c r="B58" s="1250" t="s">
        <v>1504</v>
      </c>
      <c r="C58" s="1245"/>
      <c r="D58" s="1245"/>
      <c r="E58" s="1245"/>
      <c r="F58" s="1251"/>
      <c r="G58" s="489">
        <v>0</v>
      </c>
      <c r="H58" s="489">
        <v>0</v>
      </c>
      <c r="I58" s="508"/>
      <c r="J58" s="337">
        <v>0</v>
      </c>
    </row>
    <row r="59" spans="1:10" ht="15" x14ac:dyDescent="0.25">
      <c r="A59" s="509">
        <v>888</v>
      </c>
      <c r="B59" s="1250" t="s">
        <v>1505</v>
      </c>
      <c r="C59" s="1245"/>
      <c r="D59" s="1245"/>
      <c r="E59" s="1245"/>
      <c r="F59" s="1251"/>
      <c r="G59" s="489">
        <v>0</v>
      </c>
      <c r="H59" s="489">
        <v>0</v>
      </c>
      <c r="I59" s="508"/>
      <c r="J59" s="337">
        <v>0</v>
      </c>
    </row>
    <row r="60" spans="1:10" ht="15" x14ac:dyDescent="0.25">
      <c r="A60" s="510" t="s">
        <v>1380</v>
      </c>
      <c r="B60" s="1252" t="s">
        <v>1506</v>
      </c>
      <c r="C60" s="1252"/>
      <c r="D60" s="1252"/>
      <c r="E60" s="1252"/>
      <c r="F60" s="1252"/>
      <c r="G60" s="505">
        <v>0</v>
      </c>
      <c r="H60" s="505">
        <v>0</v>
      </c>
      <c r="I60" s="505">
        <v>0</v>
      </c>
      <c r="J60" s="507">
        <v>0</v>
      </c>
    </row>
    <row r="61" spans="1:10" ht="15" customHeight="1" x14ac:dyDescent="0.25">
      <c r="A61" s="1253" t="s">
        <v>1507</v>
      </c>
      <c r="B61" s="1253"/>
      <c r="C61" s="1253"/>
      <c r="D61" s="1253"/>
      <c r="E61" s="1253"/>
      <c r="F61" s="1253"/>
      <c r="G61" s="511">
        <v>0</v>
      </c>
      <c r="H61" s="511">
        <v>0</v>
      </c>
      <c r="I61" s="505">
        <v>0</v>
      </c>
      <c r="J61" s="507">
        <v>0</v>
      </c>
    </row>
    <row r="62" spans="1:10" ht="15" x14ac:dyDescent="0.25"/>
  </sheetData>
  <mergeCells count="67">
    <mergeCell ref="C6:D6"/>
    <mergeCell ref="E6:F6"/>
    <mergeCell ref="H6:I6"/>
    <mergeCell ref="A1:J1"/>
    <mergeCell ref="C2:J2"/>
    <mergeCell ref="C3:J3"/>
    <mergeCell ref="C4:J4"/>
    <mergeCell ref="C5:J5"/>
    <mergeCell ref="C7:J7"/>
    <mergeCell ref="C8:J8"/>
    <mergeCell ref="C9:J9"/>
    <mergeCell ref="C10:E10"/>
    <mergeCell ref="F10:G10"/>
    <mergeCell ref="H10:J10"/>
    <mergeCell ref="C11:E11"/>
    <mergeCell ref="F11:G11"/>
    <mergeCell ref="H11:J11"/>
    <mergeCell ref="A13:J13"/>
    <mergeCell ref="A15:F16"/>
    <mergeCell ref="G15:G16"/>
    <mergeCell ref="H15:H16"/>
    <mergeCell ref="I15:J15"/>
    <mergeCell ref="B28:F28"/>
    <mergeCell ref="B17:F17"/>
    <mergeCell ref="B18:F18"/>
    <mergeCell ref="B19:F19"/>
    <mergeCell ref="B20:F20"/>
    <mergeCell ref="B21:F21"/>
    <mergeCell ref="B22:F22"/>
    <mergeCell ref="B23:F23"/>
    <mergeCell ref="B24:F24"/>
    <mergeCell ref="B25:F25"/>
    <mergeCell ref="B26:F26"/>
    <mergeCell ref="B27:F27"/>
    <mergeCell ref="B40:F40"/>
    <mergeCell ref="B29:F29"/>
    <mergeCell ref="B30:F30"/>
    <mergeCell ref="B31:F31"/>
    <mergeCell ref="B32:F32"/>
    <mergeCell ref="B33:F33"/>
    <mergeCell ref="B34:F34"/>
    <mergeCell ref="B35:F35"/>
    <mergeCell ref="B36:F36"/>
    <mergeCell ref="B37:F37"/>
    <mergeCell ref="B38:F38"/>
    <mergeCell ref="B39:F39"/>
    <mergeCell ref="B52:F52"/>
    <mergeCell ref="B41:F41"/>
    <mergeCell ref="B42:F42"/>
    <mergeCell ref="B43:F43"/>
    <mergeCell ref="B44:F44"/>
    <mergeCell ref="B45:F45"/>
    <mergeCell ref="B46:F46"/>
    <mergeCell ref="B47:F47"/>
    <mergeCell ref="B48:F48"/>
    <mergeCell ref="B49:F49"/>
    <mergeCell ref="B50:F50"/>
    <mergeCell ref="B51:F51"/>
    <mergeCell ref="B59:F59"/>
    <mergeCell ref="B60:F60"/>
    <mergeCell ref="A61:F61"/>
    <mergeCell ref="B53:F53"/>
    <mergeCell ref="B54:F54"/>
    <mergeCell ref="B55:F55"/>
    <mergeCell ref="B56:F56"/>
    <mergeCell ref="B57:F57"/>
    <mergeCell ref="B58:F58"/>
  </mergeCells>
  <dataValidations count="1">
    <dataValidation type="whole" allowBlank="1" showInputMessage="1" showErrorMessage="1" errorTitle="Attention!" error="Valeur numérique attendue" sqref="G17:H18 G37:H40 G51:H55 G57:H59 G20:H35 G42:H49" xr:uid="{E53626F1-A237-418B-84F0-2E9B500B484F}">
      <formula1>-9999999999999</formula1>
      <formula2>9999999999999</formula2>
    </dataValidation>
  </dataValidation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6DE75-F196-4A4B-97D9-40684AB86784}">
  <dimension ref="A1:J36"/>
  <sheetViews>
    <sheetView workbookViewId="0">
      <selection activeCell="F15" sqref="A1:XFD1048576"/>
    </sheetView>
  </sheetViews>
  <sheetFormatPr baseColWidth="10" defaultColWidth="11.42578125" defaultRowHeight="13.15" customHeight="1" x14ac:dyDescent="0.25"/>
  <cols>
    <col min="1" max="1" width="30.5703125" style="376" customWidth="1"/>
    <col min="2" max="2" width="4.5703125" style="376" customWidth="1"/>
    <col min="3" max="3" width="11.5703125" style="376" customWidth="1"/>
    <col min="4" max="4" width="7.85546875" style="376" customWidth="1"/>
    <col min="5" max="5" width="6.5703125" style="376" customWidth="1"/>
    <col min="6" max="6" width="11.42578125" style="376"/>
    <col min="7" max="7" width="15.85546875" style="376" customWidth="1"/>
    <col min="8" max="8" width="16.5703125" style="376" customWidth="1"/>
    <col min="9" max="9" width="9.7109375" style="376" customWidth="1"/>
    <col min="10" max="10" width="8.42578125" style="376" customWidth="1"/>
    <col min="11" max="11" width="8.140625" style="376" customWidth="1"/>
    <col min="12" max="12" width="10.28515625" style="376" customWidth="1"/>
    <col min="13" max="16384" width="11.42578125" style="376"/>
  </cols>
  <sheetData>
    <row r="1" spans="1:10" ht="10.5" customHeight="1" x14ac:dyDescent="0.25">
      <c r="A1" s="617"/>
      <c r="B1" s="617"/>
      <c r="C1" s="618"/>
      <c r="D1" s="618"/>
      <c r="E1" s="618"/>
      <c r="F1" s="618"/>
      <c r="G1" s="618"/>
      <c r="H1" s="618"/>
      <c r="I1" s="618"/>
      <c r="J1" s="618"/>
    </row>
    <row r="2" spans="1:10" ht="15" x14ac:dyDescent="0.25">
      <c r="A2" s="200" t="s">
        <v>363</v>
      </c>
      <c r="B2" s="200"/>
      <c r="C2" s="619">
        <v>4444444444</v>
      </c>
      <c r="D2" s="619"/>
      <c r="E2" s="619"/>
      <c r="F2" s="619"/>
      <c r="G2" s="619"/>
      <c r="H2" s="619"/>
      <c r="I2" s="619"/>
      <c r="J2" s="619"/>
    </row>
    <row r="3" spans="1:10" ht="15" customHeight="1" x14ac:dyDescent="0.25">
      <c r="A3" s="200"/>
      <c r="B3" s="200"/>
      <c r="C3" s="620">
        <v>56565665</v>
      </c>
      <c r="D3" s="620"/>
      <c r="E3" s="620"/>
      <c r="F3" s="620"/>
      <c r="G3" s="620"/>
      <c r="H3" s="620"/>
      <c r="I3" s="620"/>
      <c r="J3" s="620"/>
    </row>
    <row r="4" spans="1:10" ht="15" x14ac:dyDescent="0.25">
      <c r="A4" s="200" t="s">
        <v>364</v>
      </c>
      <c r="B4" s="200"/>
      <c r="C4" s="620" t="s">
        <v>6</v>
      </c>
      <c r="D4" s="620"/>
      <c r="E4" s="620"/>
      <c r="F4" s="620"/>
      <c r="G4" s="620"/>
      <c r="H4" s="620"/>
      <c r="I4" s="620"/>
      <c r="J4" s="620"/>
    </row>
    <row r="5" spans="1:10" ht="15" customHeight="1" x14ac:dyDescent="0.25">
      <c r="A5" s="200" t="s">
        <v>365</v>
      </c>
      <c r="B5" s="200"/>
      <c r="C5" s="621" t="s">
        <v>699</v>
      </c>
      <c r="D5" s="621"/>
      <c r="E5" s="621"/>
      <c r="F5" s="621"/>
      <c r="G5" s="621"/>
      <c r="H5" s="621"/>
      <c r="I5" s="621"/>
      <c r="J5" s="621"/>
    </row>
    <row r="6" spans="1:10" ht="15" x14ac:dyDescent="0.25">
      <c r="A6" s="200" t="s">
        <v>366</v>
      </c>
      <c r="B6" s="200"/>
      <c r="C6" s="620">
        <v>125545</v>
      </c>
      <c r="D6" s="620"/>
      <c r="E6" s="622" t="s">
        <v>367</v>
      </c>
      <c r="F6" s="622"/>
      <c r="G6" s="240">
        <v>46022</v>
      </c>
      <c r="H6" s="611" t="s">
        <v>467</v>
      </c>
      <c r="I6" s="611"/>
      <c r="J6" s="241">
        <v>12</v>
      </c>
    </row>
    <row r="7" spans="1:10" ht="15" x14ac:dyDescent="0.25">
      <c r="A7" s="198" t="s">
        <v>369</v>
      </c>
      <c r="B7" s="24"/>
      <c r="C7" s="615" t="s">
        <v>8</v>
      </c>
      <c r="D7" s="615"/>
      <c r="E7" s="615"/>
      <c r="F7" s="615"/>
      <c r="G7" s="615"/>
      <c r="H7" s="615"/>
      <c r="I7" s="615"/>
      <c r="J7" s="615"/>
    </row>
    <row r="8" spans="1:10" ht="15" x14ac:dyDescent="0.25">
      <c r="A8" s="200" t="s">
        <v>468</v>
      </c>
      <c r="B8" s="24"/>
      <c r="C8" s="616" t="s">
        <v>35</v>
      </c>
      <c r="D8" s="616"/>
      <c r="E8" s="616"/>
      <c r="F8" s="616"/>
      <c r="G8" s="616"/>
      <c r="H8" s="616"/>
      <c r="I8" s="616"/>
      <c r="J8" s="616"/>
    </row>
    <row r="9" spans="1:10" ht="15" x14ac:dyDescent="0.25">
      <c r="A9" s="200"/>
      <c r="B9" s="24"/>
      <c r="C9" s="611" t="s">
        <v>36</v>
      </c>
      <c r="D9" s="611"/>
      <c r="E9" s="611"/>
      <c r="F9" s="611"/>
      <c r="G9" s="611"/>
      <c r="H9" s="611"/>
      <c r="I9" s="611"/>
      <c r="J9" s="611"/>
    </row>
    <row r="10" spans="1:10" ht="15" x14ac:dyDescent="0.25">
      <c r="A10" s="200" t="s">
        <v>469</v>
      </c>
      <c r="B10" s="24"/>
      <c r="C10" s="611" t="s">
        <v>40</v>
      </c>
      <c r="D10" s="611"/>
      <c r="E10" s="611"/>
      <c r="F10" s="611" t="s">
        <v>470</v>
      </c>
      <c r="G10" s="611"/>
      <c r="H10" s="611" t="s">
        <v>38</v>
      </c>
      <c r="I10" s="611"/>
      <c r="J10" s="611"/>
    </row>
    <row r="11" spans="1:10" ht="15" x14ac:dyDescent="0.25">
      <c r="A11" s="200" t="s">
        <v>471</v>
      </c>
      <c r="B11" s="24"/>
      <c r="C11" s="610">
        <v>44713</v>
      </c>
      <c r="D11" s="610"/>
      <c r="E11" s="610"/>
      <c r="F11" s="611" t="s">
        <v>472</v>
      </c>
      <c r="G11" s="611"/>
      <c r="H11" s="610">
        <v>45991</v>
      </c>
      <c r="I11" s="610"/>
      <c r="J11" s="610"/>
    </row>
    <row r="12" spans="1:10" ht="15.75" thickBot="1" x14ac:dyDescent="0.3">
      <c r="A12" s="200"/>
      <c r="B12" s="200"/>
      <c r="C12" s="512"/>
      <c r="D12" s="204"/>
      <c r="E12" s="204"/>
      <c r="F12" s="204"/>
      <c r="G12" s="204"/>
      <c r="H12" s="204"/>
      <c r="I12" s="204"/>
      <c r="J12" s="204"/>
    </row>
    <row r="13" spans="1:10" ht="15.75" thickBot="1" x14ac:dyDescent="0.3">
      <c r="A13" s="1235" t="s">
        <v>1508</v>
      </c>
      <c r="B13" s="1236"/>
      <c r="C13" s="1236"/>
      <c r="D13" s="1236"/>
      <c r="E13" s="1236"/>
      <c r="F13" s="1236"/>
      <c r="G13" s="1236"/>
      <c r="H13" s="1236"/>
      <c r="I13" s="1236"/>
      <c r="J13" s="1237"/>
    </row>
    <row r="14" spans="1:10" ht="15.75" thickBot="1" x14ac:dyDescent="0.3">
      <c r="A14" s="24"/>
      <c r="B14" s="24"/>
      <c r="C14" s="1275"/>
      <c r="D14" s="1275"/>
      <c r="E14" s="1275"/>
      <c r="F14" s="1275"/>
      <c r="G14" s="1275"/>
      <c r="H14" s="1275"/>
      <c r="I14" s="1275"/>
      <c r="J14" s="24"/>
    </row>
    <row r="15" spans="1:10" ht="15.75" thickBot="1" x14ac:dyDescent="0.3">
      <c r="A15" s="1276" t="s">
        <v>1509</v>
      </c>
      <c r="B15" s="1277"/>
      <c r="C15" s="1277"/>
      <c r="D15" s="1277"/>
      <c r="E15" s="1277"/>
      <c r="F15" s="1278"/>
      <c r="G15" s="1282" t="s">
        <v>1193</v>
      </c>
      <c r="H15" s="1283"/>
      <c r="I15" s="1283"/>
      <c r="J15" s="1284"/>
    </row>
    <row r="16" spans="1:10" ht="26.25" thickBot="1" x14ac:dyDescent="0.3">
      <c r="A16" s="1279"/>
      <c r="B16" s="1280"/>
      <c r="C16" s="1280"/>
      <c r="D16" s="1280"/>
      <c r="E16" s="1280"/>
      <c r="F16" s="1281"/>
      <c r="G16" s="513" t="s">
        <v>1510</v>
      </c>
      <c r="H16" s="513" t="s">
        <v>1511</v>
      </c>
      <c r="I16" s="1285" t="s">
        <v>1512</v>
      </c>
      <c r="J16" s="1286"/>
    </row>
    <row r="17" spans="1:10" ht="15" x14ac:dyDescent="0.25">
      <c r="A17" s="1274" t="s">
        <v>1513</v>
      </c>
      <c r="B17" s="1274"/>
      <c r="C17" s="1274"/>
      <c r="D17" s="1274"/>
      <c r="E17" s="1274"/>
      <c r="F17" s="1274"/>
      <c r="G17" s="514">
        <v>0</v>
      </c>
      <c r="H17" s="514">
        <v>0</v>
      </c>
      <c r="I17" s="1266">
        <v>0</v>
      </c>
      <c r="J17" s="1266"/>
    </row>
    <row r="18" spans="1:10" ht="15" x14ac:dyDescent="0.25">
      <c r="A18" s="1269" t="s">
        <v>1514</v>
      </c>
      <c r="B18" s="1269"/>
      <c r="C18" s="1269"/>
      <c r="D18" s="1269"/>
      <c r="E18" s="1269"/>
      <c r="F18" s="1269"/>
      <c r="G18" s="514">
        <v>0</v>
      </c>
      <c r="H18" s="514">
        <v>0</v>
      </c>
      <c r="I18" s="1266">
        <v>0</v>
      </c>
      <c r="J18" s="1266"/>
    </row>
    <row r="19" spans="1:10" ht="15" x14ac:dyDescent="0.25">
      <c r="A19" s="1269" t="s">
        <v>1515</v>
      </c>
      <c r="B19" s="1269"/>
      <c r="C19" s="1269"/>
      <c r="D19" s="1269"/>
      <c r="E19" s="1269"/>
      <c r="F19" s="1269"/>
      <c r="G19" s="514">
        <v>0</v>
      </c>
      <c r="H19" s="514">
        <v>0</v>
      </c>
      <c r="I19" s="1266">
        <v>0</v>
      </c>
      <c r="J19" s="1266"/>
    </row>
    <row r="20" spans="1:10" ht="15" x14ac:dyDescent="0.25">
      <c r="A20" s="1269" t="s">
        <v>1516</v>
      </c>
      <c r="B20" s="1269"/>
      <c r="C20" s="1269"/>
      <c r="D20" s="1269"/>
      <c r="E20" s="1269"/>
      <c r="F20" s="1269"/>
      <c r="G20" s="514">
        <v>0</v>
      </c>
      <c r="H20" s="514">
        <v>0</v>
      </c>
      <c r="I20" s="1266">
        <v>0</v>
      </c>
      <c r="J20" s="1266"/>
    </row>
    <row r="21" spans="1:10" ht="15" x14ac:dyDescent="0.25">
      <c r="A21" s="1269" t="s">
        <v>1517</v>
      </c>
      <c r="B21" s="1269"/>
      <c r="C21" s="1269"/>
      <c r="D21" s="1269"/>
      <c r="E21" s="1269"/>
      <c r="F21" s="1269"/>
      <c r="G21" s="514">
        <v>0</v>
      </c>
      <c r="H21" s="514">
        <v>0</v>
      </c>
      <c r="I21" s="1266">
        <v>0</v>
      </c>
      <c r="J21" s="1266"/>
    </row>
    <row r="22" spans="1:10" ht="15" x14ac:dyDescent="0.25">
      <c r="A22" s="515"/>
      <c r="B22" s="1270" t="s">
        <v>1518</v>
      </c>
      <c r="C22" s="1271"/>
      <c r="D22" s="1271"/>
      <c r="E22" s="1271"/>
      <c r="F22" s="1271"/>
      <c r="G22" s="516">
        <v>0</v>
      </c>
      <c r="H22" s="516">
        <v>0</v>
      </c>
      <c r="I22" s="1273">
        <v>0</v>
      </c>
      <c r="J22" s="1273"/>
    </row>
    <row r="23" spans="1:10" ht="15.75" customHeight="1" x14ac:dyDescent="0.25">
      <c r="A23" s="515"/>
      <c r="B23" s="1270" t="s">
        <v>1519</v>
      </c>
      <c r="C23" s="1271"/>
      <c r="D23" s="1271"/>
      <c r="E23" s="1271"/>
      <c r="F23" s="1271"/>
      <c r="G23" s="517"/>
      <c r="H23" s="517"/>
      <c r="I23" s="1272"/>
      <c r="J23" s="1272"/>
    </row>
    <row r="24" spans="1:10" ht="15" x14ac:dyDescent="0.25">
      <c r="A24" s="1269" t="s">
        <v>1520</v>
      </c>
      <c r="B24" s="1269"/>
      <c r="C24" s="1269"/>
      <c r="D24" s="1269"/>
      <c r="E24" s="1269"/>
      <c r="F24" s="1269"/>
      <c r="G24" s="514">
        <v>0</v>
      </c>
      <c r="H24" s="514">
        <v>0</v>
      </c>
      <c r="I24" s="1266">
        <v>0</v>
      </c>
      <c r="J24" s="1266"/>
    </row>
    <row r="25" spans="1:10" ht="15" x14ac:dyDescent="0.25">
      <c r="A25" s="1269" t="s">
        <v>1521</v>
      </c>
      <c r="B25" s="1269"/>
      <c r="C25" s="1269"/>
      <c r="D25" s="1269"/>
      <c r="E25" s="1269"/>
      <c r="F25" s="1269"/>
      <c r="G25" s="514">
        <v>0</v>
      </c>
      <c r="H25" s="514">
        <v>0</v>
      </c>
      <c r="I25" s="1266">
        <v>0</v>
      </c>
      <c r="J25" s="1266"/>
    </row>
    <row r="26" spans="1:10" ht="15" x14ac:dyDescent="0.25">
      <c r="A26" s="1269" t="s">
        <v>1522</v>
      </c>
      <c r="B26" s="1269"/>
      <c r="C26" s="1269"/>
      <c r="D26" s="1269"/>
      <c r="E26" s="1269"/>
      <c r="F26" s="1269"/>
      <c r="G26" s="514">
        <v>0</v>
      </c>
      <c r="H26" s="514">
        <v>0</v>
      </c>
      <c r="I26" s="1266">
        <v>0</v>
      </c>
      <c r="J26" s="1266"/>
    </row>
    <row r="27" spans="1:10" ht="15" x14ac:dyDescent="0.25">
      <c r="A27" s="1269" t="s">
        <v>1523</v>
      </c>
      <c r="B27" s="1269"/>
      <c r="C27" s="1269"/>
      <c r="D27" s="1269"/>
      <c r="E27" s="1269"/>
      <c r="F27" s="1269"/>
      <c r="G27" s="514">
        <v>0</v>
      </c>
      <c r="H27" s="514">
        <v>0</v>
      </c>
      <c r="I27" s="1266">
        <v>0</v>
      </c>
      <c r="J27" s="1266"/>
    </row>
    <row r="28" spans="1:10" ht="15" x14ac:dyDescent="0.25">
      <c r="A28" s="1269" t="s">
        <v>1524</v>
      </c>
      <c r="B28" s="1269"/>
      <c r="C28" s="1269"/>
      <c r="D28" s="1269"/>
      <c r="E28" s="1269"/>
      <c r="F28" s="1269"/>
      <c r="G28" s="514">
        <v>0</v>
      </c>
      <c r="H28" s="514">
        <v>0</v>
      </c>
      <c r="I28" s="1266">
        <v>0</v>
      </c>
      <c r="J28" s="1266"/>
    </row>
    <row r="29" spans="1:10" ht="15" x14ac:dyDescent="0.25">
      <c r="A29" s="1265" t="s">
        <v>1525</v>
      </c>
      <c r="B29" s="1265"/>
      <c r="C29" s="1265"/>
      <c r="D29" s="1265"/>
      <c r="E29" s="1265"/>
      <c r="F29" s="1265"/>
      <c r="G29" s="514">
        <v>0</v>
      </c>
      <c r="H29" s="514">
        <v>0</v>
      </c>
      <c r="I29" s="1266">
        <v>0</v>
      </c>
      <c r="J29" s="1266"/>
    </row>
    <row r="30" spans="1:10" ht="15" x14ac:dyDescent="0.25">
      <c r="A30" s="518"/>
      <c r="B30" s="1261" t="s">
        <v>1526</v>
      </c>
      <c r="C30" s="1262"/>
      <c r="D30" s="1262"/>
      <c r="E30" s="1262"/>
      <c r="F30" s="1262"/>
      <c r="G30" s="519">
        <v>0</v>
      </c>
      <c r="H30" s="519">
        <v>0</v>
      </c>
      <c r="I30" s="1267">
        <v>0</v>
      </c>
      <c r="J30" s="1268"/>
    </row>
    <row r="31" spans="1:10" ht="15" x14ac:dyDescent="0.25">
      <c r="A31" s="518"/>
      <c r="B31" s="1261" t="s">
        <v>1527</v>
      </c>
      <c r="C31" s="1262"/>
      <c r="D31" s="1262"/>
      <c r="E31" s="1262"/>
      <c r="F31" s="1262"/>
      <c r="G31" s="520"/>
      <c r="H31" s="520"/>
      <c r="I31" s="1263"/>
      <c r="J31" s="1264"/>
    </row>
    <row r="32" spans="1:10" ht="15" x14ac:dyDescent="0.25">
      <c r="A32" s="518"/>
      <c r="B32" s="1261" t="s">
        <v>1528</v>
      </c>
      <c r="C32" s="1262"/>
      <c r="D32" s="1262"/>
      <c r="E32" s="1262"/>
      <c r="F32" s="1262"/>
      <c r="G32" s="520"/>
      <c r="H32" s="520"/>
      <c r="I32" s="1263"/>
      <c r="J32" s="1264"/>
    </row>
    <row r="33" spans="1:10" ht="15" x14ac:dyDescent="0.25">
      <c r="A33" s="1265" t="s">
        <v>1529</v>
      </c>
      <c r="B33" s="1265"/>
      <c r="C33" s="1265"/>
      <c r="D33" s="1265"/>
      <c r="E33" s="1265"/>
      <c r="F33" s="1265"/>
      <c r="G33" s="514">
        <v>0</v>
      </c>
      <c r="H33" s="514">
        <v>0</v>
      </c>
      <c r="I33" s="1266">
        <v>0</v>
      </c>
      <c r="J33" s="1266"/>
    </row>
    <row r="34" spans="1:10" ht="15" x14ac:dyDescent="0.25">
      <c r="A34" s="1265" t="s">
        <v>1530</v>
      </c>
      <c r="B34" s="1265"/>
      <c r="C34" s="1265"/>
      <c r="D34" s="1265"/>
      <c r="E34" s="1265"/>
      <c r="F34" s="1265"/>
      <c r="G34" s="514">
        <v>0</v>
      </c>
      <c r="H34" s="514">
        <v>0</v>
      </c>
      <c r="I34" s="1266">
        <v>0</v>
      </c>
      <c r="J34" s="1266"/>
    </row>
    <row r="35" spans="1:10" ht="15" x14ac:dyDescent="0.25">
      <c r="A35" s="521"/>
      <c r="B35" s="1254" t="s">
        <v>1531</v>
      </c>
      <c r="C35" s="1255"/>
      <c r="D35" s="1255"/>
      <c r="E35" s="1255"/>
      <c r="F35" s="1255"/>
      <c r="G35" s="522"/>
      <c r="H35" s="522"/>
      <c r="I35" s="1256"/>
      <c r="J35" s="1257"/>
    </row>
    <row r="36" spans="1:10" ht="13.15" customHeight="1" x14ac:dyDescent="0.25">
      <c r="A36" s="523"/>
      <c r="B36" s="1258" t="s">
        <v>1532</v>
      </c>
      <c r="C36" s="1259"/>
      <c r="D36" s="1259"/>
      <c r="E36" s="1259"/>
      <c r="F36" s="1259"/>
      <c r="G36" s="524"/>
      <c r="H36" s="524"/>
      <c r="I36" s="1260"/>
      <c r="J36" s="1260"/>
    </row>
  </sheetData>
  <mergeCells count="62">
    <mergeCell ref="C6:D6"/>
    <mergeCell ref="E6:F6"/>
    <mergeCell ref="H6:I6"/>
    <mergeCell ref="A1:J1"/>
    <mergeCell ref="C2:J2"/>
    <mergeCell ref="C3:J3"/>
    <mergeCell ref="C4:J4"/>
    <mergeCell ref="C5:J5"/>
    <mergeCell ref="A15:F16"/>
    <mergeCell ref="G15:J15"/>
    <mergeCell ref="I16:J16"/>
    <mergeCell ref="C7:J7"/>
    <mergeCell ref="C8:J8"/>
    <mergeCell ref="C9:J9"/>
    <mergeCell ref="C10:E10"/>
    <mergeCell ref="F10:G10"/>
    <mergeCell ref="H10:J10"/>
    <mergeCell ref="C11:E11"/>
    <mergeCell ref="F11:G11"/>
    <mergeCell ref="H11:J11"/>
    <mergeCell ref="A13:J13"/>
    <mergeCell ref="C14:I14"/>
    <mergeCell ref="A17:F17"/>
    <mergeCell ref="I17:J17"/>
    <mergeCell ref="A18:F18"/>
    <mergeCell ref="I18:J18"/>
    <mergeCell ref="A19:F19"/>
    <mergeCell ref="I19:J19"/>
    <mergeCell ref="A20:F20"/>
    <mergeCell ref="I20:J20"/>
    <mergeCell ref="A21:F21"/>
    <mergeCell ref="I21:J21"/>
    <mergeCell ref="B22:F22"/>
    <mergeCell ref="I22:J22"/>
    <mergeCell ref="B23:F23"/>
    <mergeCell ref="I23:J23"/>
    <mergeCell ref="A24:F24"/>
    <mergeCell ref="I24:J24"/>
    <mergeCell ref="A25:F25"/>
    <mergeCell ref="I25:J25"/>
    <mergeCell ref="A26:F26"/>
    <mergeCell ref="I26:J26"/>
    <mergeCell ref="A27:F27"/>
    <mergeCell ref="I27:J27"/>
    <mergeCell ref="A28:F28"/>
    <mergeCell ref="I28:J28"/>
    <mergeCell ref="A29:F29"/>
    <mergeCell ref="I29:J29"/>
    <mergeCell ref="B30:F30"/>
    <mergeCell ref="I30:J30"/>
    <mergeCell ref="B31:F31"/>
    <mergeCell ref="I31:J31"/>
    <mergeCell ref="B35:F35"/>
    <mergeCell ref="I35:J35"/>
    <mergeCell ref="B36:F36"/>
    <mergeCell ref="I36:J36"/>
    <mergeCell ref="B32:F32"/>
    <mergeCell ref="I32:J32"/>
    <mergeCell ref="A33:F33"/>
    <mergeCell ref="I33:J33"/>
    <mergeCell ref="A34:F34"/>
    <mergeCell ref="I34:J34"/>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60F03-9508-456C-AAC1-04D2B400476E}">
  <dimension ref="A1:N50"/>
  <sheetViews>
    <sheetView workbookViewId="0">
      <selection sqref="A1:XFD1048576"/>
    </sheetView>
  </sheetViews>
  <sheetFormatPr baseColWidth="10" defaultColWidth="11.42578125" defaultRowHeight="13.9" customHeight="1" x14ac:dyDescent="0.25"/>
  <cols>
    <col min="1" max="1" width="21.140625" style="376" customWidth="1"/>
    <col min="2" max="2" width="10.42578125" style="376" customWidth="1"/>
    <col min="3" max="3" width="4.85546875" style="376" customWidth="1"/>
    <col min="4" max="4" width="8.5703125" style="376" customWidth="1"/>
    <col min="5" max="5" width="4.140625" style="376" customWidth="1"/>
    <col min="6" max="6" width="9.42578125" style="376" customWidth="1"/>
    <col min="7" max="7" width="4.140625" style="376" customWidth="1"/>
    <col min="8" max="8" width="0.5703125" style="376" customWidth="1"/>
    <col min="9" max="9" width="26" style="376" customWidth="1"/>
    <col min="10" max="10" width="8.5703125" style="376" customWidth="1"/>
    <col min="11" max="11" width="7.42578125" style="376" customWidth="1"/>
    <col min="12" max="12" width="10.28515625" style="376" customWidth="1"/>
    <col min="13" max="13" width="8" style="376" customWidth="1"/>
    <col min="14" max="14" width="10.28515625" style="376" customWidth="1"/>
    <col min="15" max="15" width="11.42578125" style="376"/>
    <col min="16" max="16" width="7.7109375" style="376" customWidth="1"/>
    <col min="17" max="16384" width="11.42578125" style="376"/>
  </cols>
  <sheetData>
    <row r="1" spans="1:14" ht="10.5" customHeight="1" x14ac:dyDescent="0.25">
      <c r="A1" s="617"/>
      <c r="B1" s="617"/>
      <c r="C1" s="618"/>
      <c r="D1" s="618"/>
      <c r="E1" s="618"/>
      <c r="F1" s="618"/>
      <c r="G1" s="618"/>
      <c r="H1" s="618"/>
      <c r="I1" s="618"/>
      <c r="J1" s="618"/>
    </row>
    <row r="2" spans="1:14" ht="15" customHeight="1" x14ac:dyDescent="0.25">
      <c r="A2" s="200" t="s">
        <v>363</v>
      </c>
      <c r="B2" s="200"/>
      <c r="C2" s="1371">
        <v>4444444444</v>
      </c>
      <c r="D2" s="1371"/>
      <c r="E2" s="1371"/>
      <c r="F2" s="1371"/>
      <c r="G2" s="1371"/>
      <c r="H2" s="1371"/>
      <c r="I2" s="1371"/>
      <c r="J2" s="1371"/>
      <c r="K2" s="1371"/>
      <c r="L2" s="1371"/>
      <c r="M2" s="1371"/>
      <c r="N2" s="1371"/>
    </row>
    <row r="3" spans="1:14" ht="15" customHeight="1" x14ac:dyDescent="0.25">
      <c r="A3" s="200"/>
      <c r="B3" s="200"/>
      <c r="C3" s="1372">
        <v>56565665</v>
      </c>
      <c r="D3" s="1372"/>
      <c r="E3" s="1372"/>
      <c r="F3" s="1372"/>
      <c r="G3" s="1372"/>
      <c r="H3" s="1372"/>
      <c r="I3" s="1372"/>
      <c r="J3" s="1372"/>
      <c r="K3" s="1372"/>
      <c r="L3" s="1372"/>
      <c r="M3" s="1372"/>
      <c r="N3" s="1372"/>
    </row>
    <row r="4" spans="1:14" ht="15" customHeight="1" x14ac:dyDescent="0.25">
      <c r="A4" s="200" t="s">
        <v>364</v>
      </c>
      <c r="B4" s="200"/>
      <c r="C4" s="1372">
        <v>56565665</v>
      </c>
      <c r="D4" s="1372"/>
      <c r="E4" s="1372"/>
      <c r="F4" s="1372"/>
      <c r="G4" s="1372"/>
      <c r="H4" s="1372"/>
      <c r="I4" s="1372"/>
      <c r="J4" s="1372"/>
      <c r="K4" s="1372"/>
      <c r="L4" s="1372"/>
      <c r="M4" s="1372"/>
      <c r="N4" s="1372"/>
    </row>
    <row r="5" spans="1:14" ht="15" customHeight="1" x14ac:dyDescent="0.25">
      <c r="A5" s="200" t="s">
        <v>365</v>
      </c>
      <c r="B5" s="200"/>
      <c r="C5" s="621" t="s">
        <v>699</v>
      </c>
      <c r="D5" s="621"/>
      <c r="E5" s="621"/>
      <c r="F5" s="621"/>
      <c r="G5" s="621"/>
      <c r="H5" s="621"/>
      <c r="I5" s="621"/>
      <c r="J5" s="621"/>
      <c r="K5" s="621"/>
      <c r="L5" s="621"/>
      <c r="M5" s="621"/>
      <c r="N5" s="621"/>
    </row>
    <row r="6" spans="1:14" ht="15" customHeight="1" x14ac:dyDescent="0.25">
      <c r="A6" s="200" t="s">
        <v>366</v>
      </c>
      <c r="B6" s="200"/>
      <c r="C6" s="620">
        <v>125545</v>
      </c>
      <c r="D6" s="620"/>
      <c r="E6" s="620"/>
      <c r="F6" s="620"/>
      <c r="G6" s="244"/>
      <c r="H6" s="611" t="s">
        <v>367</v>
      </c>
      <c r="I6" s="611"/>
      <c r="J6" s="858">
        <v>46022</v>
      </c>
      <c r="K6" s="619"/>
      <c r="L6" s="1373" t="s">
        <v>467</v>
      </c>
      <c r="M6" s="1373"/>
      <c r="N6" s="525">
        <v>12</v>
      </c>
    </row>
    <row r="7" spans="1:14" ht="15" customHeight="1" x14ac:dyDescent="0.25">
      <c r="A7" s="200" t="s">
        <v>369</v>
      </c>
      <c r="B7" s="200"/>
      <c r="C7" s="615" t="s">
        <v>8</v>
      </c>
      <c r="D7" s="615"/>
      <c r="E7" s="615"/>
      <c r="F7" s="615"/>
      <c r="G7" s="615"/>
      <c r="H7" s="615"/>
      <c r="I7" s="615"/>
      <c r="J7" s="615"/>
      <c r="K7" s="615"/>
      <c r="L7" s="615"/>
      <c r="M7" s="615"/>
      <c r="N7" s="615"/>
    </row>
    <row r="8" spans="1:14" ht="15" customHeight="1" x14ac:dyDescent="0.25">
      <c r="A8" s="200" t="s">
        <v>468</v>
      </c>
      <c r="B8" s="200"/>
      <c r="C8" s="616" t="s">
        <v>35</v>
      </c>
      <c r="D8" s="616"/>
      <c r="E8" s="616"/>
      <c r="F8" s="616"/>
      <c r="G8" s="616"/>
      <c r="H8" s="616"/>
      <c r="I8" s="616"/>
      <c r="J8" s="616"/>
      <c r="K8" s="616"/>
      <c r="L8" s="616"/>
      <c r="M8" s="616"/>
      <c r="N8" s="616"/>
    </row>
    <row r="9" spans="1:14" ht="15" customHeight="1" x14ac:dyDescent="0.25">
      <c r="A9" s="198"/>
      <c r="B9" s="200"/>
      <c r="C9" s="611" t="s">
        <v>36</v>
      </c>
      <c r="D9" s="611"/>
      <c r="E9" s="611"/>
      <c r="F9" s="611"/>
      <c r="G9" s="611"/>
      <c r="H9" s="611"/>
      <c r="I9" s="611"/>
      <c r="J9" s="611"/>
      <c r="K9" s="611"/>
      <c r="L9" s="611"/>
      <c r="M9" s="611"/>
      <c r="N9" s="611"/>
    </row>
    <row r="10" spans="1:14" ht="15" customHeight="1" x14ac:dyDescent="0.25">
      <c r="A10" s="200" t="s">
        <v>469</v>
      </c>
      <c r="B10" s="200"/>
      <c r="C10" s="611" t="s">
        <v>40</v>
      </c>
      <c r="D10" s="611"/>
      <c r="E10" s="611"/>
      <c r="F10" s="611"/>
      <c r="G10" s="611"/>
      <c r="H10" s="204"/>
      <c r="I10" s="611" t="s">
        <v>470</v>
      </c>
      <c r="J10" s="611"/>
      <c r="K10" s="611"/>
      <c r="L10" s="611" t="s">
        <v>38</v>
      </c>
      <c r="M10" s="611"/>
      <c r="N10" s="611"/>
    </row>
    <row r="11" spans="1:14" ht="15" customHeight="1" x14ac:dyDescent="0.25">
      <c r="A11" s="200" t="s">
        <v>471</v>
      </c>
      <c r="B11" s="200"/>
      <c r="C11" s="610">
        <v>44713</v>
      </c>
      <c r="D11" s="610"/>
      <c r="E11" s="610"/>
      <c r="F11" s="610"/>
      <c r="G11" s="610"/>
      <c r="H11" s="204"/>
      <c r="I11" s="611" t="s">
        <v>472</v>
      </c>
      <c r="J11" s="611"/>
      <c r="K11" s="611"/>
      <c r="L11" s="610">
        <v>45991</v>
      </c>
      <c r="M11" s="610"/>
      <c r="N11" s="610"/>
    </row>
    <row r="12" spans="1:14" ht="8.4499999999999993" customHeight="1" thickBot="1" x14ac:dyDescent="0.3">
      <c r="A12" s="24"/>
      <c r="B12" s="24"/>
      <c r="C12" s="24"/>
      <c r="D12" s="24"/>
      <c r="E12" s="24"/>
      <c r="F12" s="24"/>
      <c r="G12" s="24"/>
      <c r="H12" s="24"/>
      <c r="I12" s="24"/>
      <c r="J12" s="24"/>
      <c r="K12" s="252"/>
      <c r="L12" s="252"/>
      <c r="M12" s="252"/>
      <c r="N12" s="252"/>
    </row>
    <row r="13" spans="1:14" ht="15.75" thickBot="1" x14ac:dyDescent="0.3">
      <c r="A13" s="1362" t="s">
        <v>1533</v>
      </c>
      <c r="B13" s="1363"/>
      <c r="C13" s="1363"/>
      <c r="D13" s="1363"/>
      <c r="E13" s="1363"/>
      <c r="F13" s="1363"/>
      <c r="G13" s="1363"/>
      <c r="H13" s="1363"/>
      <c r="I13" s="1363"/>
      <c r="J13" s="1363"/>
      <c r="K13" s="1363"/>
      <c r="L13" s="1363"/>
      <c r="M13" s="1363"/>
      <c r="N13" s="1364"/>
    </row>
    <row r="14" spans="1:14" ht="6" customHeight="1" thickBot="1" x14ac:dyDescent="0.3">
      <c r="A14" s="28"/>
      <c r="B14" s="28"/>
      <c r="C14" s="1365"/>
      <c r="D14" s="1365"/>
      <c r="E14" s="1365"/>
      <c r="F14" s="1365"/>
      <c r="G14" s="1365"/>
      <c r="H14" s="1365"/>
      <c r="I14" s="1365"/>
      <c r="J14" s="28"/>
      <c r="K14" s="28"/>
      <c r="L14" s="28"/>
      <c r="M14" s="28"/>
      <c r="N14" s="28"/>
    </row>
    <row r="15" spans="1:14" ht="15" x14ac:dyDescent="0.25">
      <c r="A15" s="1366" t="s">
        <v>1534</v>
      </c>
      <c r="B15" s="1367"/>
      <c r="C15" s="1367"/>
      <c r="D15" s="1367"/>
      <c r="E15" s="1367"/>
      <c r="F15" s="1367"/>
      <c r="G15" s="1368"/>
      <c r="H15" s="526"/>
      <c r="I15" s="1366" t="s">
        <v>1535</v>
      </c>
      <c r="J15" s="1369"/>
      <c r="K15" s="1369"/>
      <c r="L15" s="1369"/>
      <c r="M15" s="1369"/>
      <c r="N15" s="1370"/>
    </row>
    <row r="16" spans="1:14" ht="15" x14ac:dyDescent="0.25">
      <c r="A16" s="1352" t="s">
        <v>1536</v>
      </c>
      <c r="B16" s="1353"/>
      <c r="C16" s="1353"/>
      <c r="D16" s="1353" t="s">
        <v>1537</v>
      </c>
      <c r="E16" s="1353"/>
      <c r="F16" s="1353" t="s">
        <v>1538</v>
      </c>
      <c r="G16" s="1358"/>
      <c r="H16" s="526"/>
      <c r="I16" s="1361" t="s">
        <v>1539</v>
      </c>
      <c r="J16" s="1348" t="s">
        <v>1540</v>
      </c>
      <c r="K16" s="1348" t="s">
        <v>1541</v>
      </c>
      <c r="L16" s="1348"/>
      <c r="M16" s="1348" t="s">
        <v>1542</v>
      </c>
      <c r="N16" s="1349"/>
    </row>
    <row r="17" spans="1:14" ht="15" x14ac:dyDescent="0.25">
      <c r="A17" s="1354"/>
      <c r="B17" s="1355"/>
      <c r="C17" s="1355"/>
      <c r="D17" s="1355"/>
      <c r="E17" s="1355"/>
      <c r="F17" s="1355"/>
      <c r="G17" s="1359"/>
      <c r="H17" s="526"/>
      <c r="I17" s="1361"/>
      <c r="J17" s="1348"/>
      <c r="K17" s="1348"/>
      <c r="L17" s="1348"/>
      <c r="M17" s="1348"/>
      <c r="N17" s="1349"/>
    </row>
    <row r="18" spans="1:14" ht="15" x14ac:dyDescent="0.25">
      <c r="A18" s="1354"/>
      <c r="B18" s="1355"/>
      <c r="C18" s="1355"/>
      <c r="D18" s="1355"/>
      <c r="E18" s="1355"/>
      <c r="F18" s="1355"/>
      <c r="G18" s="1359"/>
      <c r="H18" s="526"/>
      <c r="I18" s="1361"/>
      <c r="J18" s="1348"/>
      <c r="K18" s="1348"/>
      <c r="L18" s="1348"/>
      <c r="M18" s="1348"/>
      <c r="N18" s="1349"/>
    </row>
    <row r="19" spans="1:14" ht="15" x14ac:dyDescent="0.25">
      <c r="A19" s="1356"/>
      <c r="B19" s="1357"/>
      <c r="C19" s="1357"/>
      <c r="D19" s="1357"/>
      <c r="E19" s="1357"/>
      <c r="F19" s="1357"/>
      <c r="G19" s="1360"/>
      <c r="H19" s="526"/>
      <c r="I19" s="1361"/>
      <c r="J19" s="1348"/>
      <c r="K19" s="527" t="s">
        <v>1543</v>
      </c>
      <c r="L19" s="527" t="s">
        <v>1544</v>
      </c>
      <c r="M19" s="527" t="s">
        <v>1543</v>
      </c>
      <c r="N19" s="528" t="s">
        <v>1544</v>
      </c>
    </row>
    <row r="20" spans="1:14" ht="15" x14ac:dyDescent="0.25">
      <c r="A20" s="529"/>
      <c r="B20" s="526"/>
      <c r="C20" s="526"/>
      <c r="D20" s="1350"/>
      <c r="E20" s="1350"/>
      <c r="F20" s="1350"/>
      <c r="G20" s="1351"/>
      <c r="H20" s="526"/>
      <c r="I20" s="530"/>
      <c r="J20" s="531"/>
      <c r="K20" s="532"/>
      <c r="L20" s="532"/>
      <c r="M20" s="532"/>
      <c r="N20" s="533"/>
    </row>
    <row r="21" spans="1:14" ht="15" x14ac:dyDescent="0.25">
      <c r="A21" s="1340" t="s">
        <v>1545</v>
      </c>
      <c r="B21" s="1341"/>
      <c r="C21" s="1341"/>
      <c r="D21" s="1342"/>
      <c r="E21" s="1342"/>
      <c r="F21" s="1342"/>
      <c r="G21" s="1343"/>
      <c r="H21" s="526"/>
      <c r="I21" s="530"/>
      <c r="J21" s="531"/>
      <c r="K21" s="532"/>
      <c r="L21" s="532"/>
      <c r="M21" s="532"/>
      <c r="N21" s="533"/>
    </row>
    <row r="22" spans="1:14" ht="15" x14ac:dyDescent="0.25">
      <c r="A22" s="529"/>
      <c r="B22" s="526"/>
      <c r="C22" s="526"/>
      <c r="D22" s="1342"/>
      <c r="E22" s="1342"/>
      <c r="F22" s="1342"/>
      <c r="G22" s="1343"/>
      <c r="H22" s="526"/>
      <c r="I22" s="530"/>
      <c r="J22" s="531"/>
      <c r="K22" s="532"/>
      <c r="L22" s="532"/>
      <c r="M22" s="532"/>
      <c r="N22" s="533"/>
    </row>
    <row r="23" spans="1:14" ht="15" x14ac:dyDescent="0.25">
      <c r="A23" s="534"/>
      <c r="B23" s="535"/>
      <c r="C23" s="535"/>
      <c r="D23" s="1342"/>
      <c r="E23" s="1342"/>
      <c r="F23" s="1342"/>
      <c r="G23" s="1343"/>
      <c r="H23" s="526"/>
      <c r="I23" s="530"/>
      <c r="J23" s="531"/>
      <c r="K23" s="532"/>
      <c r="L23" s="532"/>
      <c r="M23" s="532"/>
      <c r="N23" s="533"/>
    </row>
    <row r="24" spans="1:14" ht="15" x14ac:dyDescent="0.25">
      <c r="A24" s="1313" t="s">
        <v>1546</v>
      </c>
      <c r="B24" s="1314"/>
      <c r="C24" s="1314"/>
      <c r="D24" s="1342"/>
      <c r="E24" s="1342"/>
      <c r="F24" s="1342"/>
      <c r="G24" s="1343"/>
      <c r="H24" s="526"/>
      <c r="I24" s="530"/>
      <c r="J24" s="531"/>
      <c r="K24" s="532"/>
      <c r="L24" s="532"/>
      <c r="M24" s="532"/>
      <c r="N24" s="533"/>
    </row>
    <row r="25" spans="1:14" ht="21" x14ac:dyDescent="0.25">
      <c r="A25" s="536" t="s">
        <v>1547</v>
      </c>
      <c r="B25" s="537"/>
      <c r="C25" s="537"/>
      <c r="D25" s="1342"/>
      <c r="E25" s="1342"/>
      <c r="F25" s="1342"/>
      <c r="G25" s="1343"/>
      <c r="H25" s="526"/>
      <c r="I25" s="530"/>
      <c r="J25" s="531"/>
      <c r="K25" s="532"/>
      <c r="L25" s="532"/>
      <c r="M25" s="532"/>
      <c r="N25" s="533"/>
    </row>
    <row r="26" spans="1:14" ht="15" x14ac:dyDescent="0.25">
      <c r="A26" s="1346" t="s">
        <v>1548</v>
      </c>
      <c r="B26" s="1347"/>
      <c r="C26" s="1347"/>
      <c r="D26" s="1303"/>
      <c r="E26" s="1303"/>
      <c r="F26" s="1303"/>
      <c r="G26" s="1304"/>
      <c r="H26" s="526"/>
      <c r="I26" s="530"/>
      <c r="J26" s="531"/>
      <c r="K26" s="532"/>
      <c r="L26" s="532"/>
      <c r="M26" s="532"/>
      <c r="N26" s="533"/>
    </row>
    <row r="27" spans="1:14" ht="15" x14ac:dyDescent="0.25">
      <c r="A27" s="529"/>
      <c r="B27" s="526"/>
      <c r="C27" s="526"/>
      <c r="D27" s="1342"/>
      <c r="E27" s="1342"/>
      <c r="F27" s="1342"/>
      <c r="G27" s="1343"/>
      <c r="H27" s="526"/>
      <c r="I27" s="530"/>
      <c r="J27" s="531"/>
      <c r="K27" s="532"/>
      <c r="L27" s="532"/>
      <c r="M27" s="532"/>
      <c r="N27" s="533"/>
    </row>
    <row r="28" spans="1:14" ht="15" x14ac:dyDescent="0.25">
      <c r="A28" s="1340" t="s">
        <v>1549</v>
      </c>
      <c r="B28" s="1341"/>
      <c r="C28" s="1341"/>
      <c r="D28" s="1342"/>
      <c r="E28" s="1342"/>
      <c r="F28" s="1342"/>
      <c r="G28" s="1343"/>
      <c r="H28" s="526"/>
      <c r="I28" s="530"/>
      <c r="J28" s="531"/>
      <c r="K28" s="532"/>
      <c r="L28" s="532"/>
      <c r="M28" s="532"/>
      <c r="N28" s="533"/>
    </row>
    <row r="29" spans="1:14" ht="15" x14ac:dyDescent="0.25">
      <c r="A29" s="1344"/>
      <c r="B29" s="1345"/>
      <c r="C29" s="1345"/>
      <c r="D29" s="1342"/>
      <c r="E29" s="1342"/>
      <c r="F29" s="1342"/>
      <c r="G29" s="1343"/>
      <c r="H29" s="526"/>
      <c r="I29" s="530"/>
      <c r="J29" s="531"/>
      <c r="K29" s="532"/>
      <c r="L29" s="532"/>
      <c r="M29" s="532"/>
      <c r="N29" s="533"/>
    </row>
    <row r="30" spans="1:14" ht="15" x14ac:dyDescent="0.25">
      <c r="A30" s="1330"/>
      <c r="B30" s="1331"/>
      <c r="C30" s="1331"/>
      <c r="D30" s="1303"/>
      <c r="E30" s="1303"/>
      <c r="F30" s="1303"/>
      <c r="G30" s="1304"/>
      <c r="H30" s="526"/>
      <c r="I30" s="530"/>
      <c r="J30" s="531"/>
      <c r="K30" s="532"/>
      <c r="L30" s="532"/>
      <c r="M30" s="532"/>
      <c r="N30" s="533"/>
    </row>
    <row r="31" spans="1:14" ht="15" x14ac:dyDescent="0.25">
      <c r="A31" s="1330"/>
      <c r="B31" s="1331"/>
      <c r="C31" s="1331"/>
      <c r="D31" s="1303"/>
      <c r="E31" s="1303"/>
      <c r="F31" s="1303"/>
      <c r="G31" s="1304"/>
      <c r="H31" s="526"/>
      <c r="I31" s="530"/>
      <c r="J31" s="531"/>
      <c r="K31" s="532"/>
      <c r="L31" s="532"/>
      <c r="M31" s="532"/>
      <c r="N31" s="533"/>
    </row>
    <row r="32" spans="1:14" ht="15" x14ac:dyDescent="0.25">
      <c r="A32" s="1330"/>
      <c r="B32" s="1331"/>
      <c r="C32" s="1331"/>
      <c r="D32" s="1303"/>
      <c r="E32" s="1303"/>
      <c r="F32" s="1303"/>
      <c r="G32" s="1304"/>
      <c r="H32" s="526"/>
      <c r="I32" s="530"/>
      <c r="J32" s="531"/>
      <c r="K32" s="532"/>
      <c r="L32" s="532"/>
      <c r="M32" s="532"/>
      <c r="N32" s="533"/>
    </row>
    <row r="33" spans="1:14" ht="15" x14ac:dyDescent="0.25">
      <c r="A33" s="1330"/>
      <c r="B33" s="1331"/>
      <c r="C33" s="1331"/>
      <c r="D33" s="1303"/>
      <c r="E33" s="1303"/>
      <c r="F33" s="1303"/>
      <c r="G33" s="1304"/>
      <c r="H33" s="526"/>
      <c r="I33" s="530"/>
      <c r="J33" s="531"/>
      <c r="K33" s="532"/>
      <c r="L33" s="532"/>
      <c r="M33" s="532"/>
      <c r="N33" s="533"/>
    </row>
    <row r="34" spans="1:14" ht="15" x14ac:dyDescent="0.25">
      <c r="A34" s="1330"/>
      <c r="B34" s="1331"/>
      <c r="C34" s="1331"/>
      <c r="D34" s="1303"/>
      <c r="E34" s="1303"/>
      <c r="F34" s="1303"/>
      <c r="G34" s="1304"/>
      <c r="H34" s="526"/>
      <c r="I34" s="530"/>
      <c r="J34" s="531"/>
      <c r="K34" s="532"/>
      <c r="L34" s="532"/>
      <c r="M34" s="532"/>
      <c r="N34" s="533"/>
    </row>
    <row r="35" spans="1:14" ht="15" x14ac:dyDescent="0.25">
      <c r="A35" s="1330"/>
      <c r="B35" s="1331"/>
      <c r="C35" s="1331"/>
      <c r="D35" s="1303"/>
      <c r="E35" s="1303"/>
      <c r="F35" s="1303"/>
      <c r="G35" s="1304"/>
      <c r="H35" s="526"/>
      <c r="I35" s="530"/>
      <c r="J35" s="531"/>
      <c r="K35" s="532"/>
      <c r="L35" s="532"/>
      <c r="M35" s="532"/>
      <c r="N35" s="533"/>
    </row>
    <row r="36" spans="1:14" ht="15" x14ac:dyDescent="0.25">
      <c r="A36" s="1330"/>
      <c r="B36" s="1331"/>
      <c r="C36" s="1331"/>
      <c r="D36" s="1303"/>
      <c r="E36" s="1303"/>
      <c r="F36" s="1303"/>
      <c r="G36" s="1304"/>
      <c r="H36" s="526"/>
      <c r="I36" s="530"/>
      <c r="J36" s="531"/>
      <c r="K36" s="532"/>
      <c r="L36" s="532"/>
      <c r="M36" s="532"/>
      <c r="N36" s="533"/>
    </row>
    <row r="37" spans="1:14" ht="15" x14ac:dyDescent="0.25">
      <c r="A37" s="1330"/>
      <c r="B37" s="1331"/>
      <c r="C37" s="1331"/>
      <c r="D37" s="1303"/>
      <c r="E37" s="1303"/>
      <c r="F37" s="1303"/>
      <c r="G37" s="1304"/>
      <c r="H37" s="526"/>
      <c r="I37" s="1328" t="s">
        <v>1550</v>
      </c>
      <c r="J37" s="1329"/>
      <c r="K37" s="532"/>
      <c r="L37" s="532"/>
      <c r="M37" s="532"/>
      <c r="N37" s="533"/>
    </row>
    <row r="38" spans="1:14" ht="15.75" thickBot="1" x14ac:dyDescent="0.3">
      <c r="A38" s="1330"/>
      <c r="B38" s="1331"/>
      <c r="C38" s="1332"/>
      <c r="D38" s="1306"/>
      <c r="E38" s="1306"/>
      <c r="F38" s="1306"/>
      <c r="G38" s="1307"/>
      <c r="H38" s="526"/>
      <c r="I38" s="1333" t="s">
        <v>825</v>
      </c>
      <c r="J38" s="1334"/>
      <c r="K38" s="538">
        <f>SUM(K20:K37)</f>
        <v>0</v>
      </c>
      <c r="L38" s="538">
        <f>SUM(L20:L37)</f>
        <v>0</v>
      </c>
      <c r="M38" s="538">
        <f>SUM(M20:M37)</f>
        <v>0</v>
      </c>
      <c r="N38" s="539">
        <f>SUM(N20:N37)</f>
        <v>0</v>
      </c>
    </row>
    <row r="39" spans="1:14" ht="3.75" customHeight="1" thickBot="1" x14ac:dyDescent="0.3">
      <c r="A39" s="529"/>
      <c r="B39" s="526"/>
      <c r="C39" s="526"/>
      <c r="D39" s="526"/>
      <c r="E39" s="526"/>
      <c r="F39" s="526"/>
      <c r="G39" s="540"/>
      <c r="H39" s="526"/>
      <c r="I39" s="526"/>
      <c r="J39" s="526"/>
      <c r="K39" s="526"/>
      <c r="L39" s="526"/>
      <c r="M39" s="526"/>
      <c r="N39" s="526"/>
    </row>
    <row r="40" spans="1:14" ht="15" x14ac:dyDescent="0.25">
      <c r="A40" s="541" t="s">
        <v>1551</v>
      </c>
      <c r="B40" s="1335" t="s">
        <v>1552</v>
      </c>
      <c r="C40" s="1336"/>
      <c r="D40" s="1336"/>
      <c r="E40" s="1336"/>
      <c r="F40" s="1336"/>
      <c r="G40" s="1337"/>
      <c r="H40" s="526"/>
      <c r="I40" s="1338" t="s">
        <v>1553</v>
      </c>
      <c r="J40" s="1339"/>
      <c r="K40" s="1339"/>
      <c r="L40" s="1339"/>
      <c r="M40" s="1319" t="s">
        <v>1554</v>
      </c>
      <c r="N40" s="1320"/>
    </row>
    <row r="41" spans="1:14" ht="15" x14ac:dyDescent="0.25">
      <c r="A41" s="1321" t="s">
        <v>1555</v>
      </c>
      <c r="B41" s="1322" t="s">
        <v>1556</v>
      </c>
      <c r="C41" s="1322"/>
      <c r="D41" s="1322" t="s">
        <v>1048</v>
      </c>
      <c r="E41" s="1322"/>
      <c r="F41" s="1322"/>
      <c r="G41" s="1323"/>
      <c r="H41" s="526"/>
      <c r="I41" s="1308" t="s">
        <v>1557</v>
      </c>
      <c r="J41" s="1309"/>
      <c r="K41" s="1309"/>
      <c r="L41" s="1310"/>
      <c r="M41" s="1311"/>
      <c r="N41" s="1312"/>
    </row>
    <row r="42" spans="1:14" ht="15" x14ac:dyDescent="0.25">
      <c r="A42" s="1321"/>
      <c r="B42" s="542" t="s">
        <v>1054</v>
      </c>
      <c r="C42" s="542" t="s">
        <v>692</v>
      </c>
      <c r="D42" s="1322" t="s">
        <v>1054</v>
      </c>
      <c r="E42" s="1322"/>
      <c r="F42" s="1322" t="s">
        <v>692</v>
      </c>
      <c r="G42" s="1323"/>
      <c r="H42" s="526"/>
      <c r="I42" s="1313" t="s">
        <v>1558</v>
      </c>
      <c r="J42" s="1314"/>
      <c r="K42" s="1314"/>
      <c r="L42" s="1315"/>
      <c r="M42" s="1324"/>
      <c r="N42" s="1325"/>
    </row>
    <row r="43" spans="1:14" ht="15" x14ac:dyDescent="0.25">
      <c r="A43" s="529" t="s">
        <v>1559</v>
      </c>
      <c r="B43" s="544"/>
      <c r="C43" s="544"/>
      <c r="D43" s="1303"/>
      <c r="E43" s="1303"/>
      <c r="F43" s="1303"/>
      <c r="G43" s="1304"/>
      <c r="H43" s="526"/>
      <c r="I43" s="536" t="s">
        <v>1560</v>
      </c>
      <c r="J43" s="537"/>
      <c r="K43" s="537"/>
      <c r="L43" s="543"/>
      <c r="M43" s="1326"/>
      <c r="N43" s="1327"/>
    </row>
    <row r="44" spans="1:14" ht="31.5" x14ac:dyDescent="0.25">
      <c r="A44" s="529" t="s">
        <v>1561</v>
      </c>
      <c r="B44" s="545"/>
      <c r="C44" s="545"/>
      <c r="D44" s="1306"/>
      <c r="E44" s="1306"/>
      <c r="F44" s="1306"/>
      <c r="G44" s="1307"/>
      <c r="H44" s="526"/>
      <c r="I44" s="1316" t="s">
        <v>1562</v>
      </c>
      <c r="J44" s="1317"/>
      <c r="K44" s="1317"/>
      <c r="L44" s="1318"/>
      <c r="M44" s="1294">
        <f>SUM(M41:N43)</f>
        <v>0</v>
      </c>
      <c r="N44" s="1296"/>
    </row>
    <row r="45" spans="1:14" ht="31.5" x14ac:dyDescent="0.25">
      <c r="A45" s="529" t="s">
        <v>1563</v>
      </c>
      <c r="B45" s="545"/>
      <c r="C45" s="545"/>
      <c r="D45" s="1306"/>
      <c r="E45" s="1306"/>
      <c r="F45" s="1306"/>
      <c r="G45" s="1307"/>
      <c r="H45" s="526"/>
      <c r="I45" s="1308" t="s">
        <v>1564</v>
      </c>
      <c r="J45" s="1309"/>
      <c r="K45" s="1309"/>
      <c r="L45" s="1310"/>
      <c r="M45" s="1311"/>
      <c r="N45" s="1312"/>
    </row>
    <row r="46" spans="1:14" ht="21" x14ac:dyDescent="0.25">
      <c r="A46" s="529" t="s">
        <v>1565</v>
      </c>
      <c r="B46" s="545"/>
      <c r="C46" s="545"/>
      <c r="D46" s="1306"/>
      <c r="E46" s="1306"/>
      <c r="F46" s="1306"/>
      <c r="G46" s="1307"/>
      <c r="H46" s="526"/>
      <c r="I46" s="1313" t="s">
        <v>1566</v>
      </c>
      <c r="J46" s="1314"/>
      <c r="K46" s="1314"/>
      <c r="L46" s="1315"/>
      <c r="M46" s="1311"/>
      <c r="N46" s="1312"/>
    </row>
    <row r="47" spans="1:14" ht="15" x14ac:dyDescent="0.25">
      <c r="A47" s="546" t="s">
        <v>825</v>
      </c>
      <c r="B47" s="547">
        <f>SUM(B43:B46)</f>
        <v>0</v>
      </c>
      <c r="C47" s="547">
        <f>SUM(C43:C46)</f>
        <v>0</v>
      </c>
      <c r="D47" s="1294">
        <f>SUM(D43:E46)</f>
        <v>0</v>
      </c>
      <c r="E47" s="1295"/>
      <c r="F47" s="1294">
        <f>SUM(F43:G46)</f>
        <v>0</v>
      </c>
      <c r="G47" s="1296"/>
      <c r="H47" s="526"/>
      <c r="I47" s="1297"/>
      <c r="J47" s="1298"/>
      <c r="K47" s="1298"/>
      <c r="L47" s="1299"/>
      <c r="M47" s="1300"/>
      <c r="N47" s="1301"/>
    </row>
    <row r="48" spans="1:14" ht="15" x14ac:dyDescent="0.25">
      <c r="A48" s="548" t="s">
        <v>1066</v>
      </c>
      <c r="B48" s="544"/>
      <c r="C48" s="544"/>
      <c r="D48" s="1302"/>
      <c r="E48" s="1302"/>
      <c r="F48" s="1303"/>
      <c r="G48" s="1304"/>
      <c r="H48" s="526"/>
      <c r="I48" s="549"/>
      <c r="J48" s="550"/>
      <c r="K48" s="550"/>
      <c r="L48" s="551"/>
      <c r="M48" s="1305"/>
      <c r="N48" s="1301"/>
    </row>
    <row r="49" spans="1:14" ht="15.75" thickBot="1" x14ac:dyDescent="0.3">
      <c r="A49" s="552" t="s">
        <v>1068</v>
      </c>
      <c r="B49" s="553"/>
      <c r="C49" s="553"/>
      <c r="D49" s="1287"/>
      <c r="E49" s="1287"/>
      <c r="F49" s="1288"/>
      <c r="G49" s="1289"/>
      <c r="H49" s="554"/>
      <c r="I49" s="1290" t="s">
        <v>1567</v>
      </c>
      <c r="J49" s="1291"/>
      <c r="K49" s="1291"/>
      <c r="L49" s="1291"/>
      <c r="M49" s="1292">
        <f>SUM(M45:N48)</f>
        <v>0</v>
      </c>
      <c r="N49" s="1293"/>
    </row>
    <row r="50" spans="1:14" ht="15" x14ac:dyDescent="0.25"/>
  </sheetData>
  <mergeCells count="120">
    <mergeCell ref="A1:J1"/>
    <mergeCell ref="C2:N2"/>
    <mergeCell ref="C3:N3"/>
    <mergeCell ref="C4:N4"/>
    <mergeCell ref="C5:N5"/>
    <mergeCell ref="C6:F6"/>
    <mergeCell ref="H6:I6"/>
    <mergeCell ref="J6:K6"/>
    <mergeCell ref="L6:M6"/>
    <mergeCell ref="C11:G11"/>
    <mergeCell ref="I11:K11"/>
    <mergeCell ref="L11:N11"/>
    <mergeCell ref="A13:N13"/>
    <mergeCell ref="C14:I14"/>
    <mergeCell ref="A15:G15"/>
    <mergeCell ref="I15:N15"/>
    <mergeCell ref="C7:N7"/>
    <mergeCell ref="C8:N8"/>
    <mergeCell ref="C9:N9"/>
    <mergeCell ref="C10:G10"/>
    <mergeCell ref="I10:K10"/>
    <mergeCell ref="L10:N10"/>
    <mergeCell ref="M16:N18"/>
    <mergeCell ref="D20:E20"/>
    <mergeCell ref="F20:G20"/>
    <mergeCell ref="A21:C21"/>
    <mergeCell ref="D21:E21"/>
    <mergeCell ref="F21:G21"/>
    <mergeCell ref="A16:C19"/>
    <mergeCell ref="D16:E19"/>
    <mergeCell ref="F16:G19"/>
    <mergeCell ref="I16:I19"/>
    <mergeCell ref="J16:J19"/>
    <mergeCell ref="K16:L18"/>
    <mergeCell ref="D25:E25"/>
    <mergeCell ref="F25:G25"/>
    <mergeCell ref="A26:C26"/>
    <mergeCell ref="D26:E26"/>
    <mergeCell ref="F26:G26"/>
    <mergeCell ref="D27:E27"/>
    <mergeCell ref="F27:G27"/>
    <mergeCell ref="D22:E22"/>
    <mergeCell ref="F22:G22"/>
    <mergeCell ref="D23:E23"/>
    <mergeCell ref="F23:G23"/>
    <mergeCell ref="A24:C24"/>
    <mergeCell ref="D24:E24"/>
    <mergeCell ref="F24:G24"/>
    <mergeCell ref="A30:C30"/>
    <mergeCell ref="D30:E30"/>
    <mergeCell ref="F30:G30"/>
    <mergeCell ref="A31:C31"/>
    <mergeCell ref="D31:E31"/>
    <mergeCell ref="F31:G31"/>
    <mergeCell ref="A28:C28"/>
    <mergeCell ref="D28:E28"/>
    <mergeCell ref="F28:G28"/>
    <mergeCell ref="A29:C29"/>
    <mergeCell ref="D29:E29"/>
    <mergeCell ref="F29:G29"/>
    <mergeCell ref="A34:C34"/>
    <mergeCell ref="D34:E34"/>
    <mergeCell ref="F34:G34"/>
    <mergeCell ref="A35:C35"/>
    <mergeCell ref="D35:E35"/>
    <mergeCell ref="F35:G35"/>
    <mergeCell ref="A32:C32"/>
    <mergeCell ref="D32:E32"/>
    <mergeCell ref="F32:G32"/>
    <mergeCell ref="A33:C33"/>
    <mergeCell ref="D33:E33"/>
    <mergeCell ref="F33:G33"/>
    <mergeCell ref="I37:J37"/>
    <mergeCell ref="A38:C38"/>
    <mergeCell ref="D38:E38"/>
    <mergeCell ref="F38:G38"/>
    <mergeCell ref="I38:J38"/>
    <mergeCell ref="B40:G40"/>
    <mergeCell ref="I40:L40"/>
    <mergeCell ref="A36:C36"/>
    <mergeCell ref="D36:E36"/>
    <mergeCell ref="F36:G36"/>
    <mergeCell ref="A37:C37"/>
    <mergeCell ref="D37:E37"/>
    <mergeCell ref="F37:G37"/>
    <mergeCell ref="M40:N40"/>
    <mergeCell ref="A41:A42"/>
    <mergeCell ref="B41:C41"/>
    <mergeCell ref="D41:G41"/>
    <mergeCell ref="I41:L41"/>
    <mergeCell ref="M41:N41"/>
    <mergeCell ref="D42:E42"/>
    <mergeCell ref="F42:G42"/>
    <mergeCell ref="I42:L42"/>
    <mergeCell ref="M42:N43"/>
    <mergeCell ref="D45:E45"/>
    <mergeCell ref="F45:G45"/>
    <mergeCell ref="I45:L45"/>
    <mergeCell ref="M45:N45"/>
    <mergeCell ref="D46:E46"/>
    <mergeCell ref="F46:G46"/>
    <mergeCell ref="I46:L46"/>
    <mergeCell ref="M46:N46"/>
    <mergeCell ref="D43:E43"/>
    <mergeCell ref="F43:G43"/>
    <mergeCell ref="D44:E44"/>
    <mergeCell ref="F44:G44"/>
    <mergeCell ref="I44:L44"/>
    <mergeCell ref="M44:N44"/>
    <mergeCell ref="D49:E49"/>
    <mergeCell ref="F49:G49"/>
    <mergeCell ref="I49:L49"/>
    <mergeCell ref="M49:N49"/>
    <mergeCell ref="D47:E47"/>
    <mergeCell ref="F47:G47"/>
    <mergeCell ref="I47:L47"/>
    <mergeCell ref="M47:N47"/>
    <mergeCell ref="D48:E48"/>
    <mergeCell ref="F48:G48"/>
    <mergeCell ref="M48:N48"/>
  </mergeCells>
  <dataValidations count="1">
    <dataValidation type="whole" allowBlank="1" showInputMessage="1" showErrorMessage="1" errorTitle="Attention!" error="Valeur numérique attendue" sqref="D26:G26 D30:G38 K20:N37 B43:G46 B48:G49 M41:N43 M45:N46" xr:uid="{59DAD4CF-A5BD-416F-BA0F-D30C7D300864}">
      <formula1>-9999999999999</formula1>
      <formula2>9999999999999</formula2>
    </dataValidation>
  </dataValidation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2EA48-8ECF-4D37-A0B5-E946B8327500}">
  <dimension ref="A1:J23"/>
  <sheetViews>
    <sheetView workbookViewId="0">
      <selection sqref="A1:XFD1048576"/>
    </sheetView>
  </sheetViews>
  <sheetFormatPr baseColWidth="10" defaultColWidth="11.42578125" defaultRowHeight="13.9" customHeight="1" x14ac:dyDescent="0.25"/>
  <cols>
    <col min="1" max="1" width="17.28515625" style="376" customWidth="1"/>
    <col min="2" max="2" width="13.85546875" style="376" customWidth="1"/>
    <col min="3" max="3" width="14.5703125" style="376" customWidth="1"/>
    <col min="4" max="4" width="17.140625" style="376" customWidth="1"/>
    <col min="5" max="5" width="15.28515625" style="376" customWidth="1"/>
    <col min="6" max="6" width="11.28515625" style="376" customWidth="1"/>
    <col min="7" max="7" width="13.5703125" style="376" customWidth="1"/>
    <col min="8" max="8" width="9.85546875" style="376" customWidth="1"/>
    <col min="9" max="10" width="8.42578125" style="376" customWidth="1"/>
    <col min="11" max="11" width="11.42578125" style="376"/>
    <col min="12" max="12" width="6.140625" style="376" customWidth="1"/>
    <col min="13" max="16384" width="11.42578125" style="376"/>
  </cols>
  <sheetData>
    <row r="1" spans="1:10" ht="5.25" customHeight="1" x14ac:dyDescent="0.25">
      <c r="A1" s="617"/>
      <c r="B1" s="617"/>
      <c r="C1" s="618"/>
      <c r="D1" s="618"/>
      <c r="E1" s="618"/>
      <c r="F1" s="618"/>
      <c r="G1" s="618"/>
      <c r="H1" s="618"/>
      <c r="I1" s="618"/>
      <c r="J1" s="618"/>
    </row>
    <row r="2" spans="1:10" ht="15" x14ac:dyDescent="0.25">
      <c r="A2" s="200" t="s">
        <v>363</v>
      </c>
      <c r="B2" s="200"/>
      <c r="C2" s="619">
        <v>4444444444</v>
      </c>
      <c r="D2" s="619"/>
      <c r="E2" s="619"/>
      <c r="F2" s="619"/>
      <c r="G2" s="619"/>
      <c r="H2" s="619"/>
      <c r="I2" s="619"/>
      <c r="J2" s="619"/>
    </row>
    <row r="3" spans="1:10" ht="15" customHeight="1" x14ac:dyDescent="0.25">
      <c r="A3" s="200"/>
      <c r="B3" s="200"/>
      <c r="C3" s="620">
        <v>56565665</v>
      </c>
      <c r="D3" s="620"/>
      <c r="E3" s="620"/>
      <c r="F3" s="620"/>
      <c r="G3" s="620"/>
      <c r="H3" s="620"/>
      <c r="I3" s="620"/>
      <c r="J3" s="620"/>
    </row>
    <row r="4" spans="1:10" ht="15" x14ac:dyDescent="0.25">
      <c r="A4" s="200" t="s">
        <v>364</v>
      </c>
      <c r="B4" s="200"/>
      <c r="C4" s="620" t="s">
        <v>6</v>
      </c>
      <c r="D4" s="620"/>
      <c r="E4" s="620"/>
      <c r="F4" s="620"/>
      <c r="G4" s="620"/>
      <c r="H4" s="620"/>
      <c r="I4" s="620"/>
      <c r="J4" s="620"/>
    </row>
    <row r="5" spans="1:10" ht="15" customHeight="1" x14ac:dyDescent="0.25">
      <c r="A5" s="200" t="s">
        <v>365</v>
      </c>
      <c r="B5" s="200"/>
      <c r="C5" s="621" t="s">
        <v>699</v>
      </c>
      <c r="D5" s="621"/>
      <c r="E5" s="621"/>
      <c r="F5" s="621"/>
      <c r="G5" s="621"/>
      <c r="H5" s="621"/>
      <c r="I5" s="621"/>
      <c r="J5" s="621"/>
    </row>
    <row r="6" spans="1:10" ht="15" x14ac:dyDescent="0.25">
      <c r="A6" s="200" t="s">
        <v>366</v>
      </c>
      <c r="B6" s="200"/>
      <c r="C6" s="620">
        <v>125545</v>
      </c>
      <c r="D6" s="620"/>
      <c r="E6" s="622" t="s">
        <v>367</v>
      </c>
      <c r="F6" s="622"/>
      <c r="G6" s="240">
        <v>46022</v>
      </c>
      <c r="H6" s="611" t="s">
        <v>467</v>
      </c>
      <c r="I6" s="611"/>
      <c r="J6" s="241">
        <v>12</v>
      </c>
    </row>
    <row r="7" spans="1:10" ht="15" x14ac:dyDescent="0.25">
      <c r="A7" s="198" t="s">
        <v>369</v>
      </c>
      <c r="B7" s="24"/>
      <c r="C7" s="615" t="s">
        <v>8</v>
      </c>
      <c r="D7" s="615"/>
      <c r="E7" s="615"/>
      <c r="F7" s="615"/>
      <c r="G7" s="615"/>
      <c r="H7" s="615"/>
      <c r="I7" s="615"/>
      <c r="J7" s="615"/>
    </row>
    <row r="8" spans="1:10" ht="15" x14ac:dyDescent="0.25">
      <c r="A8" s="200" t="s">
        <v>468</v>
      </c>
      <c r="B8" s="24"/>
      <c r="C8" s="616" t="s">
        <v>35</v>
      </c>
      <c r="D8" s="616"/>
      <c r="E8" s="616"/>
      <c r="F8" s="616"/>
      <c r="G8" s="616"/>
      <c r="H8" s="616"/>
      <c r="I8" s="616"/>
      <c r="J8" s="616"/>
    </row>
    <row r="9" spans="1:10" ht="15" x14ac:dyDescent="0.25">
      <c r="A9" s="200"/>
      <c r="B9" s="24"/>
      <c r="C9" s="611" t="s">
        <v>36</v>
      </c>
      <c r="D9" s="611"/>
      <c r="E9" s="611"/>
      <c r="F9" s="611"/>
      <c r="G9" s="611"/>
      <c r="H9" s="611"/>
      <c r="I9" s="611"/>
      <c r="J9" s="611"/>
    </row>
    <row r="10" spans="1:10" ht="15" x14ac:dyDescent="0.25">
      <c r="A10" s="200" t="s">
        <v>469</v>
      </c>
      <c r="B10" s="24"/>
      <c r="C10" s="611" t="s">
        <v>40</v>
      </c>
      <c r="D10" s="611"/>
      <c r="E10" s="611"/>
      <c r="F10" s="611" t="s">
        <v>470</v>
      </c>
      <c r="G10" s="611"/>
      <c r="H10" s="611" t="s">
        <v>38</v>
      </c>
      <c r="I10" s="611"/>
      <c r="J10" s="611"/>
    </row>
    <row r="11" spans="1:10" ht="15" x14ac:dyDescent="0.25">
      <c r="A11" s="200" t="s">
        <v>471</v>
      </c>
      <c r="B11" s="24"/>
      <c r="C11" s="610">
        <v>44713</v>
      </c>
      <c r="D11" s="610"/>
      <c r="E11" s="610"/>
      <c r="F11" s="611" t="s">
        <v>472</v>
      </c>
      <c r="G11" s="611"/>
      <c r="H11" s="610">
        <v>45991</v>
      </c>
      <c r="I11" s="610"/>
      <c r="J11" s="610"/>
    </row>
    <row r="12" spans="1:10" ht="15.75" thickBot="1" x14ac:dyDescent="0.3">
      <c r="A12" s="24"/>
      <c r="B12" s="24"/>
      <c r="C12" s="24"/>
      <c r="D12" s="24"/>
      <c r="E12" s="24"/>
      <c r="F12" s="24"/>
      <c r="G12" s="24"/>
      <c r="H12" s="24"/>
      <c r="I12" s="24"/>
      <c r="J12" s="24"/>
    </row>
    <row r="13" spans="1:10" ht="15.75" thickBot="1" x14ac:dyDescent="0.3">
      <c r="A13" s="1362" t="s">
        <v>1165</v>
      </c>
      <c r="B13" s="1363"/>
      <c r="C13" s="1363"/>
      <c r="D13" s="1363"/>
      <c r="E13" s="1363"/>
      <c r="F13" s="1363"/>
      <c r="G13" s="1363"/>
      <c r="H13" s="1363"/>
      <c r="I13" s="1363"/>
      <c r="J13" s="1364"/>
    </row>
    <row r="14" spans="1:10" ht="15.75" thickBot="1" x14ac:dyDescent="0.3">
      <c r="A14" s="28"/>
      <c r="B14" s="28"/>
      <c r="C14" s="555"/>
      <c r="D14" s="555"/>
      <c r="E14" s="555"/>
      <c r="F14" s="555"/>
      <c r="G14" s="555"/>
      <c r="H14" s="555"/>
      <c r="I14" s="555"/>
      <c r="J14" s="28"/>
    </row>
    <row r="15" spans="1:10" ht="48.75" thickBot="1" x14ac:dyDescent="0.3">
      <c r="A15" s="1384"/>
      <c r="B15" s="1384"/>
      <c r="C15" s="556" t="s">
        <v>1562</v>
      </c>
      <c r="D15" s="556" t="s">
        <v>1568</v>
      </c>
      <c r="E15" s="556" t="s">
        <v>1569</v>
      </c>
      <c r="F15" s="556" t="s">
        <v>1570</v>
      </c>
      <c r="G15" s="556" t="s">
        <v>574</v>
      </c>
      <c r="H15" s="556" t="s">
        <v>1571</v>
      </c>
      <c r="I15" s="1384" t="s">
        <v>1572</v>
      </c>
      <c r="J15" s="1384"/>
    </row>
    <row r="16" spans="1:10" ht="15" x14ac:dyDescent="0.25">
      <c r="A16" s="1380" t="s">
        <v>1573</v>
      </c>
      <c r="B16" s="1381"/>
      <c r="C16" s="557"/>
      <c r="D16" s="557"/>
      <c r="E16" s="557"/>
      <c r="F16" s="557"/>
      <c r="G16" s="557"/>
      <c r="H16" s="558"/>
      <c r="I16" s="1382"/>
      <c r="J16" s="1383"/>
    </row>
    <row r="17" spans="1:10" ht="15" x14ac:dyDescent="0.25">
      <c r="A17" s="1376" t="s">
        <v>1574</v>
      </c>
      <c r="B17" s="1377"/>
      <c r="C17" s="559"/>
      <c r="D17" s="559"/>
      <c r="E17" s="559"/>
      <c r="F17" s="559"/>
      <c r="G17" s="559"/>
      <c r="H17" s="560"/>
      <c r="I17" s="1378"/>
      <c r="J17" s="1379"/>
    </row>
    <row r="18" spans="1:10" ht="15" x14ac:dyDescent="0.25">
      <c r="A18" s="1376" t="s">
        <v>1575</v>
      </c>
      <c r="B18" s="1377"/>
      <c r="C18" s="559"/>
      <c r="D18" s="559"/>
      <c r="E18" s="559"/>
      <c r="F18" s="559"/>
      <c r="G18" s="559"/>
      <c r="H18" s="560"/>
      <c r="I18" s="1378"/>
      <c r="J18" s="1379"/>
    </row>
    <row r="19" spans="1:10" ht="15" x14ac:dyDescent="0.25">
      <c r="A19" s="1376" t="s">
        <v>1576</v>
      </c>
      <c r="B19" s="1377"/>
      <c r="C19" s="559"/>
      <c r="D19" s="559"/>
      <c r="E19" s="559"/>
      <c r="F19" s="559"/>
      <c r="G19" s="559"/>
      <c r="H19" s="560"/>
      <c r="I19" s="1378"/>
      <c r="J19" s="1379"/>
    </row>
    <row r="20" spans="1:10" ht="15" x14ac:dyDescent="0.25">
      <c r="A20" s="1376" t="s">
        <v>1577</v>
      </c>
      <c r="B20" s="1377"/>
      <c r="C20" s="559"/>
      <c r="D20" s="559"/>
      <c r="E20" s="559"/>
      <c r="F20" s="559"/>
      <c r="G20" s="559"/>
      <c r="H20" s="560"/>
      <c r="I20" s="1378"/>
      <c r="J20" s="1379"/>
    </row>
    <row r="21" spans="1:10" ht="15" x14ac:dyDescent="0.25">
      <c r="A21" s="1376" t="s">
        <v>1578</v>
      </c>
      <c r="B21" s="1377"/>
      <c r="C21" s="559"/>
      <c r="D21" s="559"/>
      <c r="E21" s="559"/>
      <c r="F21" s="559"/>
      <c r="G21" s="559"/>
      <c r="H21" s="560"/>
      <c r="I21" s="1378"/>
      <c r="J21" s="1379"/>
    </row>
    <row r="22" spans="1:10" ht="15.75" thickBot="1" x14ac:dyDescent="0.3">
      <c r="A22" s="561" t="s">
        <v>1579</v>
      </c>
      <c r="B22" s="562"/>
      <c r="C22" s="563">
        <f>SUM(C16:E21)</f>
        <v>0</v>
      </c>
      <c r="D22" s="563">
        <f>SUM(D16:G21)</f>
        <v>0</v>
      </c>
      <c r="E22" s="563">
        <f>SUM(E16:I21)</f>
        <v>0</v>
      </c>
      <c r="F22" s="563">
        <f>SUM(F16:J21)</f>
        <v>0</v>
      </c>
      <c r="G22" s="563">
        <f>SUM(G16:J21)</f>
        <v>0</v>
      </c>
      <c r="H22" s="563"/>
      <c r="I22" s="1374">
        <f>SUM(I16:J21)</f>
        <v>0</v>
      </c>
      <c r="J22" s="1375"/>
    </row>
    <row r="23" spans="1:10" ht="15" x14ac:dyDescent="0.25"/>
  </sheetData>
  <mergeCells count="33">
    <mergeCell ref="C6:D6"/>
    <mergeCell ref="E6:F6"/>
    <mergeCell ref="H6:I6"/>
    <mergeCell ref="A1:J1"/>
    <mergeCell ref="C2:J2"/>
    <mergeCell ref="C3:J3"/>
    <mergeCell ref="C4:J4"/>
    <mergeCell ref="C5:J5"/>
    <mergeCell ref="C7:J7"/>
    <mergeCell ref="C8:J8"/>
    <mergeCell ref="C9:J9"/>
    <mergeCell ref="C10:E10"/>
    <mergeCell ref="F10:G10"/>
    <mergeCell ref="H10:J10"/>
    <mergeCell ref="C11:E11"/>
    <mergeCell ref="F11:G11"/>
    <mergeCell ref="H11:J11"/>
    <mergeCell ref="A13:J13"/>
    <mergeCell ref="A15:B15"/>
    <mergeCell ref="I15:J15"/>
    <mergeCell ref="A16:B16"/>
    <mergeCell ref="I16:J16"/>
    <mergeCell ref="A17:B17"/>
    <mergeCell ref="I17:J17"/>
    <mergeCell ref="A18:B18"/>
    <mergeCell ref="I18:J18"/>
    <mergeCell ref="I22:J22"/>
    <mergeCell ref="A19:B19"/>
    <mergeCell ref="I19:J19"/>
    <mergeCell ref="A20:B20"/>
    <mergeCell ref="I20:J20"/>
    <mergeCell ref="A21:B21"/>
    <mergeCell ref="I21:J21"/>
  </mergeCells>
  <dataValidations count="1">
    <dataValidation type="whole" allowBlank="1" showInputMessage="1" showErrorMessage="1" errorTitle="Attention!" error="Valeur numérique attendue" sqref="C16:G21 I16:I21" xr:uid="{C60AF235-9609-43F7-AEB6-3F2CD624670B}">
      <formula1>-9999999999999</formula1>
      <formula2>9999999999999</formula2>
    </dataValidation>
  </dataValidation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BC41B-4F14-4BBC-89F8-099DB82D6FA8}">
  <dimension ref="A1:J23"/>
  <sheetViews>
    <sheetView workbookViewId="0">
      <selection activeCell="E16" sqref="A1:XFD1048576"/>
    </sheetView>
  </sheetViews>
  <sheetFormatPr baseColWidth="10" defaultColWidth="11.42578125" defaultRowHeight="13.9" customHeight="1" x14ac:dyDescent="0.25"/>
  <cols>
    <col min="1" max="1" width="17.28515625" style="376" customWidth="1"/>
    <col min="2" max="2" width="13.85546875" style="376" customWidth="1"/>
    <col min="3" max="3" width="14.5703125" style="376" customWidth="1"/>
    <col min="4" max="4" width="17.140625" style="376" customWidth="1"/>
    <col min="5" max="5" width="15.28515625" style="376" customWidth="1"/>
    <col min="6" max="6" width="11.28515625" style="376" customWidth="1"/>
    <col min="7" max="7" width="13.5703125" style="376" customWidth="1"/>
    <col min="8" max="8" width="9.85546875" style="376" customWidth="1"/>
    <col min="9" max="10" width="8.42578125" style="376" customWidth="1"/>
    <col min="11" max="11" width="11.42578125" style="376"/>
    <col min="12" max="12" width="6.140625" style="376" customWidth="1"/>
    <col min="13" max="16384" width="11.42578125" style="376"/>
  </cols>
  <sheetData>
    <row r="1" spans="1:10" ht="5.25" customHeight="1" x14ac:dyDescent="0.25">
      <c r="A1" s="617"/>
      <c r="B1" s="617"/>
      <c r="C1" s="618"/>
      <c r="D1" s="618"/>
      <c r="E1" s="618"/>
      <c r="F1" s="618"/>
      <c r="G1" s="618"/>
      <c r="H1" s="618"/>
      <c r="I1" s="618"/>
      <c r="J1" s="618"/>
    </row>
    <row r="2" spans="1:10" ht="15" x14ac:dyDescent="0.25">
      <c r="A2" s="200" t="s">
        <v>363</v>
      </c>
      <c r="B2" s="200"/>
      <c r="C2" s="619">
        <v>4444444444</v>
      </c>
      <c r="D2" s="619"/>
      <c r="E2" s="619"/>
      <c r="F2" s="619"/>
      <c r="G2" s="619"/>
      <c r="H2" s="619"/>
      <c r="I2" s="619"/>
      <c r="J2" s="619"/>
    </row>
    <row r="3" spans="1:10" ht="15" customHeight="1" x14ac:dyDescent="0.25">
      <c r="A3" s="200"/>
      <c r="B3" s="200"/>
      <c r="C3" s="620">
        <v>56565665</v>
      </c>
      <c r="D3" s="620"/>
      <c r="E3" s="620"/>
      <c r="F3" s="620"/>
      <c r="G3" s="620"/>
      <c r="H3" s="620"/>
      <c r="I3" s="620"/>
      <c r="J3" s="620"/>
    </row>
    <row r="4" spans="1:10" ht="15" x14ac:dyDescent="0.25">
      <c r="A4" s="200" t="s">
        <v>364</v>
      </c>
      <c r="B4" s="200"/>
      <c r="C4" s="620" t="s">
        <v>6</v>
      </c>
      <c r="D4" s="620"/>
      <c r="E4" s="620"/>
      <c r="F4" s="620"/>
      <c r="G4" s="620"/>
      <c r="H4" s="620"/>
      <c r="I4" s="620"/>
      <c r="J4" s="620"/>
    </row>
    <row r="5" spans="1:10" ht="15" customHeight="1" x14ac:dyDescent="0.25">
      <c r="A5" s="200" t="s">
        <v>365</v>
      </c>
      <c r="B5" s="200"/>
      <c r="C5" s="621" t="s">
        <v>699</v>
      </c>
      <c r="D5" s="621"/>
      <c r="E5" s="621"/>
      <c r="F5" s="621"/>
      <c r="G5" s="621"/>
      <c r="H5" s="621"/>
      <c r="I5" s="621"/>
      <c r="J5" s="621"/>
    </row>
    <row r="6" spans="1:10" ht="15" x14ac:dyDescent="0.25">
      <c r="A6" s="200" t="s">
        <v>366</v>
      </c>
      <c r="B6" s="200"/>
      <c r="C6" s="620">
        <v>125545</v>
      </c>
      <c r="D6" s="620"/>
      <c r="E6" s="622" t="s">
        <v>367</v>
      </c>
      <c r="F6" s="622"/>
      <c r="G6" s="240">
        <v>46022</v>
      </c>
      <c r="H6" s="611" t="s">
        <v>467</v>
      </c>
      <c r="I6" s="611"/>
      <c r="J6" s="241">
        <v>12</v>
      </c>
    </row>
    <row r="7" spans="1:10" ht="15" x14ac:dyDescent="0.25">
      <c r="A7" s="198" t="s">
        <v>369</v>
      </c>
      <c r="B7" s="24"/>
      <c r="C7" s="615" t="s">
        <v>8</v>
      </c>
      <c r="D7" s="615"/>
      <c r="E7" s="615"/>
      <c r="F7" s="615"/>
      <c r="G7" s="615"/>
      <c r="H7" s="615"/>
      <c r="I7" s="615"/>
      <c r="J7" s="615"/>
    </row>
    <row r="8" spans="1:10" ht="15" x14ac:dyDescent="0.25">
      <c r="A8" s="200" t="s">
        <v>468</v>
      </c>
      <c r="B8" s="24"/>
      <c r="C8" s="616" t="s">
        <v>35</v>
      </c>
      <c r="D8" s="616"/>
      <c r="E8" s="616"/>
      <c r="F8" s="616"/>
      <c r="G8" s="616"/>
      <c r="H8" s="616"/>
      <c r="I8" s="616"/>
      <c r="J8" s="616"/>
    </row>
    <row r="9" spans="1:10" ht="15" x14ac:dyDescent="0.25">
      <c r="A9" s="200"/>
      <c r="B9" s="24"/>
      <c r="C9" s="611" t="s">
        <v>36</v>
      </c>
      <c r="D9" s="611"/>
      <c r="E9" s="611"/>
      <c r="F9" s="611"/>
      <c r="G9" s="611"/>
      <c r="H9" s="611"/>
      <c r="I9" s="611"/>
      <c r="J9" s="611"/>
    </row>
    <row r="10" spans="1:10" ht="15" x14ac:dyDescent="0.25">
      <c r="A10" s="200" t="s">
        <v>469</v>
      </c>
      <c r="B10" s="24"/>
      <c r="C10" s="611" t="s">
        <v>40</v>
      </c>
      <c r="D10" s="611"/>
      <c r="E10" s="611"/>
      <c r="F10" s="611" t="s">
        <v>470</v>
      </c>
      <c r="G10" s="611"/>
      <c r="H10" s="611" t="s">
        <v>38</v>
      </c>
      <c r="I10" s="611"/>
      <c r="J10" s="611"/>
    </row>
    <row r="11" spans="1:10" ht="15" x14ac:dyDescent="0.25">
      <c r="A11" s="200" t="s">
        <v>471</v>
      </c>
      <c r="B11" s="24"/>
      <c r="C11" s="610">
        <v>44713</v>
      </c>
      <c r="D11" s="610"/>
      <c r="E11" s="610"/>
      <c r="F11" s="611" t="s">
        <v>472</v>
      </c>
      <c r="G11" s="611"/>
      <c r="H11" s="610">
        <v>45991</v>
      </c>
      <c r="I11" s="610"/>
      <c r="J11" s="610"/>
    </row>
    <row r="12" spans="1:10" ht="15.75" thickBot="1" x14ac:dyDescent="0.3">
      <c r="A12" s="24"/>
      <c r="B12" s="24"/>
      <c r="C12" s="24"/>
      <c r="D12" s="24"/>
      <c r="E12" s="24"/>
      <c r="F12" s="24"/>
      <c r="G12" s="24"/>
      <c r="H12" s="24"/>
      <c r="I12" s="24"/>
      <c r="J12" s="24"/>
    </row>
    <row r="13" spans="1:10" ht="15.75" thickBot="1" x14ac:dyDescent="0.3">
      <c r="A13" s="1362" t="s">
        <v>1165</v>
      </c>
      <c r="B13" s="1363"/>
      <c r="C13" s="1363"/>
      <c r="D13" s="1363"/>
      <c r="E13" s="1363"/>
      <c r="F13" s="1363"/>
      <c r="G13" s="1363"/>
      <c r="H13" s="1363"/>
      <c r="I13" s="1363"/>
      <c r="J13" s="1364"/>
    </row>
    <row r="14" spans="1:10" ht="15.75" thickBot="1" x14ac:dyDescent="0.3">
      <c r="A14" s="28"/>
      <c r="B14" s="28"/>
      <c r="C14" s="555"/>
      <c r="D14" s="555"/>
      <c r="E14" s="555"/>
      <c r="F14" s="555"/>
      <c r="G14" s="555"/>
      <c r="H14" s="555"/>
      <c r="I14" s="555"/>
      <c r="J14" s="28"/>
    </row>
    <row r="15" spans="1:10" ht="48.75" thickBot="1" x14ac:dyDescent="0.3">
      <c r="A15" s="1384"/>
      <c r="B15" s="1384"/>
      <c r="C15" s="556" t="s">
        <v>1562</v>
      </c>
      <c r="D15" s="556" t="s">
        <v>1568</v>
      </c>
      <c r="E15" s="556" t="s">
        <v>1569</v>
      </c>
      <c r="F15" s="556" t="s">
        <v>1570</v>
      </c>
      <c r="G15" s="556" t="s">
        <v>574</v>
      </c>
      <c r="H15" s="556" t="s">
        <v>1571</v>
      </c>
      <c r="I15" s="1384" t="s">
        <v>1572</v>
      </c>
      <c r="J15" s="1384"/>
    </row>
    <row r="16" spans="1:10" ht="15" x14ac:dyDescent="0.25">
      <c r="A16" s="1380" t="s">
        <v>1573</v>
      </c>
      <c r="B16" s="1381"/>
      <c r="C16" s="557"/>
      <c r="D16" s="557"/>
      <c r="E16" s="557"/>
      <c r="F16" s="557"/>
      <c r="G16" s="557"/>
      <c r="H16" s="558"/>
      <c r="I16" s="1382"/>
      <c r="J16" s="1383"/>
    </row>
    <row r="17" spans="1:10" ht="15" x14ac:dyDescent="0.25">
      <c r="A17" s="1376" t="s">
        <v>1574</v>
      </c>
      <c r="B17" s="1377"/>
      <c r="C17" s="559"/>
      <c r="D17" s="559"/>
      <c r="E17" s="559"/>
      <c r="F17" s="559"/>
      <c r="G17" s="559"/>
      <c r="H17" s="560"/>
      <c r="I17" s="1378"/>
      <c r="J17" s="1379"/>
    </row>
    <row r="18" spans="1:10" ht="15" x14ac:dyDescent="0.25">
      <c r="A18" s="1376" t="s">
        <v>1575</v>
      </c>
      <c r="B18" s="1377"/>
      <c r="C18" s="559"/>
      <c r="D18" s="559"/>
      <c r="E18" s="559"/>
      <c r="F18" s="559"/>
      <c r="G18" s="559"/>
      <c r="H18" s="560"/>
      <c r="I18" s="1378"/>
      <c r="J18" s="1379"/>
    </row>
    <row r="19" spans="1:10" ht="15" x14ac:dyDescent="0.25">
      <c r="A19" s="1376" t="s">
        <v>1576</v>
      </c>
      <c r="B19" s="1377"/>
      <c r="C19" s="559"/>
      <c r="D19" s="559"/>
      <c r="E19" s="559"/>
      <c r="F19" s="559"/>
      <c r="G19" s="559"/>
      <c r="H19" s="560"/>
      <c r="I19" s="1378"/>
      <c r="J19" s="1379"/>
    </row>
    <row r="20" spans="1:10" ht="15" x14ac:dyDescent="0.25">
      <c r="A20" s="1376" t="s">
        <v>1577</v>
      </c>
      <c r="B20" s="1377"/>
      <c r="C20" s="559"/>
      <c r="D20" s="559"/>
      <c r="E20" s="559"/>
      <c r="F20" s="559"/>
      <c r="G20" s="559"/>
      <c r="H20" s="560"/>
      <c r="I20" s="1378"/>
      <c r="J20" s="1379"/>
    </row>
    <row r="21" spans="1:10" ht="15" x14ac:dyDescent="0.25">
      <c r="A21" s="1376" t="s">
        <v>1578</v>
      </c>
      <c r="B21" s="1377"/>
      <c r="C21" s="559"/>
      <c r="D21" s="559"/>
      <c r="E21" s="559"/>
      <c r="F21" s="559"/>
      <c r="G21" s="559"/>
      <c r="H21" s="560"/>
      <c r="I21" s="1378"/>
      <c r="J21" s="1379"/>
    </row>
    <row r="22" spans="1:10" ht="15.75" thickBot="1" x14ac:dyDescent="0.3">
      <c r="A22" s="561" t="s">
        <v>1579</v>
      </c>
      <c r="B22" s="562"/>
      <c r="C22" s="563">
        <f>SUM(C16:E21)</f>
        <v>0</v>
      </c>
      <c r="D22" s="563">
        <f>SUM(D16:G21)</f>
        <v>0</v>
      </c>
      <c r="E22" s="563">
        <f>SUM(E16:I21)</f>
        <v>0</v>
      </c>
      <c r="F22" s="563">
        <f>SUM(F16:J21)</f>
        <v>0</v>
      </c>
      <c r="G22" s="563">
        <f>SUM(G16:J21)</f>
        <v>0</v>
      </c>
      <c r="H22" s="563"/>
      <c r="I22" s="1374">
        <f>SUM(I16:J21)</f>
        <v>0</v>
      </c>
      <c r="J22" s="1375"/>
    </row>
    <row r="23" spans="1:10" ht="15" x14ac:dyDescent="0.25"/>
  </sheetData>
  <mergeCells count="33">
    <mergeCell ref="C6:D6"/>
    <mergeCell ref="E6:F6"/>
    <mergeCell ref="H6:I6"/>
    <mergeCell ref="A1:J1"/>
    <mergeCell ref="C2:J2"/>
    <mergeCell ref="C3:J3"/>
    <mergeCell ref="C4:J4"/>
    <mergeCell ref="C5:J5"/>
    <mergeCell ref="C7:J7"/>
    <mergeCell ref="C8:J8"/>
    <mergeCell ref="C9:J9"/>
    <mergeCell ref="C10:E10"/>
    <mergeCell ref="F10:G10"/>
    <mergeCell ref="H10:J10"/>
    <mergeCell ref="C11:E11"/>
    <mergeCell ref="F11:G11"/>
    <mergeCell ref="H11:J11"/>
    <mergeCell ref="A13:J13"/>
    <mergeCell ref="A15:B15"/>
    <mergeCell ref="I15:J15"/>
    <mergeCell ref="A16:B16"/>
    <mergeCell ref="I16:J16"/>
    <mergeCell ref="A17:B17"/>
    <mergeCell ref="I17:J17"/>
    <mergeCell ref="A18:B18"/>
    <mergeCell ref="I18:J18"/>
    <mergeCell ref="I22:J22"/>
    <mergeCell ref="A19:B19"/>
    <mergeCell ref="I19:J19"/>
    <mergeCell ref="A20:B20"/>
    <mergeCell ref="I20:J20"/>
    <mergeCell ref="A21:B21"/>
    <mergeCell ref="I21:J21"/>
  </mergeCells>
  <dataValidations count="1">
    <dataValidation type="whole" allowBlank="1" showInputMessage="1" showErrorMessage="1" errorTitle="Attention!" error="Valeur numérique attendue" sqref="C16:G21 I16:I21" xr:uid="{496EBEA4-5271-4797-BF4A-64D4386A1AC1}">
      <formula1>-9999999999999</formula1>
      <formula2>9999999999999</formula2>
    </dataValidation>
  </dataValidation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F2309-67C7-4313-8AD6-8CC32A0F93C3}">
  <dimension ref="A1:J42"/>
  <sheetViews>
    <sheetView workbookViewId="0">
      <selection sqref="A1:XFD1048576"/>
    </sheetView>
  </sheetViews>
  <sheetFormatPr baseColWidth="10" defaultColWidth="11.42578125" defaultRowHeight="13.9" customHeight="1" x14ac:dyDescent="0.25"/>
  <cols>
    <col min="1" max="1" width="11.42578125" style="376"/>
    <col min="2" max="2" width="18" style="376" customWidth="1"/>
    <col min="3" max="3" width="11.42578125" style="376"/>
    <col min="4" max="4" width="4.5703125" style="376" customWidth="1"/>
    <col min="5" max="5" width="4.42578125" style="376" customWidth="1"/>
    <col min="6" max="6" width="11.42578125" style="376"/>
    <col min="7" max="8" width="15.85546875" style="376" customWidth="1"/>
    <col min="9" max="9" width="9.7109375" style="376" customWidth="1"/>
    <col min="10" max="10" width="8.42578125" style="376" customWidth="1"/>
    <col min="11" max="11" width="8.140625" style="376" customWidth="1"/>
    <col min="12" max="12" width="9.42578125" style="376" customWidth="1"/>
    <col min="13" max="16384" width="11.42578125" style="376"/>
  </cols>
  <sheetData>
    <row r="1" spans="1:10" ht="10.5" customHeight="1" x14ac:dyDescent="0.25">
      <c r="A1" s="617"/>
      <c r="B1" s="617"/>
      <c r="C1" s="618"/>
      <c r="D1" s="618"/>
      <c r="E1" s="618"/>
      <c r="F1" s="618"/>
      <c r="G1" s="618"/>
      <c r="H1" s="618"/>
      <c r="I1" s="618"/>
      <c r="J1" s="618"/>
    </row>
    <row r="2" spans="1:10" ht="15" x14ac:dyDescent="0.25">
      <c r="A2" s="200" t="s">
        <v>363</v>
      </c>
      <c r="B2" s="200"/>
      <c r="C2" s="619">
        <v>4444444444</v>
      </c>
      <c r="D2" s="619"/>
      <c r="E2" s="619"/>
      <c r="F2" s="619"/>
      <c r="G2" s="619"/>
      <c r="H2" s="619"/>
      <c r="I2" s="619"/>
      <c r="J2" s="619"/>
    </row>
    <row r="3" spans="1:10" ht="15" customHeight="1" x14ac:dyDescent="0.25">
      <c r="A3" s="200"/>
      <c r="B3" s="200"/>
      <c r="C3" s="620">
        <v>56565665</v>
      </c>
      <c r="D3" s="620"/>
      <c r="E3" s="620"/>
      <c r="F3" s="620"/>
      <c r="G3" s="620"/>
      <c r="H3" s="620"/>
      <c r="I3" s="620"/>
      <c r="J3" s="620"/>
    </row>
    <row r="4" spans="1:10" ht="15" x14ac:dyDescent="0.25">
      <c r="A4" s="200" t="s">
        <v>364</v>
      </c>
      <c r="B4" s="200"/>
      <c r="C4" s="620" t="s">
        <v>6</v>
      </c>
      <c r="D4" s="620"/>
      <c r="E4" s="620"/>
      <c r="F4" s="620"/>
      <c r="G4" s="620"/>
      <c r="H4" s="620"/>
      <c r="I4" s="620"/>
      <c r="J4" s="620"/>
    </row>
    <row r="5" spans="1:10" ht="15" customHeight="1" x14ac:dyDescent="0.25">
      <c r="A5" s="200" t="s">
        <v>365</v>
      </c>
      <c r="B5" s="200"/>
      <c r="C5" s="621" t="s">
        <v>699</v>
      </c>
      <c r="D5" s="621"/>
      <c r="E5" s="621"/>
      <c r="F5" s="621"/>
      <c r="G5" s="621"/>
      <c r="H5" s="621"/>
      <c r="I5" s="621"/>
      <c r="J5" s="621"/>
    </row>
    <row r="6" spans="1:10" ht="15" x14ac:dyDescent="0.25">
      <c r="A6" s="200" t="s">
        <v>366</v>
      </c>
      <c r="B6" s="200"/>
      <c r="C6" s="620">
        <v>125545</v>
      </c>
      <c r="D6" s="620"/>
      <c r="E6" s="622" t="s">
        <v>367</v>
      </c>
      <c r="F6" s="622"/>
      <c r="G6" s="240">
        <v>46022</v>
      </c>
      <c r="H6" s="611" t="s">
        <v>467</v>
      </c>
      <c r="I6" s="611"/>
      <c r="J6" s="241">
        <v>12</v>
      </c>
    </row>
    <row r="7" spans="1:10" ht="15" x14ac:dyDescent="0.25">
      <c r="A7" s="198" t="s">
        <v>369</v>
      </c>
      <c r="B7" s="24"/>
      <c r="C7" s="615" t="s">
        <v>8</v>
      </c>
      <c r="D7" s="615"/>
      <c r="E7" s="615"/>
      <c r="F7" s="615"/>
      <c r="G7" s="615"/>
      <c r="H7" s="615"/>
      <c r="I7" s="615"/>
      <c r="J7" s="615"/>
    </row>
    <row r="8" spans="1:10" ht="15" x14ac:dyDescent="0.25">
      <c r="A8" s="200" t="s">
        <v>468</v>
      </c>
      <c r="B8" s="24"/>
      <c r="C8" s="616" t="s">
        <v>35</v>
      </c>
      <c r="D8" s="616"/>
      <c r="E8" s="616"/>
      <c r="F8" s="616"/>
      <c r="G8" s="616"/>
      <c r="H8" s="616"/>
      <c r="I8" s="616"/>
      <c r="J8" s="616"/>
    </row>
    <row r="9" spans="1:10" ht="15" x14ac:dyDescent="0.25">
      <c r="A9" s="200"/>
      <c r="B9" s="24"/>
      <c r="C9" s="611" t="s">
        <v>36</v>
      </c>
      <c r="D9" s="611"/>
      <c r="E9" s="611"/>
      <c r="F9" s="611"/>
      <c r="G9" s="611"/>
      <c r="H9" s="611"/>
      <c r="I9" s="611"/>
      <c r="J9" s="611"/>
    </row>
    <row r="10" spans="1:10" ht="15" x14ac:dyDescent="0.25">
      <c r="A10" s="200" t="s">
        <v>469</v>
      </c>
      <c r="B10" s="24"/>
      <c r="C10" s="611" t="s">
        <v>40</v>
      </c>
      <c r="D10" s="611"/>
      <c r="E10" s="611"/>
      <c r="F10" s="611" t="s">
        <v>470</v>
      </c>
      <c r="G10" s="611"/>
      <c r="H10" s="611" t="s">
        <v>38</v>
      </c>
      <c r="I10" s="611"/>
      <c r="J10" s="611"/>
    </row>
    <row r="11" spans="1:10" ht="15" x14ac:dyDescent="0.25">
      <c r="A11" s="200" t="s">
        <v>471</v>
      </c>
      <c r="B11" s="24"/>
      <c r="C11" s="610">
        <v>44713</v>
      </c>
      <c r="D11" s="610"/>
      <c r="E11" s="610"/>
      <c r="F11" s="611" t="s">
        <v>472</v>
      </c>
      <c r="G11" s="611"/>
      <c r="H11" s="610">
        <v>45991</v>
      </c>
      <c r="I11" s="610"/>
      <c r="J11" s="610"/>
    </row>
    <row r="12" spans="1:10" ht="8.4499999999999993" customHeight="1" thickBot="1" x14ac:dyDescent="0.3">
      <c r="A12" s="24"/>
      <c r="B12" s="24"/>
      <c r="C12" s="24"/>
      <c r="D12" s="24"/>
      <c r="E12" s="24"/>
      <c r="F12" s="24"/>
      <c r="G12" s="24"/>
      <c r="H12" s="24"/>
      <c r="I12" s="24"/>
      <c r="J12" s="24"/>
    </row>
    <row r="13" spans="1:10" ht="15.75" thickBot="1" x14ac:dyDescent="0.3">
      <c r="A13" s="612" t="s">
        <v>1580</v>
      </c>
      <c r="B13" s="1363"/>
      <c r="C13" s="1363"/>
      <c r="D13" s="1363"/>
      <c r="E13" s="1363"/>
      <c r="F13" s="1363"/>
      <c r="G13" s="1363"/>
      <c r="H13" s="1363"/>
      <c r="I13" s="1363"/>
      <c r="J13" s="1364"/>
    </row>
    <row r="14" spans="1:10" ht="6" customHeight="1" thickBot="1" x14ac:dyDescent="0.3">
      <c r="A14" s="28"/>
      <c r="B14" s="28"/>
      <c r="C14" s="1365"/>
      <c r="D14" s="1365"/>
      <c r="E14" s="1365"/>
      <c r="F14" s="1365"/>
      <c r="G14" s="1365"/>
      <c r="H14" s="1365"/>
      <c r="I14" s="1365"/>
      <c r="J14" s="28"/>
    </row>
    <row r="15" spans="1:10" ht="22.5" customHeight="1" x14ac:dyDescent="0.25">
      <c r="A15" s="1407"/>
      <c r="B15" s="1408"/>
      <c r="C15" s="1408"/>
      <c r="D15" s="1408"/>
      <c r="E15" s="1408"/>
      <c r="F15" s="1408"/>
      <c r="G15" s="1408"/>
      <c r="H15" s="564" t="s">
        <v>1581</v>
      </c>
      <c r="I15" s="1409" t="s">
        <v>1582</v>
      </c>
      <c r="J15" s="1410"/>
    </row>
    <row r="16" spans="1:10" ht="15" x14ac:dyDescent="0.25">
      <c r="A16" s="1399" t="s">
        <v>1583</v>
      </c>
      <c r="B16" s="1400"/>
      <c r="C16" s="1400"/>
      <c r="D16" s="1400"/>
      <c r="E16" s="1400"/>
      <c r="F16" s="1400"/>
      <c r="G16" s="1400"/>
      <c r="H16" s="1400"/>
      <c r="I16" s="1400"/>
      <c r="J16" s="1401"/>
    </row>
    <row r="17" spans="1:10" ht="15" x14ac:dyDescent="0.25">
      <c r="A17" s="1387" t="s">
        <v>1584</v>
      </c>
      <c r="B17" s="1388"/>
      <c r="C17" s="1388"/>
      <c r="D17" s="1388"/>
      <c r="E17" s="1388"/>
      <c r="F17" s="1388"/>
      <c r="G17" s="1388"/>
      <c r="H17" s="565"/>
      <c r="I17" s="1389"/>
      <c r="J17" s="1390"/>
    </row>
    <row r="18" spans="1:10" ht="15" x14ac:dyDescent="0.25">
      <c r="A18" s="1402" t="s">
        <v>1585</v>
      </c>
      <c r="B18" s="1403"/>
      <c r="C18" s="1403"/>
      <c r="D18" s="1403"/>
      <c r="E18" s="1403"/>
      <c r="F18" s="1403"/>
      <c r="G18" s="1404"/>
      <c r="H18" s="565"/>
      <c r="I18" s="1405"/>
      <c r="J18" s="1406"/>
    </row>
    <row r="19" spans="1:10" ht="15" x14ac:dyDescent="0.25">
      <c r="A19" s="1402" t="s">
        <v>1586</v>
      </c>
      <c r="B19" s="1403"/>
      <c r="C19" s="1403"/>
      <c r="D19" s="1403"/>
      <c r="E19" s="1403"/>
      <c r="F19" s="1403"/>
      <c r="G19" s="1404"/>
      <c r="H19" s="565"/>
      <c r="I19" s="1405"/>
      <c r="J19" s="1406"/>
    </row>
    <row r="20" spans="1:10" ht="15" x14ac:dyDescent="0.25">
      <c r="A20" s="1399" t="s">
        <v>1587</v>
      </c>
      <c r="B20" s="1400"/>
      <c r="C20" s="1400"/>
      <c r="D20" s="1400"/>
      <c r="E20" s="1400"/>
      <c r="F20" s="1400"/>
      <c r="G20" s="1400"/>
      <c r="H20" s="1400"/>
      <c r="I20" s="1400"/>
      <c r="J20" s="1401"/>
    </row>
    <row r="21" spans="1:10" ht="15" x14ac:dyDescent="0.25">
      <c r="A21" s="1387" t="s">
        <v>1588</v>
      </c>
      <c r="B21" s="1388"/>
      <c r="C21" s="1388"/>
      <c r="D21" s="1388"/>
      <c r="E21" s="1388"/>
      <c r="F21" s="1388"/>
      <c r="G21" s="1388"/>
      <c r="H21" s="565"/>
      <c r="I21" s="1389"/>
      <c r="J21" s="1390"/>
    </row>
    <row r="22" spans="1:10" ht="15" x14ac:dyDescent="0.25">
      <c r="A22" s="1387" t="s">
        <v>1589</v>
      </c>
      <c r="B22" s="1388"/>
      <c r="C22" s="1388"/>
      <c r="D22" s="1388"/>
      <c r="E22" s="1388"/>
      <c r="F22" s="1388"/>
      <c r="G22" s="1388"/>
      <c r="H22" s="565"/>
      <c r="I22" s="1389"/>
      <c r="J22" s="1390"/>
    </row>
    <row r="23" spans="1:10" ht="15" x14ac:dyDescent="0.25">
      <c r="A23" s="1387" t="s">
        <v>1590</v>
      </c>
      <c r="B23" s="1388"/>
      <c r="C23" s="1388"/>
      <c r="D23" s="1388"/>
      <c r="E23" s="1388"/>
      <c r="F23" s="1388"/>
      <c r="G23" s="1388"/>
      <c r="H23" s="565"/>
      <c r="I23" s="1389"/>
      <c r="J23" s="1390"/>
    </row>
    <row r="24" spans="1:10" ht="15" x14ac:dyDescent="0.25">
      <c r="A24" s="1387" t="s">
        <v>1591</v>
      </c>
      <c r="B24" s="1388"/>
      <c r="C24" s="1388"/>
      <c r="D24" s="1388"/>
      <c r="E24" s="1388"/>
      <c r="F24" s="1388"/>
      <c r="G24" s="1388"/>
      <c r="H24" s="565"/>
      <c r="I24" s="1389"/>
      <c r="J24" s="1390"/>
    </row>
    <row r="25" spans="1:10" ht="15" x14ac:dyDescent="0.25">
      <c r="A25" s="1387" t="s">
        <v>1592</v>
      </c>
      <c r="B25" s="1388"/>
      <c r="C25" s="1388"/>
      <c r="D25" s="1388"/>
      <c r="E25" s="1388"/>
      <c r="F25" s="1388"/>
      <c r="G25" s="1388"/>
      <c r="H25" s="565"/>
      <c r="I25" s="1389"/>
      <c r="J25" s="1390"/>
    </row>
    <row r="26" spans="1:10" ht="15" x14ac:dyDescent="0.25">
      <c r="A26" s="1387" t="s">
        <v>1593</v>
      </c>
      <c r="B26" s="1388"/>
      <c r="C26" s="1388"/>
      <c r="D26" s="1388"/>
      <c r="E26" s="1388"/>
      <c r="F26" s="1388"/>
      <c r="G26" s="1388"/>
      <c r="H26" s="565"/>
      <c r="I26" s="1389"/>
      <c r="J26" s="1390"/>
    </row>
    <row r="27" spans="1:10" ht="15" x14ac:dyDescent="0.25">
      <c r="A27" s="1387" t="s">
        <v>1594</v>
      </c>
      <c r="B27" s="1388"/>
      <c r="C27" s="1388"/>
      <c r="D27" s="1388"/>
      <c r="E27" s="1388"/>
      <c r="F27" s="1388"/>
      <c r="G27" s="1388"/>
      <c r="H27" s="565"/>
      <c r="I27" s="1389"/>
      <c r="J27" s="1390"/>
    </row>
    <row r="28" spans="1:10" ht="15" x14ac:dyDescent="0.25">
      <c r="A28" s="1391" t="s">
        <v>1595</v>
      </c>
      <c r="B28" s="1392"/>
      <c r="C28" s="1392"/>
      <c r="D28" s="1392"/>
      <c r="E28" s="1392"/>
      <c r="F28" s="1392"/>
      <c r="G28" s="1392"/>
      <c r="H28" s="566"/>
      <c r="I28" s="1393"/>
      <c r="J28" s="1394"/>
    </row>
    <row r="29" spans="1:10" ht="15.75" customHeight="1" thickBot="1" x14ac:dyDescent="0.3">
      <c r="A29" s="1395" t="s">
        <v>1064</v>
      </c>
      <c r="B29" s="1396"/>
      <c r="C29" s="1396"/>
      <c r="D29" s="1396"/>
      <c r="E29" s="1396"/>
      <c r="F29" s="1396"/>
      <c r="G29" s="1396"/>
      <c r="H29" s="567">
        <f>SUM(H17:H19)+SUM(H21:H28)</f>
        <v>0</v>
      </c>
      <c r="I29" s="1397">
        <f>SUM(I17:J19)+SUM(I21:J28)</f>
        <v>0</v>
      </c>
      <c r="J29" s="1398"/>
    </row>
    <row r="30" spans="1:10" ht="11.45" customHeight="1" x14ac:dyDescent="0.25">
      <c r="A30" s="28"/>
      <c r="B30" s="28"/>
      <c r="C30" s="28"/>
      <c r="D30" s="28"/>
      <c r="E30" s="28"/>
      <c r="F30" s="28"/>
      <c r="G30" s="28"/>
      <c r="H30" s="28"/>
      <c r="I30" s="28"/>
      <c r="J30" s="28"/>
    </row>
    <row r="31" spans="1:10" ht="15" x14ac:dyDescent="0.25">
      <c r="A31" s="890" t="s">
        <v>1596</v>
      </c>
      <c r="B31" s="890"/>
      <c r="C31" s="890"/>
      <c r="D31" s="890"/>
      <c r="E31" s="890"/>
      <c r="F31" s="890"/>
      <c r="G31" s="890"/>
      <c r="H31" s="890"/>
      <c r="I31" s="890"/>
      <c r="J31" s="890"/>
    </row>
    <row r="32" spans="1:10" ht="15" x14ac:dyDescent="0.25">
      <c r="A32" s="890" t="s">
        <v>1597</v>
      </c>
      <c r="B32" s="890"/>
      <c r="C32" s="890"/>
      <c r="D32" s="890"/>
      <c r="E32" s="890"/>
      <c r="F32" s="890"/>
      <c r="G32" s="890" t="s">
        <v>1598</v>
      </c>
      <c r="H32" s="890"/>
      <c r="I32" s="890" t="s">
        <v>1599</v>
      </c>
      <c r="J32" s="890"/>
    </row>
    <row r="33" spans="1:10" ht="15" x14ac:dyDescent="0.25">
      <c r="A33" s="1385"/>
      <c r="B33" s="1385"/>
      <c r="C33" s="1385"/>
      <c r="D33" s="1385"/>
      <c r="E33" s="1385"/>
      <c r="F33" s="1385"/>
      <c r="G33" s="1386"/>
      <c r="H33" s="1386"/>
      <c r="I33" s="1385"/>
      <c r="J33" s="1385"/>
    </row>
    <row r="34" spans="1:10" ht="15" x14ac:dyDescent="0.25">
      <c r="A34" s="1385"/>
      <c r="B34" s="1385"/>
      <c r="C34" s="1385"/>
      <c r="D34" s="1385"/>
      <c r="E34" s="1385"/>
      <c r="F34" s="1385"/>
      <c r="G34" s="1386"/>
      <c r="H34" s="1386"/>
      <c r="I34" s="1385"/>
      <c r="J34" s="1385"/>
    </row>
    <row r="35" spans="1:10" ht="15" x14ac:dyDescent="0.25">
      <c r="A35" s="1385"/>
      <c r="B35" s="1385"/>
      <c r="C35" s="1385"/>
      <c r="D35" s="1385"/>
      <c r="E35" s="1385"/>
      <c r="F35" s="1385"/>
      <c r="G35" s="1386"/>
      <c r="H35" s="1386"/>
      <c r="I35" s="1385"/>
      <c r="J35" s="1385"/>
    </row>
    <row r="36" spans="1:10" ht="15" x14ac:dyDescent="0.25">
      <c r="A36" s="1385"/>
      <c r="B36" s="1385"/>
      <c r="C36" s="1385"/>
      <c r="D36" s="1385"/>
      <c r="E36" s="1385"/>
      <c r="F36" s="1385"/>
      <c r="G36" s="1386"/>
      <c r="H36" s="1386"/>
      <c r="I36" s="1385"/>
      <c r="J36" s="1385"/>
    </row>
    <row r="37" spans="1:10" ht="15" hidden="1" x14ac:dyDescent="0.25">
      <c r="A37" s="1385"/>
      <c r="B37" s="1385"/>
      <c r="C37" s="1385"/>
      <c r="D37" s="1385"/>
      <c r="E37" s="1385"/>
      <c r="F37" s="1385"/>
      <c r="G37" s="1386"/>
      <c r="H37" s="1386"/>
      <c r="I37" s="1385"/>
      <c r="J37" s="1385"/>
    </row>
    <row r="38" spans="1:10" ht="15" x14ac:dyDescent="0.25">
      <c r="A38" s="1385"/>
      <c r="B38" s="1385"/>
      <c r="C38" s="1385"/>
      <c r="D38" s="1385"/>
      <c r="E38" s="1385"/>
      <c r="F38" s="1385"/>
      <c r="G38" s="1386"/>
      <c r="H38" s="1386"/>
      <c r="I38" s="1385"/>
      <c r="J38" s="1385"/>
    </row>
    <row r="39" spans="1:10" ht="15" x14ac:dyDescent="0.25">
      <c r="A39" s="1385"/>
      <c r="B39" s="1385"/>
      <c r="C39" s="1385"/>
      <c r="D39" s="1385"/>
      <c r="E39" s="1385"/>
      <c r="F39" s="1385"/>
      <c r="G39" s="1386"/>
      <c r="H39" s="1386"/>
      <c r="I39" s="1385"/>
      <c r="J39" s="1385"/>
    </row>
    <row r="40" spans="1:10" ht="15" x14ac:dyDescent="0.25">
      <c r="A40" s="1385"/>
      <c r="B40" s="1385"/>
      <c r="C40" s="1385"/>
      <c r="D40" s="1385"/>
      <c r="E40" s="1385"/>
      <c r="F40" s="1385"/>
      <c r="G40" s="1386"/>
      <c r="H40" s="1386"/>
      <c r="I40" s="1385"/>
      <c r="J40" s="1385"/>
    </row>
    <row r="41" spans="1:10" ht="15" x14ac:dyDescent="0.25">
      <c r="A41" s="1385"/>
      <c r="B41" s="1385"/>
      <c r="C41" s="1385"/>
      <c r="D41" s="1385"/>
      <c r="E41" s="1385"/>
      <c r="F41" s="1385"/>
      <c r="G41" s="1386"/>
      <c r="H41" s="1386"/>
      <c r="I41" s="1385"/>
      <c r="J41" s="1385"/>
    </row>
    <row r="42" spans="1:10" ht="9" customHeight="1" x14ac:dyDescent="0.25"/>
  </sheetData>
  <mergeCells count="78">
    <mergeCell ref="C6:D6"/>
    <mergeCell ref="E6:F6"/>
    <mergeCell ref="H6:I6"/>
    <mergeCell ref="A1:J1"/>
    <mergeCell ref="C2:J2"/>
    <mergeCell ref="C3:J3"/>
    <mergeCell ref="C4:J4"/>
    <mergeCell ref="C5:J5"/>
    <mergeCell ref="A15:G15"/>
    <mergeCell ref="I15:J15"/>
    <mergeCell ref="C7:J7"/>
    <mergeCell ref="C8:J8"/>
    <mergeCell ref="C9:J9"/>
    <mergeCell ref="C10:E10"/>
    <mergeCell ref="F10:G10"/>
    <mergeCell ref="H10:J10"/>
    <mergeCell ref="C11:E11"/>
    <mergeCell ref="F11:G11"/>
    <mergeCell ref="H11:J11"/>
    <mergeCell ref="A13:J13"/>
    <mergeCell ref="C14:I14"/>
    <mergeCell ref="A23:G23"/>
    <mergeCell ref="I23:J23"/>
    <mergeCell ref="A16:J16"/>
    <mergeCell ref="A17:G17"/>
    <mergeCell ref="I17:J17"/>
    <mergeCell ref="A18:G18"/>
    <mergeCell ref="I18:J18"/>
    <mergeCell ref="A19:G19"/>
    <mergeCell ref="I19:J19"/>
    <mergeCell ref="A20:J20"/>
    <mergeCell ref="A21:G21"/>
    <mergeCell ref="I21:J21"/>
    <mergeCell ref="A22:G22"/>
    <mergeCell ref="I22:J22"/>
    <mergeCell ref="A24:G24"/>
    <mergeCell ref="I24:J24"/>
    <mergeCell ref="A25:G25"/>
    <mergeCell ref="I25:J25"/>
    <mergeCell ref="A26:G26"/>
    <mergeCell ref="I26:J26"/>
    <mergeCell ref="A27:G27"/>
    <mergeCell ref="I27:J27"/>
    <mergeCell ref="A28:G28"/>
    <mergeCell ref="I28:J28"/>
    <mergeCell ref="A29:G29"/>
    <mergeCell ref="I29:J29"/>
    <mergeCell ref="A31:J31"/>
    <mergeCell ref="A32:F32"/>
    <mergeCell ref="G32:H32"/>
    <mergeCell ref="I32:J32"/>
    <mergeCell ref="A33:F33"/>
    <mergeCell ref="G33:H33"/>
    <mergeCell ref="I33:J33"/>
    <mergeCell ref="A34:F34"/>
    <mergeCell ref="G34:H34"/>
    <mergeCell ref="I34:J34"/>
    <mergeCell ref="A35:F35"/>
    <mergeCell ref="G35:H35"/>
    <mergeCell ref="I35:J35"/>
    <mergeCell ref="A36:F36"/>
    <mergeCell ref="G36:H36"/>
    <mergeCell ref="I36:J36"/>
    <mergeCell ref="A37:F37"/>
    <mergeCell ref="G37:H37"/>
    <mergeCell ref="I37:J37"/>
    <mergeCell ref="A38:F38"/>
    <mergeCell ref="G38:H38"/>
    <mergeCell ref="I38:J38"/>
    <mergeCell ref="A39:F39"/>
    <mergeCell ref="G39:H39"/>
    <mergeCell ref="I39:J39"/>
    <mergeCell ref="A40:F40"/>
    <mergeCell ref="G40:H40"/>
    <mergeCell ref="I40:J40"/>
    <mergeCell ref="A41:F41"/>
    <mergeCell ref="G41:H41"/>
    <mergeCell ref="I41:J41"/>
  </mergeCells>
  <dataValidations count="1">
    <dataValidation type="whole" allowBlank="1" showInputMessage="1" showErrorMessage="1" errorTitle="Attention!" error="Valeur numérique attendue" sqref="H17:I19 H21:I28" xr:uid="{299501B6-3CD7-446A-B53D-256C9FF1AFF7}">
      <formula1>-9999999999999</formula1>
      <formula2>9999999999999</formula2>
    </dataValidation>
  </dataValidation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38993-BE9C-414B-82E0-938CD7DCC49F}">
  <dimension ref="A1:J52"/>
  <sheetViews>
    <sheetView workbookViewId="0">
      <selection sqref="A1:XFD1048576"/>
    </sheetView>
  </sheetViews>
  <sheetFormatPr baseColWidth="10" defaultColWidth="11.42578125" defaultRowHeight="13.9" customHeight="1" x14ac:dyDescent="0.25"/>
  <cols>
    <col min="1" max="1" width="11.42578125" style="376"/>
    <col min="2" max="2" width="19" style="376" customWidth="1"/>
    <col min="3" max="3" width="11.42578125" style="376"/>
    <col min="4" max="4" width="14" style="376" customWidth="1"/>
    <col min="5" max="5" width="9.140625" style="376" customWidth="1"/>
    <col min="6" max="6" width="11.42578125" style="376"/>
    <col min="7" max="7" width="13.42578125" style="376" customWidth="1"/>
    <col min="8" max="8" width="8.42578125" style="376" customWidth="1"/>
    <col min="9" max="9" width="15.42578125" style="376" customWidth="1"/>
    <col min="10" max="10" width="8.42578125" style="376" customWidth="1"/>
    <col min="11" max="11" width="8.140625" style="376" customWidth="1"/>
    <col min="12" max="12" width="10.42578125" style="376" customWidth="1"/>
    <col min="13" max="16384" width="11.42578125" style="376"/>
  </cols>
  <sheetData>
    <row r="1" spans="1:10" ht="10.5" customHeight="1" x14ac:dyDescent="0.25">
      <c r="A1" s="617"/>
      <c r="B1" s="617"/>
      <c r="C1" s="618"/>
      <c r="D1" s="618"/>
      <c r="E1" s="618"/>
      <c r="F1" s="618"/>
      <c r="G1" s="618"/>
      <c r="H1" s="618"/>
      <c r="I1" s="618"/>
      <c r="J1" s="618"/>
    </row>
    <row r="2" spans="1:10" ht="15" x14ac:dyDescent="0.25">
      <c r="A2" s="200" t="s">
        <v>363</v>
      </c>
      <c r="B2" s="200"/>
      <c r="C2" s="619">
        <v>4444444444</v>
      </c>
      <c r="D2" s="619"/>
      <c r="E2" s="619"/>
      <c r="F2" s="619"/>
      <c r="G2" s="619"/>
      <c r="H2" s="619"/>
      <c r="I2" s="619"/>
      <c r="J2" s="619"/>
    </row>
    <row r="3" spans="1:10" ht="15" customHeight="1" x14ac:dyDescent="0.25">
      <c r="A3" s="200"/>
      <c r="B3" s="200"/>
      <c r="C3" s="620">
        <v>56565665</v>
      </c>
      <c r="D3" s="620"/>
      <c r="E3" s="620"/>
      <c r="F3" s="620"/>
      <c r="G3" s="620"/>
      <c r="H3" s="620"/>
      <c r="I3" s="620"/>
      <c r="J3" s="620"/>
    </row>
    <row r="4" spans="1:10" ht="15" x14ac:dyDescent="0.25">
      <c r="A4" s="200" t="s">
        <v>364</v>
      </c>
      <c r="B4" s="200"/>
      <c r="C4" s="620" t="s">
        <v>6</v>
      </c>
      <c r="D4" s="620"/>
      <c r="E4" s="620"/>
      <c r="F4" s="620"/>
      <c r="G4" s="620"/>
      <c r="H4" s="620"/>
      <c r="I4" s="620"/>
      <c r="J4" s="620"/>
    </row>
    <row r="5" spans="1:10" ht="15" customHeight="1" x14ac:dyDescent="0.25">
      <c r="A5" s="200" t="s">
        <v>365</v>
      </c>
      <c r="B5" s="200"/>
      <c r="C5" s="621" t="s">
        <v>699</v>
      </c>
      <c r="D5" s="621"/>
      <c r="E5" s="621"/>
      <c r="F5" s="621"/>
      <c r="G5" s="621"/>
      <c r="H5" s="621"/>
      <c r="I5" s="621"/>
      <c r="J5" s="621"/>
    </row>
    <row r="6" spans="1:10" ht="15" x14ac:dyDescent="0.25">
      <c r="A6" s="200" t="s">
        <v>366</v>
      </c>
      <c r="B6" s="200"/>
      <c r="C6" s="620">
        <v>125545</v>
      </c>
      <c r="D6" s="620"/>
      <c r="E6" s="622" t="s">
        <v>367</v>
      </c>
      <c r="F6" s="622"/>
      <c r="G6" s="240">
        <v>46022</v>
      </c>
      <c r="H6" s="611" t="s">
        <v>467</v>
      </c>
      <c r="I6" s="611"/>
      <c r="J6" s="241">
        <v>12</v>
      </c>
    </row>
    <row r="7" spans="1:10" ht="15" x14ac:dyDescent="0.25">
      <c r="A7" s="198" t="s">
        <v>369</v>
      </c>
      <c r="B7" s="24"/>
      <c r="C7" s="615" t="s">
        <v>8</v>
      </c>
      <c r="D7" s="615"/>
      <c r="E7" s="615"/>
      <c r="F7" s="615"/>
      <c r="G7" s="615"/>
      <c r="H7" s="615"/>
      <c r="I7" s="615"/>
      <c r="J7" s="615"/>
    </row>
    <row r="8" spans="1:10" ht="15" x14ac:dyDescent="0.25">
      <c r="A8" s="200" t="s">
        <v>468</v>
      </c>
      <c r="B8" s="24"/>
      <c r="C8" s="616" t="s">
        <v>35</v>
      </c>
      <c r="D8" s="616"/>
      <c r="E8" s="616"/>
      <c r="F8" s="616"/>
      <c r="G8" s="616"/>
      <c r="H8" s="616"/>
      <c r="I8" s="616"/>
      <c r="J8" s="616"/>
    </row>
    <row r="9" spans="1:10" ht="15" x14ac:dyDescent="0.25">
      <c r="A9" s="200"/>
      <c r="B9" s="24"/>
      <c r="C9" s="611" t="s">
        <v>36</v>
      </c>
      <c r="D9" s="611"/>
      <c r="E9" s="611"/>
      <c r="F9" s="611"/>
      <c r="G9" s="611"/>
      <c r="H9" s="611"/>
      <c r="I9" s="611"/>
      <c r="J9" s="611"/>
    </row>
    <row r="10" spans="1:10" ht="15" x14ac:dyDescent="0.25">
      <c r="A10" s="200" t="s">
        <v>469</v>
      </c>
      <c r="B10" s="24"/>
      <c r="C10" s="611" t="s">
        <v>40</v>
      </c>
      <c r="D10" s="611"/>
      <c r="E10" s="611"/>
      <c r="F10" s="611" t="s">
        <v>470</v>
      </c>
      <c r="G10" s="611"/>
      <c r="H10" s="611" t="s">
        <v>38</v>
      </c>
      <c r="I10" s="611"/>
      <c r="J10" s="611"/>
    </row>
    <row r="11" spans="1:10" ht="15" x14ac:dyDescent="0.25">
      <c r="A11" s="200" t="s">
        <v>471</v>
      </c>
      <c r="B11" s="24"/>
      <c r="C11" s="610">
        <v>44713</v>
      </c>
      <c r="D11" s="610"/>
      <c r="E11" s="610"/>
      <c r="F11" s="611" t="s">
        <v>472</v>
      </c>
      <c r="G11" s="611"/>
      <c r="H11" s="610">
        <v>45991</v>
      </c>
      <c r="I11" s="610"/>
      <c r="J11" s="610"/>
    </row>
    <row r="12" spans="1:10" ht="8.4499999999999993" customHeight="1" thickBot="1" x14ac:dyDescent="0.3">
      <c r="A12" s="24"/>
      <c r="B12" s="24"/>
      <c r="C12" s="24"/>
      <c r="D12" s="24"/>
      <c r="E12" s="24"/>
      <c r="F12" s="24"/>
      <c r="G12" s="24"/>
      <c r="H12" s="24"/>
      <c r="I12" s="24"/>
      <c r="J12" s="24"/>
    </row>
    <row r="13" spans="1:10" ht="15.75" thickBot="1" x14ac:dyDescent="0.3">
      <c r="A13" s="612" t="s">
        <v>1169</v>
      </c>
      <c r="B13" s="1363"/>
      <c r="C13" s="1363"/>
      <c r="D13" s="1363"/>
      <c r="E13" s="1363"/>
      <c r="F13" s="1363"/>
      <c r="G13" s="1363"/>
      <c r="H13" s="1363"/>
      <c r="I13" s="1363"/>
      <c r="J13" s="1364"/>
    </row>
    <row r="14" spans="1:10" ht="9" customHeight="1" x14ac:dyDescent="0.25">
      <c r="A14" s="28"/>
      <c r="B14" s="28"/>
      <c r="C14" s="555"/>
      <c r="D14" s="555"/>
      <c r="E14" s="555"/>
      <c r="F14" s="555"/>
      <c r="G14" s="555"/>
      <c r="H14" s="555"/>
      <c r="I14" s="555"/>
      <c r="J14" s="28"/>
    </row>
    <row r="15" spans="1:10" ht="15" x14ac:dyDescent="0.25">
      <c r="A15" s="1413" t="s">
        <v>1600</v>
      </c>
      <c r="B15" s="1413"/>
      <c r="C15" s="1413"/>
      <c r="D15" s="1413"/>
      <c r="E15" s="1413"/>
      <c r="F15" s="1413"/>
      <c r="G15" s="1413"/>
      <c r="H15" s="1413"/>
      <c r="I15" s="1413"/>
      <c r="J15" s="1413"/>
    </row>
    <row r="16" spans="1:10" ht="30" customHeight="1" x14ac:dyDescent="0.25">
      <c r="A16" s="1414" t="s">
        <v>1601</v>
      </c>
      <c r="B16" s="1414"/>
      <c r="C16" s="1414"/>
      <c r="D16" s="569" t="s">
        <v>1602</v>
      </c>
      <c r="E16" s="569" t="s">
        <v>1603</v>
      </c>
      <c r="F16" s="1415" t="s">
        <v>1604</v>
      </c>
      <c r="G16" s="1415"/>
      <c r="H16" s="569" t="s">
        <v>1605</v>
      </c>
      <c r="I16" s="1415" t="s">
        <v>1606</v>
      </c>
      <c r="J16" s="1415"/>
    </row>
    <row r="17" spans="1:10" ht="15" x14ac:dyDescent="0.25">
      <c r="A17" s="1385"/>
      <c r="B17" s="1385"/>
      <c r="C17" s="1385"/>
      <c r="D17" s="571"/>
      <c r="E17" s="523"/>
      <c r="F17" s="1412"/>
      <c r="G17" s="1412"/>
      <c r="H17" s="523"/>
      <c r="I17" s="1386"/>
      <c r="J17" s="1386"/>
    </row>
    <row r="18" spans="1:10" ht="15" x14ac:dyDescent="0.25">
      <c r="A18" s="1385"/>
      <c r="B18" s="1385"/>
      <c r="C18" s="1385"/>
      <c r="D18" s="571"/>
      <c r="E18" s="523"/>
      <c r="F18" s="1412"/>
      <c r="G18" s="1412"/>
      <c r="H18" s="523"/>
      <c r="I18" s="1386"/>
      <c r="J18" s="1386"/>
    </row>
    <row r="19" spans="1:10" ht="15" x14ac:dyDescent="0.25">
      <c r="A19" s="1385"/>
      <c r="B19" s="1385"/>
      <c r="C19" s="1385"/>
      <c r="D19" s="571"/>
      <c r="E19" s="523"/>
      <c r="F19" s="1412"/>
      <c r="G19" s="1412"/>
      <c r="H19" s="523"/>
      <c r="I19" s="1386"/>
      <c r="J19" s="1386"/>
    </row>
    <row r="20" spans="1:10" ht="15" x14ac:dyDescent="0.25">
      <c r="A20" s="1385"/>
      <c r="B20" s="1385"/>
      <c r="C20" s="1385"/>
      <c r="D20" s="571"/>
      <c r="E20" s="523"/>
      <c r="F20" s="1412"/>
      <c r="G20" s="1412"/>
      <c r="H20" s="523"/>
      <c r="I20" s="1386"/>
      <c r="J20" s="1386"/>
    </row>
    <row r="21" spans="1:10" ht="15" x14ac:dyDescent="0.25">
      <c r="A21" s="1385"/>
      <c r="B21" s="1385"/>
      <c r="C21" s="1385"/>
      <c r="D21" s="571"/>
      <c r="E21" s="523"/>
      <c r="F21" s="1412"/>
      <c r="G21" s="1412"/>
      <c r="H21" s="523"/>
      <c r="I21" s="1386"/>
      <c r="J21" s="1386"/>
    </row>
    <row r="22" spans="1:10" ht="15" x14ac:dyDescent="0.25">
      <c r="A22" s="1385"/>
      <c r="B22" s="1385"/>
      <c r="C22" s="1385"/>
      <c r="D22" s="571"/>
      <c r="E22" s="523"/>
      <c r="F22" s="1412"/>
      <c r="G22" s="1412"/>
      <c r="H22" s="523"/>
      <c r="I22" s="1386"/>
      <c r="J22" s="1386"/>
    </row>
    <row r="23" spans="1:10" ht="15" x14ac:dyDescent="0.25">
      <c r="A23" s="1385"/>
      <c r="B23" s="1385"/>
      <c r="C23" s="1385"/>
      <c r="D23" s="571"/>
      <c r="E23" s="523"/>
      <c r="F23" s="1412"/>
      <c r="G23" s="1412"/>
      <c r="H23" s="523"/>
      <c r="I23" s="1386"/>
      <c r="J23" s="1386"/>
    </row>
    <row r="24" spans="1:10" ht="15" x14ac:dyDescent="0.25">
      <c r="A24" s="1385"/>
      <c r="B24" s="1385"/>
      <c r="C24" s="1385"/>
      <c r="D24" s="571"/>
      <c r="E24" s="523"/>
      <c r="F24" s="1412"/>
      <c r="G24" s="1412"/>
      <c r="H24" s="523"/>
      <c r="I24" s="1386"/>
      <c r="J24" s="1386"/>
    </row>
    <row r="25" spans="1:10" ht="15" x14ac:dyDescent="0.25">
      <c r="A25" s="1385"/>
      <c r="B25" s="1385"/>
      <c r="C25" s="1385"/>
      <c r="D25" s="571"/>
      <c r="E25" s="523"/>
      <c r="F25" s="1412"/>
      <c r="G25" s="1412"/>
      <c r="H25" s="523"/>
      <c r="I25" s="1386"/>
      <c r="J25" s="1386"/>
    </row>
    <row r="26" spans="1:10" ht="15" x14ac:dyDescent="0.25">
      <c r="A26" s="1385"/>
      <c r="B26" s="1385"/>
      <c r="C26" s="1385"/>
      <c r="D26" s="571"/>
      <c r="E26" s="523"/>
      <c r="F26" s="1412"/>
      <c r="G26" s="1412"/>
      <c r="H26" s="523"/>
      <c r="I26" s="1386"/>
      <c r="J26" s="1386"/>
    </row>
    <row r="27" spans="1:10" ht="15" x14ac:dyDescent="0.25">
      <c r="A27" s="1385"/>
      <c r="B27" s="1385"/>
      <c r="C27" s="1385"/>
      <c r="D27" s="571"/>
      <c r="E27" s="523"/>
      <c r="F27" s="1412"/>
      <c r="G27" s="1412"/>
      <c r="H27" s="523"/>
      <c r="I27" s="1386"/>
      <c r="J27" s="1386"/>
    </row>
    <row r="28" spans="1:10" ht="15" x14ac:dyDescent="0.25">
      <c r="A28" s="1385"/>
      <c r="B28" s="1385"/>
      <c r="C28" s="1385"/>
      <c r="D28" s="571"/>
      <c r="E28" s="523"/>
      <c r="F28" s="1412"/>
      <c r="G28" s="1412"/>
      <c r="H28" s="523"/>
      <c r="I28" s="1386"/>
      <c r="J28" s="1386"/>
    </row>
    <row r="29" spans="1:10" ht="15" x14ac:dyDescent="0.25">
      <c r="A29" s="1385"/>
      <c r="B29" s="1385"/>
      <c r="C29" s="1385"/>
      <c r="D29" s="571"/>
      <c r="E29" s="523"/>
      <c r="F29" s="1412"/>
      <c r="G29" s="1412"/>
      <c r="H29" s="523"/>
      <c r="I29" s="1386"/>
      <c r="J29" s="1386"/>
    </row>
    <row r="30" spans="1:10" ht="15" x14ac:dyDescent="0.25">
      <c r="A30" s="28"/>
      <c r="B30" s="28"/>
      <c r="C30" s="28"/>
      <c r="D30" s="28"/>
      <c r="E30" s="28"/>
      <c r="F30" s="28"/>
      <c r="G30" s="28"/>
      <c r="H30" s="28"/>
      <c r="I30" s="28"/>
      <c r="J30" s="28"/>
    </row>
    <row r="31" spans="1:10" ht="15" x14ac:dyDescent="0.25">
      <c r="A31" s="1413" t="s">
        <v>1607</v>
      </c>
      <c r="B31" s="1413"/>
      <c r="C31" s="1413"/>
      <c r="D31" s="1413"/>
      <c r="E31" s="1413"/>
      <c r="F31" s="1413"/>
      <c r="G31" s="1413"/>
      <c r="H31" s="1413"/>
      <c r="I31" s="1413"/>
      <c r="J31" s="1413"/>
    </row>
    <row r="32" spans="1:10" ht="18" customHeight="1" x14ac:dyDescent="0.25">
      <c r="A32" s="1414" t="s">
        <v>1608</v>
      </c>
      <c r="B32" s="1414"/>
      <c r="C32" s="1414"/>
      <c r="D32" s="1414"/>
      <c r="E32" s="1414"/>
      <c r="F32" s="1414" t="s">
        <v>1609</v>
      </c>
      <c r="G32" s="1414"/>
      <c r="H32" s="1414"/>
      <c r="I32" s="1414" t="s">
        <v>1610</v>
      </c>
      <c r="J32" s="1414"/>
    </row>
    <row r="33" spans="1:10" ht="15" x14ac:dyDescent="0.25">
      <c r="A33" s="1385"/>
      <c r="B33" s="1385"/>
      <c r="C33" s="1385"/>
      <c r="D33" s="1385"/>
      <c r="E33" s="1385"/>
      <c r="F33" s="1385"/>
      <c r="G33" s="1385"/>
      <c r="H33" s="1385"/>
      <c r="I33" s="1386"/>
      <c r="J33" s="1386"/>
    </row>
    <row r="34" spans="1:10" ht="15" x14ac:dyDescent="0.25">
      <c r="A34" s="1385"/>
      <c r="B34" s="1385"/>
      <c r="C34" s="1385"/>
      <c r="D34" s="1385"/>
      <c r="E34" s="1385"/>
      <c r="F34" s="1385"/>
      <c r="G34" s="1385"/>
      <c r="H34" s="1385"/>
      <c r="I34" s="1386"/>
      <c r="J34" s="1386"/>
    </row>
    <row r="35" spans="1:10" ht="15" x14ac:dyDescent="0.25">
      <c r="A35" s="1385"/>
      <c r="B35" s="1385"/>
      <c r="C35" s="1385"/>
      <c r="D35" s="1385"/>
      <c r="E35" s="1385"/>
      <c r="F35" s="1385"/>
      <c r="G35" s="1385"/>
      <c r="H35" s="1385"/>
      <c r="I35" s="1386"/>
      <c r="J35" s="1386"/>
    </row>
    <row r="36" spans="1:10" ht="15" x14ac:dyDescent="0.25">
      <c r="A36" s="1385"/>
      <c r="B36" s="1385"/>
      <c r="C36" s="1385"/>
      <c r="D36" s="1385"/>
      <c r="E36" s="1385"/>
      <c r="F36" s="1385"/>
      <c r="G36" s="1385"/>
      <c r="H36" s="1385"/>
      <c r="I36" s="1386"/>
      <c r="J36" s="1386"/>
    </row>
    <row r="37" spans="1:10" ht="15" x14ac:dyDescent="0.25">
      <c r="A37" s="1385"/>
      <c r="B37" s="1385"/>
      <c r="C37" s="1385"/>
      <c r="D37" s="1385"/>
      <c r="E37" s="1385"/>
      <c r="F37" s="1385"/>
      <c r="G37" s="1385"/>
      <c r="H37" s="1385"/>
      <c r="I37" s="1386"/>
      <c r="J37" s="1386"/>
    </row>
    <row r="38" spans="1:10" ht="15" x14ac:dyDescent="0.25">
      <c r="A38" s="1385"/>
      <c r="B38" s="1385"/>
      <c r="C38" s="1385"/>
      <c r="D38" s="1385"/>
      <c r="E38" s="1385"/>
      <c r="F38" s="1385"/>
      <c r="G38" s="1385"/>
      <c r="H38" s="1385"/>
      <c r="I38" s="1386"/>
      <c r="J38" s="1386"/>
    </row>
    <row r="39" spans="1:10" ht="15" x14ac:dyDescent="0.25">
      <c r="A39" s="1385"/>
      <c r="B39" s="1385"/>
      <c r="C39" s="1385"/>
      <c r="D39" s="1385"/>
      <c r="E39" s="1385"/>
      <c r="F39" s="1385"/>
      <c r="G39" s="1385"/>
      <c r="H39" s="1385"/>
      <c r="I39" s="1386"/>
      <c r="J39" s="1386"/>
    </row>
    <row r="40" spans="1:10" ht="15" x14ac:dyDescent="0.25">
      <c r="A40" s="1385"/>
      <c r="B40" s="1385"/>
      <c r="C40" s="1385"/>
      <c r="D40" s="1385"/>
      <c r="E40" s="1385"/>
      <c r="F40" s="1385"/>
      <c r="G40" s="1385"/>
      <c r="H40" s="1385"/>
      <c r="I40" s="1386"/>
      <c r="J40" s="1386"/>
    </row>
    <row r="41" spans="1:10" ht="15" x14ac:dyDescent="0.25">
      <c r="A41" s="1385"/>
      <c r="B41" s="1385"/>
      <c r="C41" s="1385"/>
      <c r="D41" s="1385"/>
      <c r="E41" s="1385"/>
      <c r="F41" s="1385"/>
      <c r="G41" s="1385"/>
      <c r="H41" s="1385"/>
      <c r="I41" s="1386"/>
      <c r="J41" s="1386"/>
    </row>
    <row r="42" spans="1:10" ht="15" x14ac:dyDescent="0.25">
      <c r="A42" s="1385"/>
      <c r="B42" s="1385"/>
      <c r="C42" s="1385"/>
      <c r="D42" s="1385"/>
      <c r="E42" s="1385"/>
      <c r="F42" s="1385"/>
      <c r="G42" s="1385"/>
      <c r="H42" s="1385"/>
      <c r="I42" s="1386"/>
      <c r="J42" s="1386"/>
    </row>
    <row r="43" spans="1:10" ht="15" x14ac:dyDescent="0.25">
      <c r="A43" s="1385"/>
      <c r="B43" s="1385"/>
      <c r="C43" s="1385"/>
      <c r="D43" s="1385"/>
      <c r="E43" s="1385"/>
      <c r="F43" s="1385"/>
      <c r="G43" s="1385"/>
      <c r="H43" s="1385"/>
      <c r="I43" s="1386"/>
      <c r="J43" s="1386"/>
    </row>
    <row r="44" spans="1:10" ht="15" x14ac:dyDescent="0.25">
      <c r="A44" s="1385"/>
      <c r="B44" s="1385"/>
      <c r="C44" s="1385"/>
      <c r="D44" s="1385"/>
      <c r="E44" s="1385"/>
      <c r="F44" s="1385"/>
      <c r="G44" s="1385"/>
      <c r="H44" s="1385"/>
      <c r="I44" s="1386"/>
      <c r="J44" s="1386"/>
    </row>
    <row r="45" spans="1:10" ht="15" x14ac:dyDescent="0.25">
      <c r="A45" s="1385"/>
      <c r="B45" s="1385"/>
      <c r="C45" s="1385"/>
      <c r="D45" s="1385"/>
      <c r="E45" s="1385"/>
      <c r="F45" s="1385"/>
      <c r="G45" s="1385"/>
      <c r="H45" s="1385"/>
      <c r="I45" s="1386"/>
      <c r="J45" s="1386"/>
    </row>
    <row r="46" spans="1:10" ht="15" x14ac:dyDescent="0.25">
      <c r="A46" s="1385"/>
      <c r="B46" s="1385"/>
      <c r="C46" s="1385"/>
      <c r="D46" s="1385"/>
      <c r="E46" s="1385"/>
      <c r="F46" s="1385"/>
      <c r="G46" s="1385"/>
      <c r="H46" s="1385"/>
      <c r="I46" s="1386"/>
      <c r="J46" s="1386"/>
    </row>
    <row r="47" spans="1:10" ht="15" x14ac:dyDescent="0.25">
      <c r="A47" s="1385"/>
      <c r="B47" s="1385"/>
      <c r="C47" s="1385"/>
      <c r="D47" s="1385"/>
      <c r="E47" s="1385"/>
      <c r="F47" s="1385"/>
      <c r="G47" s="1385"/>
      <c r="H47" s="1385"/>
      <c r="I47" s="1386"/>
      <c r="J47" s="1386"/>
    </row>
    <row r="48" spans="1:10" ht="9.6" customHeight="1" x14ac:dyDescent="0.25">
      <c r="A48" s="28"/>
      <c r="B48" s="28"/>
      <c r="C48" s="28"/>
      <c r="D48" s="28"/>
      <c r="E48" s="28"/>
      <c r="F48" s="28"/>
      <c r="G48" s="28"/>
      <c r="H48" s="28"/>
      <c r="I48" s="28"/>
      <c r="J48" s="28"/>
    </row>
    <row r="49" spans="1:10" ht="15" x14ac:dyDescent="0.25">
      <c r="A49" s="1411" t="s">
        <v>1611</v>
      </c>
      <c r="B49" s="1411"/>
      <c r="C49" s="1411"/>
      <c r="D49" s="1411"/>
      <c r="E49" s="1411"/>
      <c r="F49" s="1411"/>
      <c r="G49" s="1411"/>
      <c r="H49" s="1411"/>
      <c r="I49" s="1411"/>
      <c r="J49" s="1411"/>
    </row>
    <row r="50" spans="1:10" ht="15" x14ac:dyDescent="0.25">
      <c r="A50" s="572"/>
      <c r="B50" s="572"/>
      <c r="C50" s="572"/>
      <c r="D50" s="572"/>
      <c r="E50" s="572"/>
      <c r="F50" s="572"/>
      <c r="G50" s="572"/>
      <c r="H50" s="572"/>
      <c r="I50" s="572"/>
      <c r="J50" s="572"/>
    </row>
    <row r="51" spans="1:10" ht="15" x14ac:dyDescent="0.25"/>
    <row r="52" spans="1:10" ht="15" x14ac:dyDescent="0.25"/>
  </sheetData>
  <mergeCells count="111">
    <mergeCell ref="C7:J7"/>
    <mergeCell ref="C8:J8"/>
    <mergeCell ref="C9:J9"/>
    <mergeCell ref="C10:E10"/>
    <mergeCell ref="F10:G10"/>
    <mergeCell ref="H10:J10"/>
    <mergeCell ref="A1:J1"/>
    <mergeCell ref="C2:J2"/>
    <mergeCell ref="C3:J3"/>
    <mergeCell ref="C4:J4"/>
    <mergeCell ref="C5:J5"/>
    <mergeCell ref="C6:D6"/>
    <mergeCell ref="E6:F6"/>
    <mergeCell ref="H6:I6"/>
    <mergeCell ref="A17:C17"/>
    <mergeCell ref="F17:G17"/>
    <mergeCell ref="I17:J17"/>
    <mergeCell ref="A18:C18"/>
    <mergeCell ref="F18:G18"/>
    <mergeCell ref="I18:J18"/>
    <mergeCell ref="C11:E11"/>
    <mergeCell ref="F11:G11"/>
    <mergeCell ref="H11:J11"/>
    <mergeCell ref="A13:J13"/>
    <mergeCell ref="A15:J15"/>
    <mergeCell ref="A16:C16"/>
    <mergeCell ref="F16:G16"/>
    <mergeCell ref="I16:J16"/>
    <mergeCell ref="A21:C21"/>
    <mergeCell ref="F21:G21"/>
    <mergeCell ref="I21:J21"/>
    <mergeCell ref="A22:C22"/>
    <mergeCell ref="F22:G22"/>
    <mergeCell ref="I22:J22"/>
    <mergeCell ref="A19:C19"/>
    <mergeCell ref="F19:G19"/>
    <mergeCell ref="I19:J19"/>
    <mergeCell ref="A20:C20"/>
    <mergeCell ref="F20:G20"/>
    <mergeCell ref="I20:J20"/>
    <mergeCell ref="A25:C25"/>
    <mergeCell ref="F25:G25"/>
    <mergeCell ref="I25:J25"/>
    <mergeCell ref="A26:C26"/>
    <mergeCell ref="F26:G26"/>
    <mergeCell ref="I26:J26"/>
    <mergeCell ref="A23:C23"/>
    <mergeCell ref="F23:G23"/>
    <mergeCell ref="I23:J23"/>
    <mergeCell ref="A24:C24"/>
    <mergeCell ref="F24:G24"/>
    <mergeCell ref="I24:J24"/>
    <mergeCell ref="A29:C29"/>
    <mergeCell ref="F29:G29"/>
    <mergeCell ref="I29:J29"/>
    <mergeCell ref="A31:J31"/>
    <mergeCell ref="A32:E32"/>
    <mergeCell ref="F32:H32"/>
    <mergeCell ref="I32:J32"/>
    <mergeCell ref="A27:C27"/>
    <mergeCell ref="F27:G27"/>
    <mergeCell ref="I27:J27"/>
    <mergeCell ref="A28:C28"/>
    <mergeCell ref="F28:G28"/>
    <mergeCell ref="I28:J28"/>
    <mergeCell ref="A35:E35"/>
    <mergeCell ref="F35:H35"/>
    <mergeCell ref="I35:J35"/>
    <mergeCell ref="A36:E36"/>
    <mergeCell ref="F36:H36"/>
    <mergeCell ref="I36:J36"/>
    <mergeCell ref="A33:E33"/>
    <mergeCell ref="F33:H33"/>
    <mergeCell ref="I33:J33"/>
    <mergeCell ref="A34:E34"/>
    <mergeCell ref="F34:H34"/>
    <mergeCell ref="I34:J34"/>
    <mergeCell ref="A39:E39"/>
    <mergeCell ref="F39:H39"/>
    <mergeCell ref="I39:J39"/>
    <mergeCell ref="A40:E40"/>
    <mergeCell ref="F40:H40"/>
    <mergeCell ref="I40:J40"/>
    <mergeCell ref="A37:E37"/>
    <mergeCell ref="F37:H37"/>
    <mergeCell ref="I37:J37"/>
    <mergeCell ref="A38:E38"/>
    <mergeCell ref="F38:H38"/>
    <mergeCell ref="I38:J38"/>
    <mergeCell ref="A43:E43"/>
    <mergeCell ref="F43:H43"/>
    <mergeCell ref="I43:J43"/>
    <mergeCell ref="A44:E44"/>
    <mergeCell ref="F44:H44"/>
    <mergeCell ref="I44:J44"/>
    <mergeCell ref="A41:E41"/>
    <mergeCell ref="F41:H41"/>
    <mergeCell ref="I41:J41"/>
    <mergeCell ref="A42:E42"/>
    <mergeCell ref="F42:H42"/>
    <mergeCell ref="I42:J42"/>
    <mergeCell ref="A47:E47"/>
    <mergeCell ref="F47:H47"/>
    <mergeCell ref="I47:J47"/>
    <mergeCell ref="A49:J49"/>
    <mergeCell ref="A45:E45"/>
    <mergeCell ref="F45:H45"/>
    <mergeCell ref="I45:J45"/>
    <mergeCell ref="A46:E46"/>
    <mergeCell ref="F46:H46"/>
    <mergeCell ref="I46:J46"/>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31136-234A-4415-B583-B8A8A833F294}">
  <dimension ref="A1:J47"/>
  <sheetViews>
    <sheetView workbookViewId="0">
      <selection sqref="A1:XFD1048576"/>
    </sheetView>
  </sheetViews>
  <sheetFormatPr baseColWidth="10" defaultColWidth="11.42578125" defaultRowHeight="14.45" customHeight="1" x14ac:dyDescent="0.25"/>
  <cols>
    <col min="2" max="2" width="19.85546875" customWidth="1"/>
    <col min="7" max="7" width="13.5703125" customWidth="1"/>
    <col min="12" max="12" width="7.42578125" customWidth="1"/>
  </cols>
  <sheetData>
    <row r="1" spans="1:10" ht="15" x14ac:dyDescent="0.25">
      <c r="A1" s="617"/>
      <c r="B1" s="617"/>
      <c r="C1" s="618"/>
      <c r="D1" s="618"/>
      <c r="E1" s="618"/>
      <c r="F1" s="618"/>
      <c r="G1" s="618"/>
      <c r="H1" s="618"/>
      <c r="I1" s="618"/>
      <c r="J1" s="618"/>
    </row>
    <row r="2" spans="1:10" ht="15" x14ac:dyDescent="0.25">
      <c r="A2" s="200" t="s">
        <v>363</v>
      </c>
      <c r="B2" s="200"/>
      <c r="C2" s="619">
        <v>4444444444</v>
      </c>
      <c r="D2" s="619"/>
      <c r="E2" s="619"/>
      <c r="F2" s="619"/>
      <c r="G2" s="619"/>
      <c r="H2" s="619"/>
      <c r="I2" s="619"/>
      <c r="J2" s="619"/>
    </row>
    <row r="3" spans="1:10" ht="15" x14ac:dyDescent="0.25">
      <c r="A3" s="200"/>
      <c r="B3" s="200"/>
      <c r="C3" s="620">
        <v>56565665</v>
      </c>
      <c r="D3" s="620"/>
      <c r="E3" s="620"/>
      <c r="F3" s="620"/>
      <c r="G3" s="620"/>
      <c r="H3" s="620"/>
      <c r="I3" s="620"/>
      <c r="J3" s="620"/>
    </row>
    <row r="4" spans="1:10" ht="15" x14ac:dyDescent="0.25">
      <c r="A4" s="200" t="s">
        <v>364</v>
      </c>
      <c r="B4" s="200"/>
      <c r="C4" s="620" t="s">
        <v>6</v>
      </c>
      <c r="D4" s="620"/>
      <c r="E4" s="620"/>
      <c r="F4" s="620"/>
      <c r="G4" s="620"/>
      <c r="H4" s="620"/>
      <c r="I4" s="620"/>
      <c r="J4" s="620"/>
    </row>
    <row r="5" spans="1:10" ht="15" x14ac:dyDescent="0.25">
      <c r="A5" s="200" t="s">
        <v>365</v>
      </c>
      <c r="B5" s="200"/>
      <c r="C5" s="621" t="s">
        <v>699</v>
      </c>
      <c r="D5" s="621"/>
      <c r="E5" s="621"/>
      <c r="F5" s="621"/>
      <c r="G5" s="621"/>
      <c r="H5" s="621"/>
      <c r="I5" s="621"/>
      <c r="J5" s="621"/>
    </row>
    <row r="6" spans="1:10" ht="15" x14ac:dyDescent="0.25">
      <c r="A6" s="200" t="s">
        <v>366</v>
      </c>
      <c r="B6" s="200"/>
      <c r="C6" s="620">
        <v>125545</v>
      </c>
      <c r="D6" s="620"/>
      <c r="E6" s="622" t="s">
        <v>367</v>
      </c>
      <c r="F6" s="622"/>
      <c r="G6" s="240">
        <v>46022</v>
      </c>
      <c r="H6" s="611" t="s">
        <v>467</v>
      </c>
      <c r="I6" s="611"/>
      <c r="J6" s="241">
        <v>12</v>
      </c>
    </row>
    <row r="7" spans="1:10" ht="15" x14ac:dyDescent="0.25">
      <c r="A7" s="198" t="s">
        <v>369</v>
      </c>
      <c r="B7" s="24"/>
      <c r="C7" s="615" t="s">
        <v>8</v>
      </c>
      <c r="D7" s="615"/>
      <c r="E7" s="615"/>
      <c r="F7" s="615"/>
      <c r="G7" s="615"/>
      <c r="H7" s="615"/>
      <c r="I7" s="615"/>
      <c r="J7" s="615"/>
    </row>
    <row r="8" spans="1:10" ht="15" x14ac:dyDescent="0.25">
      <c r="A8" s="200" t="s">
        <v>468</v>
      </c>
      <c r="B8" s="24"/>
      <c r="C8" s="616" t="s">
        <v>35</v>
      </c>
      <c r="D8" s="616"/>
      <c r="E8" s="616"/>
      <c r="F8" s="616"/>
      <c r="G8" s="616"/>
      <c r="H8" s="616"/>
      <c r="I8" s="616"/>
      <c r="J8" s="616"/>
    </row>
    <row r="9" spans="1:10" ht="15" x14ac:dyDescent="0.25">
      <c r="A9" s="200"/>
      <c r="B9" s="24"/>
      <c r="C9" s="611" t="s">
        <v>36</v>
      </c>
      <c r="D9" s="611"/>
      <c r="E9" s="611"/>
      <c r="F9" s="611"/>
      <c r="G9" s="611"/>
      <c r="H9" s="611"/>
      <c r="I9" s="611"/>
      <c r="J9" s="611"/>
    </row>
    <row r="10" spans="1:10" ht="15" x14ac:dyDescent="0.25">
      <c r="A10" s="200" t="s">
        <v>469</v>
      </c>
      <c r="B10" s="24"/>
      <c r="C10" s="611" t="s">
        <v>40</v>
      </c>
      <c r="D10" s="611"/>
      <c r="E10" s="611"/>
      <c r="F10" s="611" t="s">
        <v>470</v>
      </c>
      <c r="G10" s="611"/>
      <c r="H10" s="611" t="s">
        <v>38</v>
      </c>
      <c r="I10" s="611"/>
      <c r="J10" s="611"/>
    </row>
    <row r="11" spans="1:10" ht="15" x14ac:dyDescent="0.25">
      <c r="A11" s="200" t="s">
        <v>471</v>
      </c>
      <c r="B11" s="24"/>
      <c r="C11" s="610">
        <v>44713</v>
      </c>
      <c r="D11" s="610"/>
      <c r="E11" s="610"/>
      <c r="F11" s="611" t="s">
        <v>472</v>
      </c>
      <c r="G11" s="611"/>
      <c r="H11" s="610">
        <v>45991</v>
      </c>
      <c r="I11" s="610"/>
      <c r="J11" s="610"/>
    </row>
    <row r="12" spans="1:10" ht="8.4499999999999993" customHeight="1" thickBot="1" x14ac:dyDescent="0.3">
      <c r="A12" s="252"/>
      <c r="B12" s="252"/>
      <c r="C12" s="252"/>
      <c r="D12" s="252"/>
      <c r="E12" s="252"/>
      <c r="F12" s="252"/>
      <c r="G12" s="252"/>
      <c r="H12" s="252"/>
      <c r="I12" s="252"/>
      <c r="J12" s="252"/>
    </row>
    <row r="13" spans="1:10" ht="15.75" thickBot="1" x14ac:dyDescent="0.3">
      <c r="A13" s="612" t="s">
        <v>1171</v>
      </c>
      <c r="B13" s="1363"/>
      <c r="C13" s="1363"/>
      <c r="D13" s="1363"/>
      <c r="E13" s="1363"/>
      <c r="F13" s="1363"/>
      <c r="G13" s="1363"/>
      <c r="H13" s="1363"/>
      <c r="I13" s="1363"/>
      <c r="J13" s="1364"/>
    </row>
    <row r="14" spans="1:10" ht="7.9" customHeight="1" x14ac:dyDescent="0.25">
      <c r="A14" s="28"/>
      <c r="B14" s="28"/>
      <c r="C14" s="28"/>
      <c r="D14" s="28"/>
      <c r="E14" s="28"/>
      <c r="F14" s="28"/>
      <c r="G14" s="28"/>
      <c r="H14" s="28"/>
      <c r="I14" s="28"/>
      <c r="J14" s="28"/>
    </row>
    <row r="15" spans="1:10" ht="6" customHeight="1" x14ac:dyDescent="0.25">
      <c r="A15" s="28"/>
      <c r="B15" s="28"/>
      <c r="C15" s="28"/>
      <c r="D15" s="28"/>
      <c r="E15" s="28"/>
      <c r="F15" s="28"/>
      <c r="G15" s="28"/>
      <c r="H15" s="28"/>
      <c r="I15" s="28"/>
      <c r="J15" s="28"/>
    </row>
    <row r="16" spans="1:10" ht="15" x14ac:dyDescent="0.25">
      <c r="A16" s="1413" t="s">
        <v>1612</v>
      </c>
      <c r="B16" s="1413"/>
      <c r="C16" s="1413"/>
      <c r="D16" s="1413"/>
      <c r="E16" s="1413"/>
      <c r="F16" s="1413"/>
      <c r="G16" s="1413"/>
      <c r="H16" s="1413"/>
      <c r="I16" s="1413"/>
      <c r="J16" s="1413"/>
    </row>
    <row r="17" spans="1:10" ht="15" x14ac:dyDescent="0.25">
      <c r="A17" s="1414" t="s">
        <v>1608</v>
      </c>
      <c r="B17" s="1414"/>
      <c r="C17" s="1414"/>
      <c r="D17" s="1414"/>
      <c r="E17" s="1414"/>
      <c r="F17" s="1414" t="s">
        <v>1613</v>
      </c>
      <c r="G17" s="1414"/>
      <c r="H17" s="1414"/>
      <c r="I17" s="1414" t="s">
        <v>1610</v>
      </c>
      <c r="J17" s="1414"/>
    </row>
    <row r="18" spans="1:10" ht="15" x14ac:dyDescent="0.25">
      <c r="A18" s="1385"/>
      <c r="B18" s="1385"/>
      <c r="C18" s="1385"/>
      <c r="D18" s="1385"/>
      <c r="E18" s="1385"/>
      <c r="F18" s="1385"/>
      <c r="G18" s="1385"/>
      <c r="H18" s="1385"/>
      <c r="I18" s="1386"/>
      <c r="J18" s="1386"/>
    </row>
    <row r="19" spans="1:10" ht="15" x14ac:dyDescent="0.25">
      <c r="A19" s="1385"/>
      <c r="B19" s="1385"/>
      <c r="C19" s="1385"/>
      <c r="D19" s="1385"/>
      <c r="E19" s="1385"/>
      <c r="F19" s="1385"/>
      <c r="G19" s="1385"/>
      <c r="H19" s="1385"/>
      <c r="I19" s="1386"/>
      <c r="J19" s="1386"/>
    </row>
    <row r="20" spans="1:10" ht="15" x14ac:dyDescent="0.25">
      <c r="A20" s="1385"/>
      <c r="B20" s="1385"/>
      <c r="C20" s="1385"/>
      <c r="D20" s="1385"/>
      <c r="E20" s="1385"/>
      <c r="F20" s="1385"/>
      <c r="G20" s="1385"/>
      <c r="H20" s="1385"/>
      <c r="I20" s="1386"/>
      <c r="J20" s="1386"/>
    </row>
    <row r="21" spans="1:10" ht="15" x14ac:dyDescent="0.25">
      <c r="A21" s="1385"/>
      <c r="B21" s="1385"/>
      <c r="C21" s="1385"/>
      <c r="D21" s="1385"/>
      <c r="E21" s="1385"/>
      <c r="F21" s="1385"/>
      <c r="G21" s="1385"/>
      <c r="H21" s="1385"/>
      <c r="I21" s="1386"/>
      <c r="J21" s="1386"/>
    </row>
    <row r="22" spans="1:10" ht="15" x14ac:dyDescent="0.25">
      <c r="A22" s="1385"/>
      <c r="B22" s="1385"/>
      <c r="C22" s="1385"/>
      <c r="D22" s="1385"/>
      <c r="E22" s="1385"/>
      <c r="F22" s="1385"/>
      <c r="G22" s="1385"/>
      <c r="H22" s="1385"/>
      <c r="I22" s="1386"/>
      <c r="J22" s="1386"/>
    </row>
    <row r="23" spans="1:10" ht="15" x14ac:dyDescent="0.25">
      <c r="A23" s="1385"/>
      <c r="B23" s="1385"/>
      <c r="C23" s="1385"/>
      <c r="D23" s="1385"/>
      <c r="E23" s="1385"/>
      <c r="F23" s="1385"/>
      <c r="G23" s="1385"/>
      <c r="H23" s="1385"/>
      <c r="I23" s="1386"/>
      <c r="J23" s="1386"/>
    </row>
    <row r="24" spans="1:10" ht="15" x14ac:dyDescent="0.25">
      <c r="A24" s="28"/>
      <c r="B24" s="28"/>
      <c r="C24" s="28"/>
      <c r="D24" s="28"/>
      <c r="E24" s="28"/>
      <c r="F24" s="28"/>
      <c r="G24" s="28"/>
      <c r="H24" s="28"/>
      <c r="I24" s="28"/>
      <c r="J24" s="28"/>
    </row>
    <row r="25" spans="1:10" ht="15" x14ac:dyDescent="0.25">
      <c r="A25" s="1413" t="s">
        <v>1614</v>
      </c>
      <c r="B25" s="1413"/>
      <c r="C25" s="1413"/>
      <c r="D25" s="1413"/>
      <c r="E25" s="1413"/>
      <c r="F25" s="1413"/>
      <c r="G25" s="1413"/>
      <c r="H25" s="1413"/>
      <c r="I25" s="1413"/>
      <c r="J25" s="1413"/>
    </row>
    <row r="26" spans="1:10" ht="25.5" x14ac:dyDescent="0.25">
      <c r="A26" s="1414" t="s">
        <v>1615</v>
      </c>
      <c r="B26" s="1414"/>
      <c r="C26" s="1414" t="s">
        <v>1616</v>
      </c>
      <c r="D26" s="1414"/>
      <c r="E26" s="1414" t="s">
        <v>1617</v>
      </c>
      <c r="F26" s="1414"/>
      <c r="G26" s="570" t="s">
        <v>1618</v>
      </c>
      <c r="H26" s="1414" t="s">
        <v>1619</v>
      </c>
      <c r="I26" s="1414"/>
      <c r="J26" s="1414"/>
    </row>
    <row r="27" spans="1:10" ht="15" x14ac:dyDescent="0.25">
      <c r="A27" s="1385"/>
      <c r="B27" s="1385"/>
      <c r="C27" s="1385"/>
      <c r="D27" s="1385"/>
      <c r="E27" s="1386"/>
      <c r="F27" s="1386"/>
      <c r="G27" s="568"/>
      <c r="H27" s="1385"/>
      <c r="I27" s="1385"/>
      <c r="J27" s="1385"/>
    </row>
    <row r="28" spans="1:10" ht="15" x14ac:dyDescent="0.25">
      <c r="A28" s="1385"/>
      <c r="B28" s="1385"/>
      <c r="C28" s="1385"/>
      <c r="D28" s="1385"/>
      <c r="E28" s="1386"/>
      <c r="F28" s="1386"/>
      <c r="G28" s="568"/>
      <c r="H28" s="1385"/>
      <c r="I28" s="1385"/>
      <c r="J28" s="1385"/>
    </row>
    <row r="29" spans="1:10" ht="15" x14ac:dyDescent="0.25">
      <c r="A29" s="1385"/>
      <c r="B29" s="1385"/>
      <c r="C29" s="1385"/>
      <c r="D29" s="1385"/>
      <c r="E29" s="1386"/>
      <c r="F29" s="1386"/>
      <c r="G29" s="568"/>
      <c r="H29" s="1385"/>
      <c r="I29" s="1385"/>
      <c r="J29" s="1385"/>
    </row>
    <row r="30" spans="1:10" ht="15" x14ac:dyDescent="0.25">
      <c r="A30" s="1385"/>
      <c r="B30" s="1385"/>
      <c r="C30" s="1385"/>
      <c r="D30" s="1385"/>
      <c r="E30" s="1386"/>
      <c r="F30" s="1386"/>
      <c r="G30" s="568"/>
      <c r="H30" s="1385"/>
      <c r="I30" s="1385"/>
      <c r="J30" s="1385"/>
    </row>
    <row r="31" spans="1:10" ht="15" x14ac:dyDescent="0.25">
      <c r="A31" s="1385"/>
      <c r="B31" s="1385"/>
      <c r="C31" s="1385"/>
      <c r="D31" s="1385"/>
      <c r="E31" s="1386"/>
      <c r="F31" s="1386"/>
      <c r="G31" s="568"/>
      <c r="H31" s="1385"/>
      <c r="I31" s="1385"/>
      <c r="J31" s="1385"/>
    </row>
    <row r="32" spans="1:10" ht="15" x14ac:dyDescent="0.25">
      <c r="A32" s="1385"/>
      <c r="B32" s="1385"/>
      <c r="C32" s="1385"/>
      <c r="D32" s="1385"/>
      <c r="E32" s="1386"/>
      <c r="F32" s="1386"/>
      <c r="G32" s="568"/>
      <c r="H32" s="1385"/>
      <c r="I32" s="1385"/>
      <c r="J32" s="1385"/>
    </row>
    <row r="33" spans="1:10" ht="15" x14ac:dyDescent="0.25">
      <c r="A33" s="1385"/>
      <c r="B33" s="1385"/>
      <c r="C33" s="1385"/>
      <c r="D33" s="1385"/>
      <c r="E33" s="1386"/>
      <c r="F33" s="1386"/>
      <c r="G33" s="568"/>
      <c r="H33" s="1385"/>
      <c r="I33" s="1385"/>
      <c r="J33" s="1385"/>
    </row>
    <row r="34" spans="1:10" ht="15" x14ac:dyDescent="0.25">
      <c r="A34" s="1385"/>
      <c r="B34" s="1385"/>
      <c r="C34" s="1385"/>
      <c r="D34" s="1385"/>
      <c r="E34" s="1386"/>
      <c r="F34" s="1386"/>
      <c r="G34" s="568"/>
      <c r="H34" s="1385"/>
      <c r="I34" s="1385"/>
      <c r="J34" s="1385"/>
    </row>
    <row r="35" spans="1:10" ht="15" x14ac:dyDescent="0.25">
      <c r="A35" s="1385"/>
      <c r="B35" s="1385"/>
      <c r="C35" s="1385"/>
      <c r="D35" s="1385"/>
      <c r="E35" s="1386"/>
      <c r="F35" s="1386"/>
      <c r="G35" s="568"/>
      <c r="H35" s="1385"/>
      <c r="I35" s="1385"/>
      <c r="J35" s="1385"/>
    </row>
    <row r="36" spans="1:10" ht="10.9" customHeight="1" x14ac:dyDescent="0.25">
      <c r="A36" s="28"/>
      <c r="B36" s="28"/>
      <c r="C36" s="28"/>
      <c r="D36" s="28"/>
      <c r="E36" s="28"/>
      <c r="F36" s="28"/>
      <c r="G36" s="28"/>
      <c r="H36" s="28"/>
      <c r="I36" s="28"/>
      <c r="J36" s="28"/>
    </row>
    <row r="37" spans="1:10" ht="15" x14ac:dyDescent="0.25">
      <c r="A37" s="1413" t="s">
        <v>1620</v>
      </c>
      <c r="B37" s="1413"/>
      <c r="C37" s="1413"/>
      <c r="D37" s="1413"/>
      <c r="E37" s="1413"/>
      <c r="F37" s="1413"/>
      <c r="G37" s="1413"/>
      <c r="H37" s="1413"/>
      <c r="I37" s="1413"/>
      <c r="J37" s="1413"/>
    </row>
    <row r="38" spans="1:10" ht="25.5" x14ac:dyDescent="0.25">
      <c r="A38" s="1419" t="s">
        <v>1621</v>
      </c>
      <c r="B38" s="1420"/>
      <c r="C38" s="1420"/>
      <c r="D38" s="1421"/>
      <c r="E38" s="1414" t="s">
        <v>1617</v>
      </c>
      <c r="F38" s="1414"/>
      <c r="G38" s="570" t="s">
        <v>1618</v>
      </c>
      <c r="H38" s="1414" t="s">
        <v>1619</v>
      </c>
      <c r="I38" s="1414"/>
      <c r="J38" s="1414"/>
    </row>
    <row r="39" spans="1:10" ht="15" x14ac:dyDescent="0.25">
      <c r="A39" s="1416"/>
      <c r="B39" s="1417"/>
      <c r="C39" s="1417"/>
      <c r="D39" s="1418"/>
      <c r="E39" s="1386"/>
      <c r="F39" s="1386"/>
      <c r="G39" s="568"/>
      <c r="H39" s="1385"/>
      <c r="I39" s="1385"/>
      <c r="J39" s="1385"/>
    </row>
    <row r="40" spans="1:10" ht="15" x14ac:dyDescent="0.25">
      <c r="A40" s="1416"/>
      <c r="B40" s="1417"/>
      <c r="C40" s="1417"/>
      <c r="D40" s="1418"/>
      <c r="E40" s="1386"/>
      <c r="F40" s="1386"/>
      <c r="G40" s="568"/>
      <c r="H40" s="1385"/>
      <c r="I40" s="1385"/>
      <c r="J40" s="1385"/>
    </row>
    <row r="41" spans="1:10" ht="15" x14ac:dyDescent="0.25">
      <c r="A41" s="1416"/>
      <c r="B41" s="1417"/>
      <c r="C41" s="1417"/>
      <c r="D41" s="1418"/>
      <c r="E41" s="1386"/>
      <c r="F41" s="1386"/>
      <c r="G41" s="568"/>
      <c r="H41" s="1385"/>
      <c r="I41" s="1385"/>
      <c r="J41" s="1385"/>
    </row>
    <row r="42" spans="1:10" ht="15" x14ac:dyDescent="0.25">
      <c r="A42" s="1416"/>
      <c r="B42" s="1417"/>
      <c r="C42" s="1417"/>
      <c r="D42" s="1418"/>
      <c r="E42" s="1386"/>
      <c r="F42" s="1386"/>
      <c r="G42" s="568"/>
      <c r="H42" s="1385"/>
      <c r="I42" s="1385"/>
      <c r="J42" s="1385"/>
    </row>
    <row r="43" spans="1:10" ht="15" x14ac:dyDescent="0.25">
      <c r="A43" s="1416"/>
      <c r="B43" s="1417"/>
      <c r="C43" s="1417"/>
      <c r="D43" s="1418"/>
      <c r="E43" s="1386"/>
      <c r="F43" s="1386"/>
      <c r="G43" s="568"/>
      <c r="H43" s="1385"/>
      <c r="I43" s="1385"/>
      <c r="J43" s="1385"/>
    </row>
    <row r="44" spans="1:10" ht="15" x14ac:dyDescent="0.25">
      <c r="A44" s="1416"/>
      <c r="B44" s="1417"/>
      <c r="C44" s="1417"/>
      <c r="D44" s="1418"/>
      <c r="E44" s="1386"/>
      <c r="F44" s="1386"/>
      <c r="G44" s="568"/>
      <c r="H44" s="1385"/>
      <c r="I44" s="1385"/>
      <c r="J44" s="1385"/>
    </row>
    <row r="45" spans="1:10" ht="15" x14ac:dyDescent="0.25">
      <c r="A45" s="1416"/>
      <c r="B45" s="1417"/>
      <c r="C45" s="1417"/>
      <c r="D45" s="1418"/>
      <c r="E45" s="1386"/>
      <c r="F45" s="1386"/>
      <c r="G45" s="568"/>
      <c r="H45" s="1385"/>
      <c r="I45" s="1385"/>
      <c r="J45" s="1385"/>
    </row>
    <row r="46" spans="1:10" ht="15" x14ac:dyDescent="0.25">
      <c r="A46" s="1416"/>
      <c r="B46" s="1417"/>
      <c r="C46" s="1417"/>
      <c r="D46" s="1418"/>
      <c r="E46" s="1386"/>
      <c r="F46" s="1386"/>
      <c r="G46" s="568"/>
      <c r="H46" s="1385"/>
      <c r="I46" s="1385"/>
      <c r="J46" s="1385"/>
    </row>
    <row r="47" spans="1:10" ht="15" x14ac:dyDescent="0.25">
      <c r="A47" s="1416"/>
      <c r="B47" s="1417"/>
      <c r="C47" s="1417"/>
      <c r="D47" s="1418"/>
      <c r="E47" s="1386"/>
      <c r="F47" s="1386"/>
      <c r="G47" s="568"/>
      <c r="H47" s="1385"/>
      <c r="I47" s="1385"/>
      <c r="J47" s="1385"/>
    </row>
  </sheetData>
  <mergeCells count="112">
    <mergeCell ref="C7:J7"/>
    <mergeCell ref="C8:J8"/>
    <mergeCell ref="C9:J9"/>
    <mergeCell ref="C10:E10"/>
    <mergeCell ref="F10:G10"/>
    <mergeCell ref="H10:J10"/>
    <mergeCell ref="A1:J1"/>
    <mergeCell ref="C2:J2"/>
    <mergeCell ref="C3:J3"/>
    <mergeCell ref="C4:J4"/>
    <mergeCell ref="C5:J5"/>
    <mergeCell ref="C6:D6"/>
    <mergeCell ref="E6:F6"/>
    <mergeCell ref="H6:I6"/>
    <mergeCell ref="A18:E18"/>
    <mergeCell ref="F18:H18"/>
    <mergeCell ref="I18:J18"/>
    <mergeCell ref="A19:E19"/>
    <mergeCell ref="F19:H19"/>
    <mergeCell ref="I19:J19"/>
    <mergeCell ref="C11:E11"/>
    <mergeCell ref="F11:G11"/>
    <mergeCell ref="H11:J11"/>
    <mergeCell ref="A13:J13"/>
    <mergeCell ref="A16:J16"/>
    <mergeCell ref="A17:E17"/>
    <mergeCell ref="F17:H17"/>
    <mergeCell ref="I17:J17"/>
    <mergeCell ref="A22:E22"/>
    <mergeCell ref="F22:H22"/>
    <mergeCell ref="I22:J22"/>
    <mergeCell ref="A23:E23"/>
    <mergeCell ref="F23:H23"/>
    <mergeCell ref="I23:J23"/>
    <mergeCell ref="A20:E20"/>
    <mergeCell ref="F20:H20"/>
    <mergeCell ref="I20:J20"/>
    <mergeCell ref="A21:E21"/>
    <mergeCell ref="F21:H21"/>
    <mergeCell ref="I21:J21"/>
    <mergeCell ref="A28:B28"/>
    <mergeCell ref="C28:D28"/>
    <mergeCell ref="E28:F28"/>
    <mergeCell ref="H28:J28"/>
    <mergeCell ref="A29:B29"/>
    <mergeCell ref="C29:D29"/>
    <mergeCell ref="E29:F29"/>
    <mergeCell ref="H29:J29"/>
    <mergeCell ref="A25:J25"/>
    <mergeCell ref="A26:B26"/>
    <mergeCell ref="C26:D26"/>
    <mergeCell ref="E26:F26"/>
    <mergeCell ref="H26:J26"/>
    <mergeCell ref="A27:B27"/>
    <mergeCell ref="C27:D27"/>
    <mergeCell ref="E27:F27"/>
    <mergeCell ref="H27:J27"/>
    <mergeCell ref="A32:B32"/>
    <mergeCell ref="C32:D32"/>
    <mergeCell ref="E32:F32"/>
    <mergeCell ref="H32:J32"/>
    <mergeCell ref="A33:B33"/>
    <mergeCell ref="C33:D33"/>
    <mergeCell ref="E33:F33"/>
    <mergeCell ref="H33:J33"/>
    <mergeCell ref="A30:B30"/>
    <mergeCell ref="C30:D30"/>
    <mergeCell ref="E30:F30"/>
    <mergeCell ref="H30:J30"/>
    <mergeCell ref="A31:B31"/>
    <mergeCell ref="C31:D31"/>
    <mergeCell ref="E31:F31"/>
    <mergeCell ref="H31:J31"/>
    <mergeCell ref="A37:J37"/>
    <mergeCell ref="A38:D38"/>
    <mergeCell ref="E38:F38"/>
    <mergeCell ref="H38:J38"/>
    <mergeCell ref="A39:D39"/>
    <mergeCell ref="E39:F39"/>
    <mergeCell ref="H39:J39"/>
    <mergeCell ref="A34:B34"/>
    <mergeCell ref="C34:D34"/>
    <mergeCell ref="E34:F34"/>
    <mergeCell ref="H34:J34"/>
    <mergeCell ref="A35:B35"/>
    <mergeCell ref="C35:D35"/>
    <mergeCell ref="E35:F35"/>
    <mergeCell ref="H35:J35"/>
    <mergeCell ref="A42:D42"/>
    <mergeCell ref="E42:F42"/>
    <mergeCell ref="H42:J42"/>
    <mergeCell ref="A43:D43"/>
    <mergeCell ref="E43:F43"/>
    <mergeCell ref="H43:J43"/>
    <mergeCell ref="A40:D40"/>
    <mergeCell ref="E40:F40"/>
    <mergeCell ref="H40:J40"/>
    <mergeCell ref="A41:D41"/>
    <mergeCell ref="E41:F41"/>
    <mergeCell ref="H41:J41"/>
    <mergeCell ref="A46:D46"/>
    <mergeCell ref="E46:F46"/>
    <mergeCell ref="H46:J46"/>
    <mergeCell ref="A47:D47"/>
    <mergeCell ref="E47:F47"/>
    <mergeCell ref="H47:J47"/>
    <mergeCell ref="A44:D44"/>
    <mergeCell ref="E44:F44"/>
    <mergeCell ref="H44:J44"/>
    <mergeCell ref="A45:D45"/>
    <mergeCell ref="E45:F45"/>
    <mergeCell ref="H45:J45"/>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291DC-6CAB-4E9A-9D60-AD7E12538B6A}">
  <dimension ref="A1:J49"/>
  <sheetViews>
    <sheetView workbookViewId="0">
      <selection activeCell="E17" sqref="A1:XFD1048576"/>
    </sheetView>
  </sheetViews>
  <sheetFormatPr baseColWidth="10" defaultColWidth="11.42578125" defaultRowHeight="14.45" customHeight="1" x14ac:dyDescent="0.25"/>
  <cols>
    <col min="2" max="2" width="18.5703125" customWidth="1"/>
    <col min="4" max="4" width="14" customWidth="1"/>
    <col min="5" max="5" width="9.140625" customWidth="1"/>
    <col min="7" max="7" width="12.7109375" customWidth="1"/>
    <col min="8" max="8" width="8.42578125" customWidth="1"/>
    <col min="9" max="9" width="15.42578125" customWidth="1"/>
    <col min="10" max="10" width="8.42578125" customWidth="1"/>
    <col min="12" max="12" width="7.28515625" customWidth="1"/>
  </cols>
  <sheetData>
    <row r="1" spans="1:10" ht="6.75" customHeight="1" x14ac:dyDescent="0.25">
      <c r="A1" s="617"/>
      <c r="B1" s="617"/>
      <c r="C1" s="618"/>
      <c r="D1" s="618"/>
      <c r="E1" s="618"/>
      <c r="F1" s="618"/>
      <c r="G1" s="618"/>
      <c r="H1" s="618"/>
      <c r="I1" s="618"/>
      <c r="J1" s="618"/>
    </row>
    <row r="2" spans="1:10" ht="15" x14ac:dyDescent="0.25">
      <c r="A2" s="200" t="s">
        <v>363</v>
      </c>
      <c r="B2" s="200"/>
      <c r="C2" s="619">
        <v>4444444444</v>
      </c>
      <c r="D2" s="619"/>
      <c r="E2" s="619"/>
      <c r="F2" s="619"/>
      <c r="G2" s="619"/>
      <c r="H2" s="619"/>
      <c r="I2" s="619"/>
      <c r="J2" s="619"/>
    </row>
    <row r="3" spans="1:10" ht="15" x14ac:dyDescent="0.25">
      <c r="A3" s="200"/>
      <c r="B3" s="200"/>
      <c r="C3" s="620">
        <v>56565665</v>
      </c>
      <c r="D3" s="620"/>
      <c r="E3" s="620"/>
      <c r="F3" s="620"/>
      <c r="G3" s="620"/>
      <c r="H3" s="620"/>
      <c r="I3" s="620"/>
      <c r="J3" s="620"/>
    </row>
    <row r="4" spans="1:10" ht="15" x14ac:dyDescent="0.25">
      <c r="A4" s="200" t="s">
        <v>364</v>
      </c>
      <c r="B4" s="200"/>
      <c r="C4" s="620" t="s">
        <v>6</v>
      </c>
      <c r="D4" s="620"/>
      <c r="E4" s="620"/>
      <c r="F4" s="620"/>
      <c r="G4" s="620"/>
      <c r="H4" s="620"/>
      <c r="I4" s="620"/>
      <c r="J4" s="620"/>
    </row>
    <row r="5" spans="1:10" ht="15" x14ac:dyDescent="0.25">
      <c r="A5" s="200" t="s">
        <v>365</v>
      </c>
      <c r="B5" s="200"/>
      <c r="C5" s="621" t="s">
        <v>699</v>
      </c>
      <c r="D5" s="621"/>
      <c r="E5" s="621"/>
      <c r="F5" s="621"/>
      <c r="G5" s="621"/>
      <c r="H5" s="621"/>
      <c r="I5" s="621"/>
      <c r="J5" s="621"/>
    </row>
    <row r="6" spans="1:10" ht="15" x14ac:dyDescent="0.25">
      <c r="A6" s="200" t="s">
        <v>366</v>
      </c>
      <c r="B6" s="200"/>
      <c r="C6" s="620">
        <v>125545</v>
      </c>
      <c r="D6" s="620"/>
      <c r="E6" s="622" t="s">
        <v>367</v>
      </c>
      <c r="F6" s="622"/>
      <c r="G6" s="240">
        <v>46022</v>
      </c>
      <c r="H6" s="611" t="s">
        <v>467</v>
      </c>
      <c r="I6" s="611"/>
      <c r="J6" s="241">
        <v>12</v>
      </c>
    </row>
    <row r="7" spans="1:10" ht="15" x14ac:dyDescent="0.25">
      <c r="A7" s="198" t="s">
        <v>369</v>
      </c>
      <c r="B7" s="24"/>
      <c r="C7" s="615" t="s">
        <v>8</v>
      </c>
      <c r="D7" s="615"/>
      <c r="E7" s="615"/>
      <c r="F7" s="615"/>
      <c r="G7" s="615"/>
      <c r="H7" s="615"/>
      <c r="I7" s="615"/>
      <c r="J7" s="615"/>
    </row>
    <row r="8" spans="1:10" ht="15" x14ac:dyDescent="0.25">
      <c r="A8" s="200" t="s">
        <v>468</v>
      </c>
      <c r="B8" s="24"/>
      <c r="C8" s="616" t="s">
        <v>35</v>
      </c>
      <c r="D8" s="616"/>
      <c r="E8" s="616"/>
      <c r="F8" s="616"/>
      <c r="G8" s="616"/>
      <c r="H8" s="616"/>
      <c r="I8" s="616"/>
      <c r="J8" s="616"/>
    </row>
    <row r="9" spans="1:10" ht="15" x14ac:dyDescent="0.25">
      <c r="A9" s="200"/>
      <c r="B9" s="24"/>
      <c r="C9" s="611" t="s">
        <v>36</v>
      </c>
      <c r="D9" s="611"/>
      <c r="E9" s="611"/>
      <c r="F9" s="611"/>
      <c r="G9" s="611"/>
      <c r="H9" s="611"/>
      <c r="I9" s="611"/>
      <c r="J9" s="611"/>
    </row>
    <row r="10" spans="1:10" ht="15" x14ac:dyDescent="0.25">
      <c r="A10" s="200" t="s">
        <v>469</v>
      </c>
      <c r="B10" s="24"/>
      <c r="C10" s="611" t="s">
        <v>40</v>
      </c>
      <c r="D10" s="611"/>
      <c r="E10" s="611"/>
      <c r="F10" s="611" t="s">
        <v>470</v>
      </c>
      <c r="G10" s="611"/>
      <c r="H10" s="611" t="s">
        <v>38</v>
      </c>
      <c r="I10" s="611"/>
      <c r="J10" s="611"/>
    </row>
    <row r="11" spans="1:10" ht="15" x14ac:dyDescent="0.25">
      <c r="A11" s="200" t="s">
        <v>471</v>
      </c>
      <c r="B11" s="24"/>
      <c r="C11" s="610">
        <v>44713</v>
      </c>
      <c r="D11" s="610"/>
      <c r="E11" s="610"/>
      <c r="F11" s="611" t="s">
        <v>472</v>
      </c>
      <c r="G11" s="611"/>
      <c r="H11" s="610">
        <v>45991</v>
      </c>
      <c r="I11" s="610"/>
      <c r="J11" s="610"/>
    </row>
    <row r="12" spans="1:10" ht="8.4499999999999993" customHeight="1" thickBot="1" x14ac:dyDescent="0.3">
      <c r="A12" s="24"/>
      <c r="B12" s="24"/>
      <c r="C12" s="24"/>
      <c r="D12" s="24"/>
      <c r="E12" s="24"/>
      <c r="F12" s="24"/>
      <c r="G12" s="24"/>
      <c r="H12" s="24"/>
      <c r="I12" s="24"/>
      <c r="J12" s="24"/>
    </row>
    <row r="13" spans="1:10" ht="15.75" thickBot="1" x14ac:dyDescent="0.3">
      <c r="A13" s="612" t="s">
        <v>1622</v>
      </c>
      <c r="B13" s="1363"/>
      <c r="C13" s="1363"/>
      <c r="D13" s="1363"/>
      <c r="E13" s="1363"/>
      <c r="F13" s="1363"/>
      <c r="G13" s="1363"/>
      <c r="H13" s="1363"/>
      <c r="I13" s="1363"/>
      <c r="J13" s="1364"/>
    </row>
    <row r="14" spans="1:10" ht="6.75" customHeight="1" x14ac:dyDescent="0.25">
      <c r="A14" s="28"/>
      <c r="B14" s="28"/>
      <c r="C14" s="555"/>
      <c r="D14" s="555"/>
      <c r="E14" s="555"/>
      <c r="F14" s="555"/>
      <c r="G14" s="555"/>
      <c r="H14" s="555"/>
      <c r="I14" s="555"/>
      <c r="J14" s="28"/>
    </row>
    <row r="15" spans="1:10" ht="15" x14ac:dyDescent="0.25">
      <c r="A15" s="1413" t="s">
        <v>1623</v>
      </c>
      <c r="B15" s="1413"/>
      <c r="C15" s="1413"/>
      <c r="D15" s="1413"/>
      <c r="E15" s="1413"/>
      <c r="F15" s="1413"/>
      <c r="G15" s="1413"/>
      <c r="H15" s="1413"/>
      <c r="I15" s="1413"/>
      <c r="J15" s="1413"/>
    </row>
    <row r="16" spans="1:10" ht="32.25" customHeight="1" x14ac:dyDescent="0.25">
      <c r="A16" s="1414" t="s">
        <v>1624</v>
      </c>
      <c r="B16" s="1414"/>
      <c r="C16" s="1414"/>
      <c r="D16" s="569" t="s">
        <v>1610</v>
      </c>
      <c r="E16" s="569" t="s">
        <v>1603</v>
      </c>
      <c r="F16" s="1415" t="s">
        <v>1604</v>
      </c>
      <c r="G16" s="1415"/>
      <c r="H16" s="569" t="s">
        <v>1605</v>
      </c>
      <c r="I16" s="1415" t="s">
        <v>1606</v>
      </c>
      <c r="J16" s="1415"/>
    </row>
    <row r="17" spans="1:10" ht="15" x14ac:dyDescent="0.25">
      <c r="A17" s="1385"/>
      <c r="B17" s="1385"/>
      <c r="C17" s="1385"/>
      <c r="D17" s="568"/>
      <c r="E17" s="523"/>
      <c r="F17" s="1386"/>
      <c r="G17" s="1386"/>
      <c r="H17" s="523"/>
      <c r="I17" s="1386"/>
      <c r="J17" s="1386"/>
    </row>
    <row r="18" spans="1:10" ht="15" x14ac:dyDescent="0.25">
      <c r="A18" s="1385"/>
      <c r="B18" s="1385"/>
      <c r="C18" s="1385"/>
      <c r="D18" s="568"/>
      <c r="E18" s="523"/>
      <c r="F18" s="1386"/>
      <c r="G18" s="1386"/>
      <c r="H18" s="523"/>
      <c r="I18" s="1386"/>
      <c r="J18" s="1386"/>
    </row>
    <row r="19" spans="1:10" ht="15" x14ac:dyDescent="0.25">
      <c r="A19" s="1385"/>
      <c r="B19" s="1385"/>
      <c r="C19" s="1385"/>
      <c r="D19" s="568"/>
      <c r="E19" s="523"/>
      <c r="F19" s="1386"/>
      <c r="G19" s="1386"/>
      <c r="H19" s="523"/>
      <c r="I19" s="1386"/>
      <c r="J19" s="1386"/>
    </row>
    <row r="20" spans="1:10" ht="15" x14ac:dyDescent="0.25">
      <c r="A20" s="1385"/>
      <c r="B20" s="1385"/>
      <c r="C20" s="1385"/>
      <c r="D20" s="568"/>
      <c r="E20" s="523"/>
      <c r="F20" s="1386"/>
      <c r="G20" s="1386"/>
      <c r="H20" s="523"/>
      <c r="I20" s="1386"/>
      <c r="J20" s="1386"/>
    </row>
    <row r="21" spans="1:10" ht="15" x14ac:dyDescent="0.25">
      <c r="A21" s="1385"/>
      <c r="B21" s="1385"/>
      <c r="C21" s="1385"/>
      <c r="D21" s="568"/>
      <c r="E21" s="523"/>
      <c r="F21" s="1386"/>
      <c r="G21" s="1386"/>
      <c r="H21" s="523"/>
      <c r="I21" s="1386"/>
      <c r="J21" s="1386"/>
    </row>
    <row r="22" spans="1:10" ht="15" x14ac:dyDescent="0.25">
      <c r="A22" s="1385"/>
      <c r="B22" s="1385"/>
      <c r="C22" s="1385"/>
      <c r="D22" s="568"/>
      <c r="E22" s="523"/>
      <c r="F22" s="1386"/>
      <c r="G22" s="1386"/>
      <c r="H22" s="523"/>
      <c r="I22" s="1386"/>
      <c r="J22" s="1386"/>
    </row>
    <row r="23" spans="1:10" ht="15" x14ac:dyDescent="0.25">
      <c r="A23" s="1385"/>
      <c r="B23" s="1385"/>
      <c r="C23" s="1385"/>
      <c r="D23" s="568"/>
      <c r="E23" s="523"/>
      <c r="F23" s="1386"/>
      <c r="G23" s="1386"/>
      <c r="H23" s="523"/>
      <c r="I23" s="1386"/>
      <c r="J23" s="1386"/>
    </row>
    <row r="24" spans="1:10" ht="15" x14ac:dyDescent="0.25">
      <c r="A24" s="1385"/>
      <c r="B24" s="1385"/>
      <c r="C24" s="1385"/>
      <c r="D24" s="568"/>
      <c r="E24" s="523"/>
      <c r="F24" s="1386"/>
      <c r="G24" s="1386"/>
      <c r="H24" s="523"/>
      <c r="I24" s="1386"/>
      <c r="J24" s="1386"/>
    </row>
    <row r="25" spans="1:10" ht="15" x14ac:dyDescent="0.25">
      <c r="A25" s="1385"/>
      <c r="B25" s="1385"/>
      <c r="C25" s="1385"/>
      <c r="D25" s="568"/>
      <c r="E25" s="523"/>
      <c r="F25" s="1386"/>
      <c r="G25" s="1386"/>
      <c r="H25" s="523"/>
      <c r="I25" s="1386"/>
      <c r="J25" s="1386"/>
    </row>
    <row r="26" spans="1:10" ht="15" x14ac:dyDescent="0.25">
      <c r="A26" s="1385"/>
      <c r="B26" s="1385"/>
      <c r="C26" s="1385"/>
      <c r="D26" s="568"/>
      <c r="E26" s="523"/>
      <c r="F26" s="1386"/>
      <c r="G26" s="1386"/>
      <c r="H26" s="523"/>
      <c r="I26" s="1386"/>
      <c r="J26" s="1386"/>
    </row>
    <row r="27" spans="1:10" ht="15" x14ac:dyDescent="0.25">
      <c r="A27" s="1385"/>
      <c r="B27" s="1385"/>
      <c r="C27" s="1385"/>
      <c r="D27" s="568"/>
      <c r="E27" s="523"/>
      <c r="F27" s="1386"/>
      <c r="G27" s="1386"/>
      <c r="H27" s="523"/>
      <c r="I27" s="1386"/>
      <c r="J27" s="1386"/>
    </row>
    <row r="28" spans="1:10" ht="15" x14ac:dyDescent="0.25">
      <c r="A28" s="1385"/>
      <c r="B28" s="1385"/>
      <c r="C28" s="1385"/>
      <c r="D28" s="568"/>
      <c r="E28" s="523"/>
      <c r="F28" s="1386"/>
      <c r="G28" s="1386"/>
      <c r="H28" s="523"/>
      <c r="I28" s="1386"/>
      <c r="J28" s="1386"/>
    </row>
    <row r="29" spans="1:10" ht="15" x14ac:dyDescent="0.25">
      <c r="A29" s="1385"/>
      <c r="B29" s="1385"/>
      <c r="C29" s="1385"/>
      <c r="D29" s="568"/>
      <c r="E29" s="523"/>
      <c r="F29" s="1386"/>
      <c r="G29" s="1386"/>
      <c r="H29" s="523"/>
      <c r="I29" s="1386"/>
      <c r="J29" s="1386"/>
    </row>
    <row r="30" spans="1:10" ht="15" x14ac:dyDescent="0.25">
      <c r="A30" s="1385"/>
      <c r="B30" s="1385"/>
      <c r="C30" s="1385"/>
      <c r="D30" s="568"/>
      <c r="E30" s="523"/>
      <c r="F30" s="1386"/>
      <c r="G30" s="1386"/>
      <c r="H30" s="523"/>
      <c r="I30" s="1386"/>
      <c r="J30" s="1386"/>
    </row>
    <row r="31" spans="1:10" ht="15" x14ac:dyDescent="0.25">
      <c r="A31" s="1385"/>
      <c r="B31" s="1385"/>
      <c r="C31" s="1385"/>
      <c r="D31" s="568"/>
      <c r="E31" s="523"/>
      <c r="F31" s="1386"/>
      <c r="G31" s="1386"/>
      <c r="H31" s="523"/>
      <c r="I31" s="1386"/>
      <c r="J31" s="1386"/>
    </row>
    <row r="32" spans="1:10" ht="11.25" customHeight="1" x14ac:dyDescent="0.25">
      <c r="A32" s="28"/>
      <c r="B32" s="28"/>
      <c r="C32" s="28"/>
      <c r="D32" s="28"/>
      <c r="E32" s="28"/>
      <c r="F32" s="28"/>
      <c r="G32" s="28"/>
      <c r="H32" s="28"/>
      <c r="I32" s="28"/>
      <c r="J32" s="28"/>
    </row>
    <row r="33" spans="1:10" ht="15" x14ac:dyDescent="0.25">
      <c r="A33" s="1413" t="s">
        <v>1625</v>
      </c>
      <c r="B33" s="1413"/>
      <c r="C33" s="1413"/>
      <c r="D33" s="1413"/>
      <c r="E33" s="1413"/>
      <c r="F33" s="1413"/>
      <c r="G33" s="1413"/>
      <c r="H33" s="1413"/>
      <c r="I33" s="1413"/>
      <c r="J33" s="1413"/>
    </row>
    <row r="34" spans="1:10" ht="29.25" customHeight="1" x14ac:dyDescent="0.25">
      <c r="A34" s="1414" t="s">
        <v>1626</v>
      </c>
      <c r="B34" s="1414"/>
      <c r="C34" s="1414"/>
      <c r="D34" s="1414"/>
      <c r="E34" s="1414"/>
      <c r="F34" s="1415" t="s">
        <v>1627</v>
      </c>
      <c r="G34" s="1415"/>
      <c r="H34" s="1415"/>
      <c r="I34" s="1414" t="s">
        <v>1628</v>
      </c>
      <c r="J34" s="1414"/>
    </row>
    <row r="35" spans="1:10" ht="15" x14ac:dyDescent="0.25">
      <c r="A35" s="1385"/>
      <c r="B35" s="1385"/>
      <c r="C35" s="1385"/>
      <c r="D35" s="1385"/>
      <c r="E35" s="1385"/>
      <c r="F35" s="1385"/>
      <c r="G35" s="1385"/>
      <c r="H35" s="1385"/>
      <c r="I35" s="1386"/>
      <c r="J35" s="1386"/>
    </row>
    <row r="36" spans="1:10" ht="15" x14ac:dyDescent="0.25">
      <c r="A36" s="1385"/>
      <c r="B36" s="1385"/>
      <c r="C36" s="1385"/>
      <c r="D36" s="1385"/>
      <c r="E36" s="1385"/>
      <c r="F36" s="1385"/>
      <c r="G36" s="1385"/>
      <c r="H36" s="1385"/>
      <c r="I36" s="1386"/>
      <c r="J36" s="1386"/>
    </row>
    <row r="37" spans="1:10" ht="15" x14ac:dyDescent="0.25">
      <c r="A37" s="1385"/>
      <c r="B37" s="1385"/>
      <c r="C37" s="1385"/>
      <c r="D37" s="1385"/>
      <c r="E37" s="1385"/>
      <c r="F37" s="1385"/>
      <c r="G37" s="1385"/>
      <c r="H37" s="1385"/>
      <c r="I37" s="1386"/>
      <c r="J37" s="1386"/>
    </row>
    <row r="38" spans="1:10" ht="15" x14ac:dyDescent="0.25">
      <c r="A38" s="1385"/>
      <c r="B38" s="1385"/>
      <c r="C38" s="1385"/>
      <c r="D38" s="1385"/>
      <c r="E38" s="1385"/>
      <c r="F38" s="1385"/>
      <c r="G38" s="1385"/>
      <c r="H38" s="1385"/>
      <c r="I38" s="1386"/>
      <c r="J38" s="1386"/>
    </row>
    <row r="39" spans="1:10" ht="15" x14ac:dyDescent="0.25">
      <c r="A39" s="1385"/>
      <c r="B39" s="1385"/>
      <c r="C39" s="1385"/>
      <c r="D39" s="1385"/>
      <c r="E39" s="1385"/>
      <c r="F39" s="1385"/>
      <c r="G39" s="1385"/>
      <c r="H39" s="1385"/>
      <c r="I39" s="1386"/>
      <c r="J39" s="1386"/>
    </row>
    <row r="40" spans="1:10" ht="15" x14ac:dyDescent="0.25">
      <c r="A40" s="1385"/>
      <c r="B40" s="1385"/>
      <c r="C40" s="1385"/>
      <c r="D40" s="1385"/>
      <c r="E40" s="1385"/>
      <c r="F40" s="1385"/>
      <c r="G40" s="1385"/>
      <c r="H40" s="1385"/>
      <c r="I40" s="1386"/>
      <c r="J40" s="1386"/>
    </row>
    <row r="41" spans="1:10" ht="15" x14ac:dyDescent="0.25">
      <c r="A41" s="1385"/>
      <c r="B41" s="1385"/>
      <c r="C41" s="1385"/>
      <c r="D41" s="1385"/>
      <c r="E41" s="1385"/>
      <c r="F41" s="1385"/>
      <c r="G41" s="1385"/>
      <c r="H41" s="1385"/>
      <c r="I41" s="1386"/>
      <c r="J41" s="1386"/>
    </row>
    <row r="42" spans="1:10" ht="15" x14ac:dyDescent="0.25">
      <c r="A42" s="1385"/>
      <c r="B42" s="1385"/>
      <c r="C42" s="1385"/>
      <c r="D42" s="1385"/>
      <c r="E42" s="1385"/>
      <c r="F42" s="1385"/>
      <c r="G42" s="1385"/>
      <c r="H42" s="1385"/>
      <c r="I42" s="1386"/>
      <c r="J42" s="1386"/>
    </row>
    <row r="43" spans="1:10" ht="15" x14ac:dyDescent="0.25">
      <c r="A43" s="1385"/>
      <c r="B43" s="1385"/>
      <c r="C43" s="1385"/>
      <c r="D43" s="1385"/>
      <c r="E43" s="1385"/>
      <c r="F43" s="1385"/>
      <c r="G43" s="1385"/>
      <c r="H43" s="1385"/>
      <c r="I43" s="1386"/>
      <c r="J43" s="1386"/>
    </row>
    <row r="44" spans="1:10" ht="15" x14ac:dyDescent="0.25">
      <c r="A44" s="1385"/>
      <c r="B44" s="1385"/>
      <c r="C44" s="1385"/>
      <c r="D44" s="1385"/>
      <c r="E44" s="1385"/>
      <c r="F44" s="1385"/>
      <c r="G44" s="1385"/>
      <c r="H44" s="1385"/>
      <c r="I44" s="1386"/>
      <c r="J44" s="1386"/>
    </row>
    <row r="45" spans="1:10" ht="15" x14ac:dyDescent="0.25">
      <c r="A45" s="1385"/>
      <c r="B45" s="1385"/>
      <c r="C45" s="1385"/>
      <c r="D45" s="1385"/>
      <c r="E45" s="1385"/>
      <c r="F45" s="1385"/>
      <c r="G45" s="1385"/>
      <c r="H45" s="1385"/>
      <c r="I45" s="1386"/>
      <c r="J45" s="1386"/>
    </row>
    <row r="46" spans="1:10" ht="15" x14ac:dyDescent="0.25">
      <c r="A46" s="1385"/>
      <c r="B46" s="1385"/>
      <c r="C46" s="1385"/>
      <c r="D46" s="1385"/>
      <c r="E46" s="1385"/>
      <c r="F46" s="1385"/>
      <c r="G46" s="1385"/>
      <c r="H46" s="1385"/>
      <c r="I46" s="1386"/>
      <c r="J46" s="1386"/>
    </row>
    <row r="47" spans="1:10" ht="15" x14ac:dyDescent="0.25">
      <c r="A47" s="1385"/>
      <c r="B47" s="1385"/>
      <c r="C47" s="1385"/>
      <c r="D47" s="1385"/>
      <c r="E47" s="1385"/>
      <c r="F47" s="1385"/>
      <c r="G47" s="1385"/>
      <c r="H47" s="1385"/>
      <c r="I47" s="1386"/>
      <c r="J47" s="1386"/>
    </row>
    <row r="48" spans="1:10" ht="19.149999999999999" customHeight="1" x14ac:dyDescent="0.25">
      <c r="A48" s="572"/>
      <c r="B48" s="572"/>
      <c r="C48" s="572"/>
      <c r="D48" s="572"/>
      <c r="E48" s="572"/>
      <c r="F48" s="572"/>
      <c r="G48" s="572"/>
      <c r="H48" s="572"/>
      <c r="I48" s="572"/>
      <c r="J48" s="572"/>
    </row>
    <row r="49" spans="1:10" ht="15" customHeight="1" x14ac:dyDescent="0.25">
      <c r="A49" s="572"/>
      <c r="B49" s="572"/>
      <c r="C49" s="572"/>
      <c r="D49" s="572"/>
      <c r="E49" s="572"/>
      <c r="F49" s="572"/>
      <c r="G49" s="572"/>
      <c r="H49" s="572"/>
      <c r="I49" s="572"/>
      <c r="J49" s="572"/>
    </row>
  </sheetData>
  <mergeCells count="110">
    <mergeCell ref="C7:J7"/>
    <mergeCell ref="C8:J8"/>
    <mergeCell ref="C9:J9"/>
    <mergeCell ref="C10:E10"/>
    <mergeCell ref="F10:G10"/>
    <mergeCell ref="H10:J10"/>
    <mergeCell ref="A1:J1"/>
    <mergeCell ref="C2:J2"/>
    <mergeCell ref="C3:J3"/>
    <mergeCell ref="C4:J4"/>
    <mergeCell ref="C5:J5"/>
    <mergeCell ref="C6:D6"/>
    <mergeCell ref="E6:F6"/>
    <mergeCell ref="H6:I6"/>
    <mergeCell ref="A17:C17"/>
    <mergeCell ref="F17:G17"/>
    <mergeCell ref="I17:J17"/>
    <mergeCell ref="A18:C18"/>
    <mergeCell ref="F18:G18"/>
    <mergeCell ref="I18:J18"/>
    <mergeCell ref="C11:E11"/>
    <mergeCell ref="F11:G11"/>
    <mergeCell ref="H11:J11"/>
    <mergeCell ref="A13:J13"/>
    <mergeCell ref="A15:J15"/>
    <mergeCell ref="A16:C16"/>
    <mergeCell ref="F16:G16"/>
    <mergeCell ref="I16:J16"/>
    <mergeCell ref="A21:C21"/>
    <mergeCell ref="F21:G21"/>
    <mergeCell ref="I21:J21"/>
    <mergeCell ref="A22:C22"/>
    <mergeCell ref="F22:G22"/>
    <mergeCell ref="I22:J22"/>
    <mergeCell ref="A19:C19"/>
    <mergeCell ref="F19:G19"/>
    <mergeCell ref="I19:J19"/>
    <mergeCell ref="A20:C20"/>
    <mergeCell ref="F20:G20"/>
    <mergeCell ref="I20:J20"/>
    <mergeCell ref="A25:C25"/>
    <mergeCell ref="F25:G25"/>
    <mergeCell ref="I25:J25"/>
    <mergeCell ref="A26:C26"/>
    <mergeCell ref="F26:G26"/>
    <mergeCell ref="I26:J26"/>
    <mergeCell ref="A23:C23"/>
    <mergeCell ref="F23:G23"/>
    <mergeCell ref="I23:J23"/>
    <mergeCell ref="A24:C24"/>
    <mergeCell ref="F24:G24"/>
    <mergeCell ref="I24:J24"/>
    <mergeCell ref="A29:C29"/>
    <mergeCell ref="F29:G29"/>
    <mergeCell ref="I29:J29"/>
    <mergeCell ref="A30:C30"/>
    <mergeCell ref="F30:G30"/>
    <mergeCell ref="I30:J30"/>
    <mergeCell ref="A27:C27"/>
    <mergeCell ref="F27:G27"/>
    <mergeCell ref="I27:J27"/>
    <mergeCell ref="A28:C28"/>
    <mergeCell ref="F28:G28"/>
    <mergeCell ref="I28:J28"/>
    <mergeCell ref="A35:E35"/>
    <mergeCell ref="F35:H35"/>
    <mergeCell ref="I35:J35"/>
    <mergeCell ref="A36:E36"/>
    <mergeCell ref="F36:H36"/>
    <mergeCell ref="I36:J36"/>
    <mergeCell ref="A31:C31"/>
    <mergeCell ref="F31:G31"/>
    <mergeCell ref="I31:J31"/>
    <mergeCell ref="A33:J33"/>
    <mergeCell ref="A34:E34"/>
    <mergeCell ref="F34:H34"/>
    <mergeCell ref="I34:J34"/>
    <mergeCell ref="A39:E39"/>
    <mergeCell ref="F39:H39"/>
    <mergeCell ref="I39:J39"/>
    <mergeCell ref="A40:E40"/>
    <mergeCell ref="F40:H40"/>
    <mergeCell ref="I40:J40"/>
    <mergeCell ref="A37:E37"/>
    <mergeCell ref="F37:H37"/>
    <mergeCell ref="I37:J37"/>
    <mergeCell ref="A38:E38"/>
    <mergeCell ref="F38:H38"/>
    <mergeCell ref="I38:J38"/>
    <mergeCell ref="A43:E43"/>
    <mergeCell ref="F43:H43"/>
    <mergeCell ref="I43:J43"/>
    <mergeCell ref="A44:E44"/>
    <mergeCell ref="F44:H44"/>
    <mergeCell ref="I44:J44"/>
    <mergeCell ref="A41:E41"/>
    <mergeCell ref="F41:H41"/>
    <mergeCell ref="I41:J41"/>
    <mergeCell ref="A42:E42"/>
    <mergeCell ref="F42:H42"/>
    <mergeCell ref="I42:J42"/>
    <mergeCell ref="A47:E47"/>
    <mergeCell ref="F47:H47"/>
    <mergeCell ref="I47:J47"/>
    <mergeCell ref="A45:E45"/>
    <mergeCell ref="F45:H45"/>
    <mergeCell ref="I45:J45"/>
    <mergeCell ref="A46:E46"/>
    <mergeCell ref="F46:H46"/>
    <mergeCell ref="I46:J46"/>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34C2C-0876-4511-9A4F-1471A83A8CC3}">
  <dimension ref="A1:J42"/>
  <sheetViews>
    <sheetView workbookViewId="0">
      <selection activeCell="F12" sqref="A1:XFD1048576"/>
    </sheetView>
  </sheetViews>
  <sheetFormatPr baseColWidth="10" defaultColWidth="11.42578125" defaultRowHeight="14.45" customHeight="1" x14ac:dyDescent="0.25"/>
  <cols>
    <col min="2" max="2" width="19.85546875" customWidth="1"/>
    <col min="7" max="7" width="13.5703125" customWidth="1"/>
    <col min="12" max="12" width="8.42578125" customWidth="1"/>
  </cols>
  <sheetData>
    <row r="1" spans="1:10" ht="7.5" customHeight="1" x14ac:dyDescent="0.25">
      <c r="A1" s="617"/>
      <c r="B1" s="617"/>
      <c r="C1" s="618"/>
      <c r="D1" s="618"/>
      <c r="E1" s="618"/>
      <c r="F1" s="618"/>
      <c r="G1" s="618"/>
      <c r="H1" s="618"/>
      <c r="I1" s="618"/>
      <c r="J1" s="618"/>
    </row>
    <row r="2" spans="1:10" ht="15" x14ac:dyDescent="0.25">
      <c r="A2" s="200" t="s">
        <v>363</v>
      </c>
      <c r="B2" s="200"/>
      <c r="C2" s="619">
        <v>4444444444</v>
      </c>
      <c r="D2" s="619"/>
      <c r="E2" s="619"/>
      <c r="F2" s="619"/>
      <c r="G2" s="619"/>
      <c r="H2" s="619"/>
      <c r="I2" s="619"/>
      <c r="J2" s="619"/>
    </row>
    <row r="3" spans="1:10" ht="15" x14ac:dyDescent="0.25">
      <c r="A3" s="200"/>
      <c r="B3" s="200"/>
      <c r="C3" s="620">
        <v>56565665</v>
      </c>
      <c r="D3" s="620"/>
      <c r="E3" s="620"/>
      <c r="F3" s="620"/>
      <c r="G3" s="620"/>
      <c r="H3" s="620"/>
      <c r="I3" s="620"/>
      <c r="J3" s="620"/>
    </row>
    <row r="4" spans="1:10" ht="15" x14ac:dyDescent="0.25">
      <c r="A4" s="200" t="s">
        <v>364</v>
      </c>
      <c r="B4" s="200"/>
      <c r="C4" s="620" t="s">
        <v>6</v>
      </c>
      <c r="D4" s="620"/>
      <c r="E4" s="620"/>
      <c r="F4" s="620"/>
      <c r="G4" s="620"/>
      <c r="H4" s="620"/>
      <c r="I4" s="620"/>
      <c r="J4" s="620"/>
    </row>
    <row r="5" spans="1:10" ht="15" x14ac:dyDescent="0.25">
      <c r="A5" s="200" t="s">
        <v>365</v>
      </c>
      <c r="B5" s="200"/>
      <c r="C5" s="621" t="s">
        <v>699</v>
      </c>
      <c r="D5" s="621"/>
      <c r="E5" s="621"/>
      <c r="F5" s="621"/>
      <c r="G5" s="621"/>
      <c r="H5" s="621"/>
      <c r="I5" s="621"/>
      <c r="J5" s="621"/>
    </row>
    <row r="6" spans="1:10" ht="15" x14ac:dyDescent="0.25">
      <c r="A6" s="200" t="s">
        <v>366</v>
      </c>
      <c r="B6" s="200"/>
      <c r="C6" s="620">
        <v>125545</v>
      </c>
      <c r="D6" s="620"/>
      <c r="E6" s="622" t="s">
        <v>367</v>
      </c>
      <c r="F6" s="622"/>
      <c r="G6" s="240">
        <v>46022</v>
      </c>
      <c r="H6" s="611" t="s">
        <v>467</v>
      </c>
      <c r="I6" s="611"/>
      <c r="J6" s="241">
        <v>12</v>
      </c>
    </row>
    <row r="7" spans="1:10" ht="15" x14ac:dyDescent="0.25">
      <c r="A7" s="198" t="s">
        <v>369</v>
      </c>
      <c r="B7" s="24"/>
      <c r="C7" s="615" t="s">
        <v>8</v>
      </c>
      <c r="D7" s="615"/>
      <c r="E7" s="615"/>
      <c r="F7" s="615"/>
      <c r="G7" s="615"/>
      <c r="H7" s="615"/>
      <c r="I7" s="615"/>
      <c r="J7" s="615"/>
    </row>
    <row r="8" spans="1:10" ht="16.899999999999999" customHeight="1" x14ac:dyDescent="0.25">
      <c r="A8" s="200" t="s">
        <v>468</v>
      </c>
      <c r="B8" s="24"/>
      <c r="C8" s="616" t="s">
        <v>35</v>
      </c>
      <c r="D8" s="616"/>
      <c r="E8" s="616"/>
      <c r="F8" s="616"/>
      <c r="G8" s="616"/>
      <c r="H8" s="616"/>
      <c r="I8" s="616"/>
      <c r="J8" s="616"/>
    </row>
    <row r="9" spans="1:10" ht="16.899999999999999" customHeight="1" x14ac:dyDescent="0.25">
      <c r="A9" s="200"/>
      <c r="B9" s="24"/>
      <c r="C9" s="611" t="s">
        <v>36</v>
      </c>
      <c r="D9" s="611"/>
      <c r="E9" s="611"/>
      <c r="F9" s="611"/>
      <c r="G9" s="611"/>
      <c r="H9" s="611"/>
      <c r="I9" s="611"/>
      <c r="J9" s="611"/>
    </row>
    <row r="10" spans="1:10" ht="16.899999999999999" customHeight="1" x14ac:dyDescent="0.25">
      <c r="A10" s="200" t="s">
        <v>469</v>
      </c>
      <c r="B10" s="24"/>
      <c r="C10" s="611" t="s">
        <v>40</v>
      </c>
      <c r="D10" s="611"/>
      <c r="E10" s="611"/>
      <c r="F10" s="611" t="s">
        <v>470</v>
      </c>
      <c r="G10" s="611"/>
      <c r="H10" s="611" t="s">
        <v>38</v>
      </c>
      <c r="I10" s="611"/>
      <c r="J10" s="611"/>
    </row>
    <row r="11" spans="1:10" ht="16.899999999999999" customHeight="1" x14ac:dyDescent="0.25">
      <c r="A11" s="200" t="s">
        <v>471</v>
      </c>
      <c r="B11" s="24"/>
      <c r="C11" s="610">
        <v>44713</v>
      </c>
      <c r="D11" s="610"/>
      <c r="E11" s="610"/>
      <c r="F11" s="611" t="s">
        <v>472</v>
      </c>
      <c r="G11" s="611"/>
      <c r="H11" s="610">
        <v>45991</v>
      </c>
      <c r="I11" s="610"/>
      <c r="J11" s="610"/>
    </row>
    <row r="12" spans="1:10" ht="9" customHeight="1" thickBot="1" x14ac:dyDescent="0.3">
      <c r="A12" s="252"/>
      <c r="B12" s="252"/>
      <c r="C12" s="252"/>
      <c r="D12" s="252"/>
      <c r="E12" s="252"/>
      <c r="F12" s="252"/>
      <c r="G12" s="252"/>
      <c r="H12" s="252"/>
      <c r="I12" s="252"/>
      <c r="J12" s="252"/>
    </row>
    <row r="13" spans="1:10" ht="15.75" thickBot="1" x14ac:dyDescent="0.3">
      <c r="A13" s="612" t="s">
        <v>1629</v>
      </c>
      <c r="B13" s="1363"/>
      <c r="C13" s="1363"/>
      <c r="D13" s="1363"/>
      <c r="E13" s="1363"/>
      <c r="F13" s="1363"/>
      <c r="G13" s="1363"/>
      <c r="H13" s="1363"/>
      <c r="I13" s="1363"/>
      <c r="J13" s="1364"/>
    </row>
    <row r="14" spans="1:10" ht="8.25" customHeight="1" x14ac:dyDescent="0.25">
      <c r="A14" s="28"/>
      <c r="B14" s="28"/>
      <c r="C14" s="28"/>
      <c r="D14" s="28"/>
      <c r="E14" s="28"/>
      <c r="F14" s="28"/>
      <c r="G14" s="28"/>
      <c r="H14" s="28"/>
      <c r="I14" s="28"/>
      <c r="J14" s="28"/>
    </row>
    <row r="15" spans="1:10" ht="18.75" customHeight="1" x14ac:dyDescent="0.25">
      <c r="A15" s="1422" t="s">
        <v>1630</v>
      </c>
      <c r="B15" s="1422"/>
      <c r="C15" s="1422"/>
      <c r="D15" s="1422"/>
      <c r="E15" s="1422"/>
      <c r="F15" s="1422"/>
      <c r="G15" s="1422"/>
      <c r="H15" s="1422"/>
      <c r="I15" s="1422"/>
      <c r="J15" s="1422"/>
    </row>
    <row r="16" spans="1:10" ht="15" x14ac:dyDescent="0.25">
      <c r="A16" s="1423" t="s">
        <v>1631</v>
      </c>
      <c r="B16" s="1423"/>
      <c r="C16" s="1423"/>
      <c r="D16" s="1423"/>
      <c r="E16" s="1423"/>
      <c r="F16" s="1423" t="s">
        <v>1632</v>
      </c>
      <c r="G16" s="1423"/>
      <c r="H16" s="1423"/>
      <c r="I16" s="1423" t="s">
        <v>1610</v>
      </c>
      <c r="J16" s="1423"/>
    </row>
    <row r="17" spans="1:10" ht="15" x14ac:dyDescent="0.25">
      <c r="A17" s="1385"/>
      <c r="B17" s="1385"/>
      <c r="C17" s="1385"/>
      <c r="D17" s="1385"/>
      <c r="E17" s="1385"/>
      <c r="F17" s="1385"/>
      <c r="G17" s="1385"/>
      <c r="H17" s="1385"/>
      <c r="I17" s="1386"/>
      <c r="J17" s="1386"/>
    </row>
    <row r="18" spans="1:10" ht="15" x14ac:dyDescent="0.25">
      <c r="A18" s="1385"/>
      <c r="B18" s="1385"/>
      <c r="C18" s="1385"/>
      <c r="D18" s="1385"/>
      <c r="E18" s="1385"/>
      <c r="F18" s="1385"/>
      <c r="G18" s="1385"/>
      <c r="H18" s="1385"/>
      <c r="I18" s="1386"/>
      <c r="J18" s="1386"/>
    </row>
    <row r="19" spans="1:10" ht="15" x14ac:dyDescent="0.25">
      <c r="A19" s="1385"/>
      <c r="B19" s="1385"/>
      <c r="C19" s="1385"/>
      <c r="D19" s="1385"/>
      <c r="E19" s="1385"/>
      <c r="F19" s="1385"/>
      <c r="G19" s="1385"/>
      <c r="H19" s="1385"/>
      <c r="I19" s="1386"/>
      <c r="J19" s="1386"/>
    </row>
    <row r="20" spans="1:10" ht="15" x14ac:dyDescent="0.25">
      <c r="A20" s="1385"/>
      <c r="B20" s="1385"/>
      <c r="C20" s="1385"/>
      <c r="D20" s="1385"/>
      <c r="E20" s="1385"/>
      <c r="F20" s="1385"/>
      <c r="G20" s="1385"/>
      <c r="H20" s="1385"/>
      <c r="I20" s="1386"/>
      <c r="J20" s="1386"/>
    </row>
    <row r="21" spans="1:10" ht="15" x14ac:dyDescent="0.25">
      <c r="A21" s="1385"/>
      <c r="B21" s="1385"/>
      <c r="C21" s="1385"/>
      <c r="D21" s="1385"/>
      <c r="E21" s="1385"/>
      <c r="F21" s="1385"/>
      <c r="G21" s="1385"/>
      <c r="H21" s="1385"/>
      <c r="I21" s="1386"/>
      <c r="J21" s="1386"/>
    </row>
    <row r="22" spans="1:10" ht="15" x14ac:dyDescent="0.25">
      <c r="A22" s="1385"/>
      <c r="B22" s="1385"/>
      <c r="C22" s="1385"/>
      <c r="D22" s="1385"/>
      <c r="E22" s="1385"/>
      <c r="F22" s="1385"/>
      <c r="G22" s="1385"/>
      <c r="H22" s="1385"/>
      <c r="I22" s="1386"/>
      <c r="J22" s="1386"/>
    </row>
    <row r="23" spans="1:10" ht="12" customHeight="1" x14ac:dyDescent="0.25">
      <c r="A23" s="28"/>
      <c r="B23" s="28"/>
      <c r="C23" s="28"/>
      <c r="D23" s="28"/>
      <c r="E23" s="28"/>
      <c r="F23" s="28"/>
      <c r="G23" s="28"/>
      <c r="H23" s="28"/>
      <c r="I23" s="28"/>
      <c r="J23" s="28"/>
    </row>
    <row r="24" spans="1:10" ht="15" x14ac:dyDescent="0.25">
      <c r="A24" s="1422" t="s">
        <v>1633</v>
      </c>
      <c r="B24" s="1422"/>
      <c r="C24" s="1422"/>
      <c r="D24" s="1422"/>
      <c r="E24" s="1422"/>
      <c r="F24" s="1422"/>
      <c r="G24" s="1422"/>
      <c r="H24" s="1422"/>
      <c r="I24" s="1422"/>
      <c r="J24" s="1422"/>
    </row>
    <row r="25" spans="1:10" ht="15" x14ac:dyDescent="0.25">
      <c r="A25" s="890" t="s">
        <v>1615</v>
      </c>
      <c r="B25" s="890"/>
      <c r="C25" s="890"/>
      <c r="D25" s="890"/>
      <c r="E25" s="890"/>
      <c r="F25" s="890"/>
      <c r="G25" s="890"/>
      <c r="H25" s="890" t="s">
        <v>1610</v>
      </c>
      <c r="I25" s="890"/>
      <c r="J25" s="890"/>
    </row>
    <row r="26" spans="1:10" ht="15" x14ac:dyDescent="0.25">
      <c r="A26" s="1385"/>
      <c r="B26" s="1385"/>
      <c r="C26" s="1385"/>
      <c r="D26" s="1385"/>
      <c r="E26" s="1385"/>
      <c r="F26" s="1385"/>
      <c r="G26" s="1385"/>
      <c r="H26" s="1386"/>
      <c r="I26" s="1386"/>
      <c r="J26" s="1386"/>
    </row>
    <row r="27" spans="1:10" ht="15" x14ac:dyDescent="0.25">
      <c r="A27" s="1385"/>
      <c r="B27" s="1385"/>
      <c r="C27" s="1385"/>
      <c r="D27" s="1385"/>
      <c r="E27" s="1385"/>
      <c r="F27" s="1385"/>
      <c r="G27" s="1385"/>
      <c r="H27" s="1386"/>
      <c r="I27" s="1386"/>
      <c r="J27" s="1386"/>
    </row>
    <row r="28" spans="1:10" ht="15" x14ac:dyDescent="0.25">
      <c r="A28" s="1385"/>
      <c r="B28" s="1385"/>
      <c r="C28" s="1385"/>
      <c r="D28" s="1385"/>
      <c r="E28" s="1385"/>
      <c r="F28" s="1385"/>
      <c r="G28" s="1385"/>
      <c r="H28" s="1386"/>
      <c r="I28" s="1386"/>
      <c r="J28" s="1386"/>
    </row>
    <row r="29" spans="1:10" ht="15" x14ac:dyDescent="0.25">
      <c r="A29" s="1385"/>
      <c r="B29" s="1385"/>
      <c r="C29" s="1385"/>
      <c r="D29" s="1385"/>
      <c r="E29" s="1385"/>
      <c r="F29" s="1385"/>
      <c r="G29" s="1385"/>
      <c r="H29" s="1386"/>
      <c r="I29" s="1386"/>
      <c r="J29" s="1386"/>
    </row>
    <row r="30" spans="1:10" ht="15" x14ac:dyDescent="0.25">
      <c r="A30" s="1385"/>
      <c r="B30" s="1385"/>
      <c r="C30" s="1385"/>
      <c r="D30" s="1385"/>
      <c r="E30" s="1385"/>
      <c r="F30" s="1385"/>
      <c r="G30" s="1385"/>
      <c r="H30" s="1386"/>
      <c r="I30" s="1386"/>
      <c r="J30" s="1386"/>
    </row>
    <row r="31" spans="1:10" ht="15" x14ac:dyDescent="0.25">
      <c r="A31" s="1385"/>
      <c r="B31" s="1385"/>
      <c r="C31" s="1385"/>
      <c r="D31" s="1385"/>
      <c r="E31" s="1385"/>
      <c r="F31" s="1385"/>
      <c r="G31" s="1385"/>
      <c r="H31" s="1386"/>
      <c r="I31" s="1386"/>
      <c r="J31" s="1386"/>
    </row>
    <row r="32" spans="1:10" ht="15" x14ac:dyDescent="0.25">
      <c r="A32" s="1385"/>
      <c r="B32" s="1385"/>
      <c r="C32" s="1385"/>
      <c r="D32" s="1385"/>
      <c r="E32" s="1385"/>
      <c r="F32" s="1385"/>
      <c r="G32" s="1385"/>
      <c r="H32" s="1386"/>
      <c r="I32" s="1386"/>
      <c r="J32" s="1386"/>
    </row>
    <row r="33" spans="1:10" ht="15" x14ac:dyDescent="0.25">
      <c r="A33" s="1385"/>
      <c r="B33" s="1385"/>
      <c r="C33" s="1385"/>
      <c r="D33" s="1385"/>
      <c r="E33" s="1385"/>
      <c r="F33" s="1385"/>
      <c r="G33" s="1385"/>
      <c r="H33" s="1386"/>
      <c r="I33" s="1386"/>
      <c r="J33" s="1386"/>
    </row>
    <row r="34" spans="1:10" ht="15" x14ac:dyDescent="0.25">
      <c r="A34" s="1385"/>
      <c r="B34" s="1385"/>
      <c r="C34" s="1385"/>
      <c r="D34" s="1385"/>
      <c r="E34" s="1385"/>
      <c r="F34" s="1385"/>
      <c r="G34" s="1385"/>
      <c r="H34" s="1386"/>
      <c r="I34" s="1386"/>
      <c r="J34" s="1386"/>
    </row>
    <row r="35" spans="1:10" ht="15" x14ac:dyDescent="0.25">
      <c r="A35" s="1385"/>
      <c r="B35" s="1385"/>
      <c r="C35" s="1385"/>
      <c r="D35" s="1385"/>
      <c r="E35" s="1385"/>
      <c r="F35" s="1385"/>
      <c r="G35" s="1385"/>
      <c r="H35" s="1386"/>
      <c r="I35" s="1386"/>
      <c r="J35" s="1386"/>
    </row>
    <row r="36" spans="1:10" ht="15" x14ac:dyDescent="0.25">
      <c r="A36" s="1385"/>
      <c r="B36" s="1385"/>
      <c r="C36" s="1385"/>
      <c r="D36" s="1385"/>
      <c r="E36" s="1385"/>
      <c r="F36" s="1385"/>
      <c r="G36" s="1385"/>
      <c r="H36" s="1386"/>
      <c r="I36" s="1386"/>
      <c r="J36" s="1386"/>
    </row>
    <row r="37" spans="1:10" ht="15" x14ac:dyDescent="0.25">
      <c r="A37" s="1385"/>
      <c r="B37" s="1385"/>
      <c r="C37" s="1385"/>
      <c r="D37" s="1385"/>
      <c r="E37" s="1385"/>
      <c r="F37" s="1385"/>
      <c r="G37" s="1385"/>
      <c r="H37" s="1386"/>
      <c r="I37" s="1386"/>
      <c r="J37" s="1386"/>
    </row>
    <row r="38" spans="1:10" ht="15" x14ac:dyDescent="0.25">
      <c r="A38" s="1385"/>
      <c r="B38" s="1385"/>
      <c r="C38" s="1385"/>
      <c r="D38" s="1385"/>
      <c r="E38" s="1385"/>
      <c r="F38" s="1385"/>
      <c r="G38" s="1385"/>
      <c r="H38" s="1386"/>
      <c r="I38" s="1386"/>
      <c r="J38" s="1386"/>
    </row>
    <row r="39" spans="1:10" ht="15" x14ac:dyDescent="0.25">
      <c r="A39" s="1385"/>
      <c r="B39" s="1385"/>
      <c r="C39" s="1385"/>
      <c r="D39" s="1385"/>
      <c r="E39" s="1385"/>
      <c r="F39" s="1385"/>
      <c r="G39" s="1385"/>
      <c r="H39" s="1386"/>
      <c r="I39" s="1386"/>
      <c r="J39" s="1386"/>
    </row>
    <row r="40" spans="1:10" ht="15" x14ac:dyDescent="0.25">
      <c r="A40" s="1385"/>
      <c r="B40" s="1385"/>
      <c r="C40" s="1385"/>
      <c r="D40" s="1385"/>
      <c r="E40" s="1385"/>
      <c r="F40" s="1385"/>
      <c r="G40" s="1385"/>
      <c r="H40" s="1386"/>
      <c r="I40" s="1386"/>
      <c r="J40" s="1386"/>
    </row>
    <row r="41" spans="1:10" ht="15" x14ac:dyDescent="0.25">
      <c r="A41" s="1385"/>
      <c r="B41" s="1385"/>
      <c r="C41" s="1385"/>
      <c r="D41" s="1385"/>
      <c r="E41" s="1385"/>
      <c r="F41" s="1385"/>
      <c r="G41" s="1385"/>
      <c r="H41" s="1386"/>
      <c r="I41" s="1386"/>
      <c r="J41" s="1386"/>
    </row>
    <row r="42" spans="1:10" ht="15" x14ac:dyDescent="0.25">
      <c r="A42" s="1385"/>
      <c r="B42" s="1385"/>
      <c r="C42" s="1385"/>
      <c r="D42" s="1385"/>
      <c r="E42" s="1385"/>
      <c r="F42" s="1385"/>
      <c r="G42" s="1385"/>
      <c r="H42" s="1386"/>
      <c r="I42" s="1386"/>
      <c r="J42" s="1386"/>
    </row>
  </sheetData>
  <mergeCells count="77">
    <mergeCell ref="C6:D6"/>
    <mergeCell ref="E6:F6"/>
    <mergeCell ref="H6:I6"/>
    <mergeCell ref="A1:J1"/>
    <mergeCell ref="C2:J2"/>
    <mergeCell ref="C3:J3"/>
    <mergeCell ref="C4:J4"/>
    <mergeCell ref="C5:J5"/>
    <mergeCell ref="A16:E16"/>
    <mergeCell ref="F16:H16"/>
    <mergeCell ref="I16:J16"/>
    <mergeCell ref="C7:J7"/>
    <mergeCell ref="C8:J8"/>
    <mergeCell ref="C9:J9"/>
    <mergeCell ref="C10:E10"/>
    <mergeCell ref="F10:G10"/>
    <mergeCell ref="H10:J10"/>
    <mergeCell ref="C11:E11"/>
    <mergeCell ref="F11:G11"/>
    <mergeCell ref="H11:J11"/>
    <mergeCell ref="A13:J13"/>
    <mergeCell ref="A15:J15"/>
    <mergeCell ref="A17:E17"/>
    <mergeCell ref="F17:H17"/>
    <mergeCell ref="I17:J17"/>
    <mergeCell ref="A18:E18"/>
    <mergeCell ref="F18:H18"/>
    <mergeCell ref="I18:J18"/>
    <mergeCell ref="A19:E19"/>
    <mergeCell ref="F19:H19"/>
    <mergeCell ref="I19:J19"/>
    <mergeCell ref="A20:E20"/>
    <mergeCell ref="F20:H20"/>
    <mergeCell ref="I20:J20"/>
    <mergeCell ref="A27:G27"/>
    <mergeCell ref="H27:J27"/>
    <mergeCell ref="A21:E21"/>
    <mergeCell ref="F21:H21"/>
    <mergeCell ref="I21:J21"/>
    <mergeCell ref="A22:E22"/>
    <mergeCell ref="F22:H22"/>
    <mergeCell ref="I22:J22"/>
    <mergeCell ref="A24:J24"/>
    <mergeCell ref="A25:G25"/>
    <mergeCell ref="H25:J25"/>
    <mergeCell ref="A26:G26"/>
    <mergeCell ref="H26:J26"/>
    <mergeCell ref="A28:G28"/>
    <mergeCell ref="H28:J28"/>
    <mergeCell ref="A29:G29"/>
    <mergeCell ref="H29:J29"/>
    <mergeCell ref="A30:G30"/>
    <mergeCell ref="H30:J30"/>
    <mergeCell ref="A31:G31"/>
    <mergeCell ref="H31:J31"/>
    <mergeCell ref="A32:G32"/>
    <mergeCell ref="H32:J32"/>
    <mergeCell ref="A33:G33"/>
    <mergeCell ref="H33:J33"/>
    <mergeCell ref="A34:G34"/>
    <mergeCell ref="H34:J34"/>
    <mergeCell ref="A35:G35"/>
    <mergeCell ref="H35:J35"/>
    <mergeCell ref="A36:G36"/>
    <mergeCell ref="H36:J36"/>
    <mergeCell ref="A37:G37"/>
    <mergeCell ref="H37:J37"/>
    <mergeCell ref="A38:G38"/>
    <mergeCell ref="H38:J38"/>
    <mergeCell ref="A39:G39"/>
    <mergeCell ref="H39:J39"/>
    <mergeCell ref="A40:G40"/>
    <mergeCell ref="H40:J40"/>
    <mergeCell ref="A41:G41"/>
    <mergeCell ref="H41:J41"/>
    <mergeCell ref="A42:G42"/>
    <mergeCell ref="H42:J42"/>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7C15-CA39-4DAD-8CD8-44B8D10EEF4A}">
  <dimension ref="A1:K42"/>
  <sheetViews>
    <sheetView workbookViewId="0">
      <selection sqref="A1:XFD1048576"/>
    </sheetView>
  </sheetViews>
  <sheetFormatPr baseColWidth="10" defaultColWidth="11.42578125" defaultRowHeight="13.15" customHeight="1" x14ac:dyDescent="0.25"/>
  <cols>
    <col min="1" max="1" width="22.42578125" style="376" customWidth="1"/>
    <col min="2" max="2" width="9.42578125" style="376" customWidth="1"/>
    <col min="3" max="3" width="10.5703125" style="376" customWidth="1"/>
    <col min="4" max="4" width="22.140625" style="376" customWidth="1"/>
    <col min="5" max="5" width="11.28515625" style="376" customWidth="1"/>
    <col min="6" max="6" width="9.42578125" style="376" customWidth="1"/>
    <col min="7" max="7" width="14.42578125" style="376" customWidth="1"/>
    <col min="8" max="8" width="11.5703125" style="376" customWidth="1"/>
    <col min="9" max="9" width="10.42578125" style="376" customWidth="1"/>
    <col min="10" max="10" width="10.140625" style="376" customWidth="1"/>
    <col min="11" max="11" width="9" style="376" customWidth="1"/>
    <col min="12" max="12" width="11.42578125" style="376"/>
    <col min="13" max="13" width="6.5703125" style="376" customWidth="1"/>
    <col min="14" max="16384" width="11.42578125" style="376"/>
  </cols>
  <sheetData>
    <row r="1" spans="1:11" ht="10.5" customHeight="1" x14ac:dyDescent="0.25">
      <c r="A1" s="617"/>
      <c r="B1" s="617"/>
      <c r="C1" s="618"/>
      <c r="D1" s="618"/>
      <c r="E1" s="618"/>
      <c r="F1" s="618"/>
      <c r="G1" s="618"/>
      <c r="H1" s="618"/>
      <c r="I1" s="618"/>
      <c r="J1" s="618"/>
    </row>
    <row r="2" spans="1:11" ht="15" customHeight="1" x14ac:dyDescent="0.25">
      <c r="A2" s="200" t="s">
        <v>363</v>
      </c>
      <c r="B2" s="200"/>
      <c r="C2" s="619">
        <v>4444444444</v>
      </c>
      <c r="D2" s="619"/>
      <c r="E2" s="619"/>
      <c r="F2" s="619"/>
      <c r="G2" s="619"/>
      <c r="H2" s="619"/>
      <c r="I2" s="619"/>
      <c r="J2" s="619"/>
      <c r="K2" s="619"/>
    </row>
    <row r="3" spans="1:11" ht="15" customHeight="1" x14ac:dyDescent="0.25">
      <c r="A3" s="200"/>
      <c r="B3" s="200"/>
      <c r="C3" s="620">
        <v>56565665</v>
      </c>
      <c r="D3" s="620"/>
      <c r="E3" s="620"/>
      <c r="F3" s="620"/>
      <c r="G3" s="620"/>
      <c r="H3" s="620"/>
      <c r="I3" s="620"/>
      <c r="J3" s="620"/>
      <c r="K3" s="620"/>
    </row>
    <row r="4" spans="1:11" ht="15" customHeight="1" x14ac:dyDescent="0.25">
      <c r="A4" s="200" t="s">
        <v>364</v>
      </c>
      <c r="B4" s="200"/>
      <c r="C4" s="620" t="s">
        <v>6</v>
      </c>
      <c r="D4" s="620"/>
      <c r="E4" s="620"/>
      <c r="F4" s="620"/>
      <c r="G4" s="620"/>
      <c r="H4" s="620"/>
      <c r="I4" s="620"/>
      <c r="J4" s="620"/>
      <c r="K4" s="620"/>
    </row>
    <row r="5" spans="1:11" ht="15" customHeight="1" x14ac:dyDescent="0.25">
      <c r="A5" s="200" t="s">
        <v>365</v>
      </c>
      <c r="B5" s="200"/>
      <c r="C5" s="621" t="s">
        <v>699</v>
      </c>
      <c r="D5" s="621"/>
      <c r="E5" s="621"/>
      <c r="F5" s="621"/>
      <c r="G5" s="621"/>
      <c r="H5" s="621"/>
      <c r="I5" s="621"/>
      <c r="J5" s="621"/>
      <c r="K5" s="621"/>
    </row>
    <row r="6" spans="1:11" ht="15" x14ac:dyDescent="0.25">
      <c r="A6" s="200" t="s">
        <v>366</v>
      </c>
      <c r="B6" s="200"/>
      <c r="C6" s="619">
        <v>125545</v>
      </c>
      <c r="D6" s="619"/>
      <c r="E6" s="1442" t="s">
        <v>367</v>
      </c>
      <c r="F6" s="1442"/>
      <c r="G6" s="209">
        <v>46022</v>
      </c>
      <c r="H6" s="611" t="s">
        <v>467</v>
      </c>
      <c r="I6" s="611"/>
      <c r="J6" s="619">
        <v>12</v>
      </c>
      <c r="K6" s="619"/>
    </row>
    <row r="7" spans="1:11" ht="15" customHeight="1" x14ac:dyDescent="0.25">
      <c r="A7" s="200" t="s">
        <v>369</v>
      </c>
      <c r="B7" s="200"/>
      <c r="C7" s="615" t="s">
        <v>8</v>
      </c>
      <c r="D7" s="615"/>
      <c r="E7" s="615"/>
      <c r="F7" s="615"/>
      <c r="G7" s="615"/>
      <c r="H7" s="615"/>
      <c r="I7" s="615"/>
      <c r="J7" s="615"/>
      <c r="K7" s="615"/>
    </row>
    <row r="8" spans="1:11" ht="15" customHeight="1" x14ac:dyDescent="0.25">
      <c r="A8" s="200" t="s">
        <v>468</v>
      </c>
      <c r="B8" s="200"/>
      <c r="C8" s="616" t="s">
        <v>35</v>
      </c>
      <c r="D8" s="616"/>
      <c r="E8" s="616"/>
      <c r="F8" s="616"/>
      <c r="G8" s="616"/>
      <c r="H8" s="616"/>
      <c r="I8" s="616"/>
      <c r="J8" s="616"/>
      <c r="K8" s="616"/>
    </row>
    <row r="9" spans="1:11" ht="15" customHeight="1" x14ac:dyDescent="0.25">
      <c r="A9" s="198"/>
      <c r="B9" s="200"/>
      <c r="C9" s="611" t="s">
        <v>36</v>
      </c>
      <c r="D9" s="611"/>
      <c r="E9" s="611"/>
      <c r="F9" s="611"/>
      <c r="G9" s="611"/>
      <c r="H9" s="611"/>
      <c r="I9" s="611"/>
      <c r="J9" s="611"/>
      <c r="K9" s="611"/>
    </row>
    <row r="10" spans="1:11" ht="15" customHeight="1" x14ac:dyDescent="0.25">
      <c r="A10" s="200" t="s">
        <v>469</v>
      </c>
      <c r="B10" s="200"/>
      <c r="C10" s="611" t="s">
        <v>40</v>
      </c>
      <c r="D10" s="611"/>
      <c r="E10" s="611" t="s">
        <v>470</v>
      </c>
      <c r="F10" s="611"/>
      <c r="G10" s="611"/>
      <c r="H10" s="611"/>
      <c r="I10" s="611" t="s">
        <v>38</v>
      </c>
      <c r="J10" s="611"/>
      <c r="K10" s="611"/>
    </row>
    <row r="11" spans="1:11" ht="15" customHeight="1" x14ac:dyDescent="0.25">
      <c r="A11" s="200" t="s">
        <v>471</v>
      </c>
      <c r="B11" s="200"/>
      <c r="C11" s="610">
        <v>44713</v>
      </c>
      <c r="D11" s="610"/>
      <c r="E11" s="611" t="s">
        <v>472</v>
      </c>
      <c r="F11" s="611"/>
      <c r="G11" s="611"/>
      <c r="H11" s="611"/>
      <c r="I11" s="610">
        <v>45991</v>
      </c>
      <c r="J11" s="610"/>
      <c r="K11" s="610"/>
    </row>
    <row r="12" spans="1:11" ht="9" customHeight="1" thickBot="1" x14ac:dyDescent="0.3">
      <c r="A12" s="24"/>
      <c r="B12" s="24"/>
      <c r="C12" s="24"/>
      <c r="D12" s="24"/>
      <c r="E12" s="24"/>
      <c r="F12" s="24"/>
      <c r="G12" s="24"/>
      <c r="H12" s="24"/>
      <c r="I12" s="24"/>
      <c r="J12" s="24"/>
      <c r="K12" s="252"/>
    </row>
    <row r="13" spans="1:11" ht="15.75" thickBot="1" x14ac:dyDescent="0.3">
      <c r="A13" s="612" t="s">
        <v>1177</v>
      </c>
      <c r="B13" s="613"/>
      <c r="C13" s="613"/>
      <c r="D13" s="613"/>
      <c r="E13" s="613"/>
      <c r="F13" s="613"/>
      <c r="G13" s="613"/>
      <c r="H13" s="613"/>
      <c r="I13" s="613"/>
      <c r="J13" s="613"/>
      <c r="K13" s="1439"/>
    </row>
    <row r="14" spans="1:11" ht="9.6" customHeight="1" thickBot="1" x14ac:dyDescent="0.3">
      <c r="A14" s="28"/>
      <c r="B14" s="28"/>
      <c r="C14" s="555"/>
      <c r="D14" s="555"/>
      <c r="E14" s="555"/>
      <c r="F14" s="555"/>
      <c r="G14" s="555"/>
      <c r="H14" s="555"/>
      <c r="I14" s="555"/>
      <c r="J14" s="28"/>
      <c r="K14" s="28"/>
    </row>
    <row r="15" spans="1:11" ht="15" x14ac:dyDescent="0.25">
      <c r="A15" s="1440" t="s">
        <v>1634</v>
      </c>
      <c r="B15" s="1441"/>
      <c r="C15" s="1441"/>
      <c r="D15" s="1431" t="s">
        <v>1635</v>
      </c>
      <c r="E15" s="1431" t="s">
        <v>1636</v>
      </c>
      <c r="F15" s="1431" t="s">
        <v>1637</v>
      </c>
      <c r="G15" s="1431" t="s">
        <v>1638</v>
      </c>
      <c r="H15" s="1431" t="s">
        <v>1639</v>
      </c>
      <c r="I15" s="1431" t="s">
        <v>1640</v>
      </c>
      <c r="J15" s="1431" t="s">
        <v>1641</v>
      </c>
      <c r="K15" s="1433" t="s">
        <v>1642</v>
      </c>
    </row>
    <row r="16" spans="1:11" ht="26.45" customHeight="1" thickBot="1" x14ac:dyDescent="0.3">
      <c r="A16" s="573" t="s">
        <v>1643</v>
      </c>
      <c r="B16" s="1435" t="s">
        <v>1644</v>
      </c>
      <c r="C16" s="1436"/>
      <c r="D16" s="1432"/>
      <c r="E16" s="1432"/>
      <c r="F16" s="1432"/>
      <c r="G16" s="1432"/>
      <c r="H16" s="1432"/>
      <c r="I16" s="1432"/>
      <c r="J16" s="1432"/>
      <c r="K16" s="1434"/>
    </row>
    <row r="17" spans="1:11" ht="15" x14ac:dyDescent="0.25">
      <c r="A17" s="574"/>
      <c r="B17" s="1437"/>
      <c r="C17" s="1438"/>
      <c r="D17" s="575"/>
      <c r="E17" s="576"/>
      <c r="F17" s="577"/>
      <c r="G17" s="575"/>
      <c r="H17" s="575"/>
      <c r="I17" s="575"/>
      <c r="J17" s="575"/>
      <c r="K17" s="578"/>
    </row>
    <row r="18" spans="1:11" ht="15" x14ac:dyDescent="0.25">
      <c r="A18" s="579"/>
      <c r="B18" s="1424"/>
      <c r="C18" s="1425"/>
      <c r="D18" s="577"/>
      <c r="E18" s="580"/>
      <c r="F18" s="577"/>
      <c r="G18" s="577"/>
      <c r="H18" s="577"/>
      <c r="I18" s="577"/>
      <c r="J18" s="575"/>
      <c r="K18" s="581"/>
    </row>
    <row r="19" spans="1:11" ht="15" x14ac:dyDescent="0.25">
      <c r="A19" s="579"/>
      <c r="B19" s="1424"/>
      <c r="C19" s="1425"/>
      <c r="D19" s="577"/>
      <c r="E19" s="580"/>
      <c r="F19" s="577"/>
      <c r="G19" s="577"/>
      <c r="H19" s="577"/>
      <c r="I19" s="577"/>
      <c r="J19" s="575"/>
      <c r="K19" s="581"/>
    </row>
    <row r="20" spans="1:11" ht="15" x14ac:dyDescent="0.25">
      <c r="A20" s="579"/>
      <c r="B20" s="1424"/>
      <c r="C20" s="1425"/>
      <c r="D20" s="577"/>
      <c r="E20" s="580"/>
      <c r="F20" s="577"/>
      <c r="G20" s="577"/>
      <c r="H20" s="577"/>
      <c r="I20" s="577"/>
      <c r="J20" s="575"/>
      <c r="K20" s="581"/>
    </row>
    <row r="21" spans="1:11" ht="15" x14ac:dyDescent="0.25">
      <c r="A21" s="579"/>
      <c r="B21" s="1424"/>
      <c r="C21" s="1425"/>
      <c r="D21" s="577"/>
      <c r="E21" s="580"/>
      <c r="F21" s="577"/>
      <c r="G21" s="577"/>
      <c r="H21" s="577"/>
      <c r="I21" s="577"/>
      <c r="J21" s="575"/>
      <c r="K21" s="581"/>
    </row>
    <row r="22" spans="1:11" ht="15" x14ac:dyDescent="0.25">
      <c r="A22" s="579"/>
      <c r="B22" s="1424"/>
      <c r="C22" s="1425"/>
      <c r="D22" s="577"/>
      <c r="E22" s="580"/>
      <c r="F22" s="577"/>
      <c r="G22" s="577"/>
      <c r="H22" s="577"/>
      <c r="I22" s="577"/>
      <c r="J22" s="575"/>
      <c r="K22" s="581"/>
    </row>
    <row r="23" spans="1:11" ht="15" x14ac:dyDescent="0.25">
      <c r="A23" s="579"/>
      <c r="B23" s="1424"/>
      <c r="C23" s="1425"/>
      <c r="D23" s="577"/>
      <c r="E23" s="580"/>
      <c r="F23" s="577"/>
      <c r="G23" s="577"/>
      <c r="H23" s="577"/>
      <c r="I23" s="577"/>
      <c r="J23" s="575"/>
      <c r="K23" s="581"/>
    </row>
    <row r="24" spans="1:11" ht="15" x14ac:dyDescent="0.25">
      <c r="A24" s="579"/>
      <c r="B24" s="1424"/>
      <c r="C24" s="1425"/>
      <c r="D24" s="577"/>
      <c r="E24" s="580"/>
      <c r="F24" s="577"/>
      <c r="G24" s="577"/>
      <c r="H24" s="577"/>
      <c r="I24" s="577"/>
      <c r="J24" s="575"/>
      <c r="K24" s="581"/>
    </row>
    <row r="25" spans="1:11" ht="15" x14ac:dyDescent="0.25">
      <c r="A25" s="579"/>
      <c r="B25" s="1424"/>
      <c r="C25" s="1425"/>
      <c r="D25" s="577"/>
      <c r="E25" s="580"/>
      <c r="F25" s="577"/>
      <c r="G25" s="577"/>
      <c r="H25" s="577"/>
      <c r="I25" s="577"/>
      <c r="J25" s="575"/>
      <c r="K25" s="581"/>
    </row>
    <row r="26" spans="1:11" ht="15" x14ac:dyDescent="0.25">
      <c r="A26" s="579"/>
      <c r="B26" s="1424"/>
      <c r="C26" s="1425"/>
      <c r="D26" s="577"/>
      <c r="E26" s="580"/>
      <c r="F26" s="577"/>
      <c r="G26" s="577"/>
      <c r="H26" s="577"/>
      <c r="I26" s="577"/>
      <c r="J26" s="575"/>
      <c r="K26" s="581"/>
    </row>
    <row r="27" spans="1:11" ht="15" x14ac:dyDescent="0.25">
      <c r="A27" s="579"/>
      <c r="B27" s="1424"/>
      <c r="C27" s="1425"/>
      <c r="D27" s="577"/>
      <c r="E27" s="580"/>
      <c r="F27" s="577"/>
      <c r="G27" s="577"/>
      <c r="H27" s="577"/>
      <c r="I27" s="577"/>
      <c r="J27" s="575"/>
      <c r="K27" s="581"/>
    </row>
    <row r="28" spans="1:11" ht="15" x14ac:dyDescent="0.25">
      <c r="A28" s="579"/>
      <c r="B28" s="1424"/>
      <c r="C28" s="1425"/>
      <c r="D28" s="577"/>
      <c r="E28" s="580"/>
      <c r="F28" s="577"/>
      <c r="G28" s="577"/>
      <c r="H28" s="577"/>
      <c r="I28" s="577"/>
      <c r="J28" s="575"/>
      <c r="K28" s="581"/>
    </row>
    <row r="29" spans="1:11" ht="15" x14ac:dyDescent="0.25">
      <c r="A29" s="579"/>
      <c r="B29" s="1424"/>
      <c r="C29" s="1425"/>
      <c r="D29" s="577"/>
      <c r="E29" s="580"/>
      <c r="F29" s="577"/>
      <c r="G29" s="577"/>
      <c r="H29" s="577"/>
      <c r="I29" s="577"/>
      <c r="J29" s="575"/>
      <c r="K29" s="581"/>
    </row>
    <row r="30" spans="1:11" ht="15" x14ac:dyDescent="0.25">
      <c r="A30" s="579"/>
      <c r="B30" s="1424"/>
      <c r="C30" s="1425"/>
      <c r="D30" s="577"/>
      <c r="E30" s="580"/>
      <c r="F30" s="577"/>
      <c r="G30" s="577"/>
      <c r="H30" s="577"/>
      <c r="I30" s="577"/>
      <c r="J30" s="575"/>
      <c r="K30" s="581"/>
    </row>
    <row r="31" spans="1:11" ht="15" x14ac:dyDescent="0.25">
      <c r="A31" s="579"/>
      <c r="B31" s="1424"/>
      <c r="C31" s="1425"/>
      <c r="D31" s="577"/>
      <c r="E31" s="580"/>
      <c r="F31" s="577"/>
      <c r="G31" s="577"/>
      <c r="H31" s="577"/>
      <c r="I31" s="577"/>
      <c r="J31" s="575"/>
      <c r="K31" s="581"/>
    </row>
    <row r="32" spans="1:11" ht="15" x14ac:dyDescent="0.25">
      <c r="A32" s="579"/>
      <c r="B32" s="1424"/>
      <c r="C32" s="1425"/>
      <c r="D32" s="577"/>
      <c r="E32" s="580"/>
      <c r="F32" s="577"/>
      <c r="G32" s="577"/>
      <c r="H32" s="577"/>
      <c r="I32" s="577"/>
      <c r="J32" s="575"/>
      <c r="K32" s="581"/>
    </row>
    <row r="33" spans="1:11" ht="15" x14ac:dyDescent="0.25">
      <c r="A33" s="579"/>
      <c r="B33" s="1424"/>
      <c r="C33" s="1425"/>
      <c r="D33" s="577"/>
      <c r="E33" s="580"/>
      <c r="F33" s="577"/>
      <c r="G33" s="577"/>
      <c r="H33" s="577"/>
      <c r="I33" s="577"/>
      <c r="J33" s="575"/>
      <c r="K33" s="581"/>
    </row>
    <row r="34" spans="1:11" ht="15" x14ac:dyDescent="0.25">
      <c r="A34" s="582"/>
      <c r="B34" s="1424"/>
      <c r="C34" s="1425"/>
      <c r="D34" s="577"/>
      <c r="E34" s="580"/>
      <c r="F34" s="577"/>
      <c r="G34" s="577"/>
      <c r="H34" s="577"/>
      <c r="I34" s="577"/>
      <c r="J34" s="575"/>
      <c r="K34" s="581"/>
    </row>
    <row r="35" spans="1:11" ht="15" x14ac:dyDescent="0.25">
      <c r="A35" s="582"/>
      <c r="B35" s="1424"/>
      <c r="C35" s="1425"/>
      <c r="D35" s="577"/>
      <c r="E35" s="580"/>
      <c r="F35" s="577"/>
      <c r="G35" s="577"/>
      <c r="H35" s="577"/>
      <c r="I35" s="577"/>
      <c r="J35" s="575"/>
      <c r="K35" s="581"/>
    </row>
    <row r="36" spans="1:11" ht="15" x14ac:dyDescent="0.25">
      <c r="A36" s="583"/>
      <c r="B36" s="1424"/>
      <c r="C36" s="1425"/>
      <c r="D36" s="577"/>
      <c r="E36" s="580"/>
      <c r="F36" s="577"/>
      <c r="G36" s="577"/>
      <c r="H36" s="577"/>
      <c r="I36" s="577"/>
      <c r="J36" s="577"/>
      <c r="K36" s="581"/>
    </row>
    <row r="37" spans="1:11" ht="15" x14ac:dyDescent="0.25">
      <c r="A37" s="583"/>
      <c r="B37" s="1424"/>
      <c r="C37" s="1425"/>
      <c r="D37" s="577"/>
      <c r="E37" s="580"/>
      <c r="F37" s="577"/>
      <c r="G37" s="577"/>
      <c r="H37" s="577"/>
      <c r="I37" s="577"/>
      <c r="J37" s="577"/>
      <c r="K37" s="581"/>
    </row>
    <row r="38" spans="1:11" ht="15" x14ac:dyDescent="0.25">
      <c r="A38" s="583"/>
      <c r="B38" s="1424"/>
      <c r="C38" s="1425"/>
      <c r="D38" s="577"/>
      <c r="E38" s="580"/>
      <c r="F38" s="577"/>
      <c r="G38" s="577"/>
      <c r="H38" s="577"/>
      <c r="I38" s="577"/>
      <c r="J38" s="577"/>
      <c r="K38" s="581"/>
    </row>
    <row r="39" spans="1:11" ht="15" x14ac:dyDescent="0.25">
      <c r="A39" s="583"/>
      <c r="B39" s="1424"/>
      <c r="C39" s="1425"/>
      <c r="D39" s="577"/>
      <c r="E39" s="580"/>
      <c r="F39" s="577"/>
      <c r="G39" s="577"/>
      <c r="H39" s="577"/>
      <c r="I39" s="577"/>
      <c r="J39" s="577"/>
      <c r="K39" s="581"/>
    </row>
    <row r="40" spans="1:11" ht="15" x14ac:dyDescent="0.25">
      <c r="A40" s="583"/>
      <c r="B40" s="1424"/>
      <c r="C40" s="1425"/>
      <c r="D40" s="577"/>
      <c r="E40" s="580"/>
      <c r="F40" s="577"/>
      <c r="G40" s="577"/>
      <c r="H40" s="577"/>
      <c r="I40" s="577"/>
      <c r="J40" s="577"/>
      <c r="K40" s="581"/>
    </row>
    <row r="41" spans="1:11" ht="15.75" thickBot="1" x14ac:dyDescent="0.3">
      <c r="A41" s="584"/>
      <c r="B41" s="1426"/>
      <c r="C41" s="1427"/>
      <c r="D41" s="585"/>
      <c r="E41" s="586"/>
      <c r="F41" s="585"/>
      <c r="G41" s="585"/>
      <c r="H41" s="585"/>
      <c r="I41" s="585"/>
      <c r="J41" s="585"/>
      <c r="K41" s="587"/>
    </row>
    <row r="42" spans="1:11" ht="15.75" thickBot="1" x14ac:dyDescent="0.3">
      <c r="A42" s="1428" t="s">
        <v>825</v>
      </c>
      <c r="B42" s="1429"/>
      <c r="C42" s="1430"/>
      <c r="D42" s="588"/>
      <c r="E42" s="589"/>
      <c r="F42" s="588"/>
      <c r="G42" s="588"/>
      <c r="H42" s="588"/>
      <c r="I42" s="588"/>
      <c r="J42" s="588"/>
      <c r="K42" s="590"/>
    </row>
  </sheetData>
  <mergeCells count="55">
    <mergeCell ref="C6:D6"/>
    <mergeCell ref="E6:F6"/>
    <mergeCell ref="H6:I6"/>
    <mergeCell ref="J6:K6"/>
    <mergeCell ref="A1:J1"/>
    <mergeCell ref="C2:K2"/>
    <mergeCell ref="C3:K3"/>
    <mergeCell ref="C4:K4"/>
    <mergeCell ref="C5:K5"/>
    <mergeCell ref="C7:K7"/>
    <mergeCell ref="C8:K8"/>
    <mergeCell ref="C9:K9"/>
    <mergeCell ref="C10:D10"/>
    <mergeCell ref="E10:H10"/>
    <mergeCell ref="I10:K10"/>
    <mergeCell ref="B18:C18"/>
    <mergeCell ref="C11:D11"/>
    <mergeCell ref="E11:H11"/>
    <mergeCell ref="I11:K11"/>
    <mergeCell ref="A13:K13"/>
    <mergeCell ref="A15:C15"/>
    <mergeCell ref="D15:D16"/>
    <mergeCell ref="E15:E16"/>
    <mergeCell ref="F15:F16"/>
    <mergeCell ref="G15:G16"/>
    <mergeCell ref="H15:H16"/>
    <mergeCell ref="I15:I16"/>
    <mergeCell ref="J15:J16"/>
    <mergeCell ref="K15:K16"/>
    <mergeCell ref="B16:C16"/>
    <mergeCell ref="B17:C17"/>
    <mergeCell ref="B30:C30"/>
    <mergeCell ref="B19:C19"/>
    <mergeCell ref="B20:C20"/>
    <mergeCell ref="B21:C21"/>
    <mergeCell ref="B22:C22"/>
    <mergeCell ref="B23:C23"/>
    <mergeCell ref="B24:C24"/>
    <mergeCell ref="B25:C25"/>
    <mergeCell ref="B26:C26"/>
    <mergeCell ref="B27:C27"/>
    <mergeCell ref="B28:C28"/>
    <mergeCell ref="B29:C29"/>
    <mergeCell ref="A42:C42"/>
    <mergeCell ref="B31:C31"/>
    <mergeCell ref="B32:C32"/>
    <mergeCell ref="B33:C33"/>
    <mergeCell ref="B34:C34"/>
    <mergeCell ref="B35:C35"/>
    <mergeCell ref="B36:C36"/>
    <mergeCell ref="B37:C37"/>
    <mergeCell ref="B38:C38"/>
    <mergeCell ref="B39:C39"/>
    <mergeCell ref="B40:C40"/>
    <mergeCell ref="B41:C41"/>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D6939-15E4-4FD7-B4C9-413198456A53}">
  <dimension ref="A1:K37"/>
  <sheetViews>
    <sheetView workbookViewId="0">
      <selection activeCell="G16" sqref="A1:XFD1048576"/>
    </sheetView>
  </sheetViews>
  <sheetFormatPr baseColWidth="10" defaultColWidth="11.42578125" defaultRowHeight="13.9" customHeight="1" x14ac:dyDescent="0.25"/>
  <cols>
    <col min="1" max="1" width="14.7109375" style="376" customWidth="1"/>
    <col min="2" max="2" width="17" style="376" customWidth="1"/>
    <col min="3" max="3" width="8.42578125" style="376" customWidth="1"/>
    <col min="4" max="4" width="6.5703125" style="376" customWidth="1"/>
    <col min="5" max="5" width="10.85546875" style="376" customWidth="1"/>
    <col min="6" max="6" width="6.42578125" style="376" customWidth="1"/>
    <col min="7" max="7" width="12.85546875" style="376" customWidth="1"/>
    <col min="8" max="8" width="9.28515625" style="376" customWidth="1"/>
    <col min="9" max="11" width="16.85546875" style="376" customWidth="1"/>
    <col min="12" max="12" width="11.42578125" style="376"/>
    <col min="13" max="13" width="7.140625" style="376" customWidth="1"/>
    <col min="14" max="16384" width="11.42578125" style="376"/>
  </cols>
  <sheetData>
    <row r="1" spans="1:11" ht="6.75" customHeight="1" x14ac:dyDescent="0.25">
      <c r="A1" s="617"/>
      <c r="B1" s="617"/>
      <c r="C1" s="618"/>
      <c r="D1" s="618"/>
      <c r="E1" s="618"/>
      <c r="F1" s="618"/>
      <c r="G1" s="618"/>
      <c r="H1" s="618"/>
      <c r="I1" s="618"/>
      <c r="J1" s="618"/>
    </row>
    <row r="2" spans="1:11" ht="15" customHeight="1" x14ac:dyDescent="0.25">
      <c r="A2" s="200" t="s">
        <v>363</v>
      </c>
      <c r="B2" s="200"/>
      <c r="C2" s="619">
        <v>4444444444</v>
      </c>
      <c r="D2" s="619"/>
      <c r="E2" s="619"/>
      <c r="F2" s="619"/>
      <c r="G2" s="619"/>
      <c r="H2" s="619"/>
      <c r="I2" s="619"/>
      <c r="J2" s="619"/>
      <c r="K2" s="619"/>
    </row>
    <row r="3" spans="1:11" ht="15" customHeight="1" x14ac:dyDescent="0.25">
      <c r="A3" s="200"/>
      <c r="B3" s="200"/>
      <c r="C3" s="620">
        <v>56565665</v>
      </c>
      <c r="D3" s="620"/>
      <c r="E3" s="620"/>
      <c r="F3" s="620"/>
      <c r="G3" s="620"/>
      <c r="H3" s="620"/>
      <c r="I3" s="620"/>
      <c r="J3" s="620"/>
      <c r="K3" s="620"/>
    </row>
    <row r="4" spans="1:11" ht="15" customHeight="1" x14ac:dyDescent="0.25">
      <c r="A4" s="200" t="s">
        <v>364</v>
      </c>
      <c r="B4" s="200"/>
      <c r="C4" s="620" t="s">
        <v>6</v>
      </c>
      <c r="D4" s="620"/>
      <c r="E4" s="620"/>
      <c r="F4" s="620"/>
      <c r="G4" s="620"/>
      <c r="H4" s="620"/>
      <c r="I4" s="620"/>
      <c r="J4" s="620"/>
      <c r="K4" s="620"/>
    </row>
    <row r="5" spans="1:11" ht="15" customHeight="1" x14ac:dyDescent="0.25">
      <c r="A5" s="200" t="s">
        <v>365</v>
      </c>
      <c r="B5" s="200"/>
      <c r="C5" s="621" t="s">
        <v>699</v>
      </c>
      <c r="D5" s="621"/>
      <c r="E5" s="621"/>
      <c r="F5" s="621"/>
      <c r="G5" s="621"/>
      <c r="H5" s="621"/>
      <c r="I5" s="621"/>
      <c r="J5" s="621"/>
      <c r="K5" s="621"/>
    </row>
    <row r="6" spans="1:11" ht="15" x14ac:dyDescent="0.25">
      <c r="A6" s="200" t="s">
        <v>366</v>
      </c>
      <c r="B6" s="200"/>
      <c r="C6" s="619">
        <v>125545</v>
      </c>
      <c r="D6" s="619"/>
      <c r="E6" s="1442" t="s">
        <v>367</v>
      </c>
      <c r="F6" s="1442"/>
      <c r="G6" s="209">
        <v>46022</v>
      </c>
      <c r="H6" s="611" t="s">
        <v>467</v>
      </c>
      <c r="I6" s="611"/>
      <c r="J6" s="619">
        <v>12</v>
      </c>
      <c r="K6" s="619"/>
    </row>
    <row r="7" spans="1:11" ht="15" x14ac:dyDescent="0.25">
      <c r="A7" s="200" t="s">
        <v>369</v>
      </c>
      <c r="B7" s="200"/>
      <c r="C7" s="615" t="s">
        <v>8</v>
      </c>
      <c r="D7" s="615"/>
      <c r="E7" s="615"/>
      <c r="F7" s="615"/>
      <c r="G7" s="615"/>
      <c r="H7" s="615"/>
      <c r="I7" s="615"/>
      <c r="J7" s="615"/>
      <c r="K7" s="615"/>
    </row>
    <row r="8" spans="1:11" ht="17.45" customHeight="1" x14ac:dyDescent="0.25">
      <c r="A8" s="200" t="s">
        <v>468</v>
      </c>
      <c r="B8" s="200"/>
      <c r="C8" s="616" t="s">
        <v>35</v>
      </c>
      <c r="D8" s="616"/>
      <c r="E8" s="616"/>
      <c r="F8" s="616"/>
      <c r="G8" s="616"/>
      <c r="H8" s="616"/>
      <c r="I8" s="616"/>
      <c r="J8" s="616"/>
      <c r="K8" s="616"/>
    </row>
    <row r="9" spans="1:11" ht="17.45" customHeight="1" x14ac:dyDescent="0.25">
      <c r="A9" s="198"/>
      <c r="B9" s="200"/>
      <c r="C9" s="611" t="s">
        <v>36</v>
      </c>
      <c r="D9" s="611"/>
      <c r="E9" s="611"/>
      <c r="F9" s="611"/>
      <c r="G9" s="611"/>
      <c r="H9" s="611"/>
      <c r="I9" s="611"/>
      <c r="J9" s="611"/>
      <c r="K9" s="611"/>
    </row>
    <row r="10" spans="1:11" ht="17.45" customHeight="1" x14ac:dyDescent="0.25">
      <c r="A10" s="200" t="s">
        <v>469</v>
      </c>
      <c r="B10" s="200"/>
      <c r="C10" s="611" t="s">
        <v>40</v>
      </c>
      <c r="D10" s="611"/>
      <c r="E10" s="611" t="s">
        <v>470</v>
      </c>
      <c r="F10" s="611"/>
      <c r="G10" s="611"/>
      <c r="H10" s="611"/>
      <c r="I10" s="611" t="s">
        <v>38</v>
      </c>
      <c r="J10" s="611"/>
      <c r="K10" s="611"/>
    </row>
    <row r="11" spans="1:11" ht="17.45" customHeight="1" x14ac:dyDescent="0.25">
      <c r="A11" s="200" t="s">
        <v>471</v>
      </c>
      <c r="B11" s="200"/>
      <c r="C11" s="610">
        <v>44713</v>
      </c>
      <c r="D11" s="610"/>
      <c r="E11" s="611" t="s">
        <v>472</v>
      </c>
      <c r="F11" s="611"/>
      <c r="G11" s="611"/>
      <c r="H11" s="611"/>
      <c r="I11" s="610">
        <v>45991</v>
      </c>
      <c r="J11" s="610"/>
      <c r="K11" s="610"/>
    </row>
    <row r="12" spans="1:11" ht="15.75" thickBot="1" x14ac:dyDescent="0.3">
      <c r="A12" s="24"/>
      <c r="B12" s="24"/>
      <c r="C12" s="24"/>
      <c r="D12" s="24"/>
      <c r="E12" s="24"/>
      <c r="F12" s="24"/>
      <c r="G12" s="24"/>
      <c r="H12" s="24"/>
      <c r="I12" s="24"/>
      <c r="J12" s="24"/>
      <c r="K12" s="252"/>
    </row>
    <row r="13" spans="1:11" ht="15.75" thickBot="1" x14ac:dyDescent="0.3">
      <c r="A13" s="612" t="s">
        <v>1645</v>
      </c>
      <c r="B13" s="613"/>
      <c r="C13" s="613"/>
      <c r="D13" s="613"/>
      <c r="E13" s="613"/>
      <c r="F13" s="613"/>
      <c r="G13" s="613"/>
      <c r="H13" s="613"/>
      <c r="I13" s="613"/>
      <c r="J13" s="613"/>
      <c r="K13" s="1439"/>
    </row>
    <row r="14" spans="1:11" ht="6" customHeight="1" x14ac:dyDescent="0.25">
      <c r="A14" s="28"/>
      <c r="B14" s="28"/>
      <c r="C14" s="555"/>
      <c r="D14" s="555"/>
      <c r="E14" s="555"/>
      <c r="F14" s="555"/>
      <c r="G14" s="555"/>
      <c r="H14" s="555"/>
      <c r="I14" s="555"/>
      <c r="J14" s="28"/>
      <c r="K14" s="28"/>
    </row>
    <row r="15" spans="1:11" ht="21" x14ac:dyDescent="0.25">
      <c r="A15" s="591" t="s">
        <v>1646</v>
      </c>
      <c r="B15" s="614" t="s">
        <v>1647</v>
      </c>
      <c r="C15" s="614"/>
      <c r="D15" s="614"/>
      <c r="E15" s="614" t="s">
        <v>1648</v>
      </c>
      <c r="F15" s="614"/>
      <c r="G15" s="614" t="s">
        <v>1649</v>
      </c>
      <c r="H15" s="614"/>
      <c r="I15" s="591" t="s">
        <v>1650</v>
      </c>
      <c r="J15" s="591" t="s">
        <v>1159</v>
      </c>
      <c r="K15" s="591" t="s">
        <v>1651</v>
      </c>
    </row>
    <row r="16" spans="1:11" ht="15" x14ac:dyDescent="0.25">
      <c r="A16" s="592"/>
      <c r="B16" s="1448"/>
      <c r="C16" s="1448"/>
      <c r="D16" s="1448"/>
      <c r="E16" s="1449"/>
      <c r="F16" s="1449"/>
      <c r="G16" s="1448"/>
      <c r="H16" s="1448"/>
      <c r="I16" s="593"/>
      <c r="J16" s="593"/>
      <c r="K16" s="593"/>
    </row>
    <row r="17" spans="1:11" ht="15" x14ac:dyDescent="0.25">
      <c r="A17" s="594"/>
      <c r="B17" s="1447"/>
      <c r="C17" s="1447"/>
      <c r="D17" s="1447"/>
      <c r="E17" s="1447"/>
      <c r="F17" s="1447"/>
      <c r="G17" s="1446"/>
      <c r="H17" s="1446"/>
      <c r="I17" s="596"/>
      <c r="J17" s="596"/>
      <c r="K17" s="596"/>
    </row>
    <row r="18" spans="1:11" ht="15" x14ac:dyDescent="0.25">
      <c r="A18" s="594"/>
      <c r="B18" s="1447"/>
      <c r="C18" s="1447"/>
      <c r="D18" s="1447"/>
      <c r="E18" s="1447"/>
      <c r="F18" s="1447"/>
      <c r="G18" s="1446"/>
      <c r="H18" s="1446"/>
      <c r="I18" s="596"/>
      <c r="J18" s="596"/>
      <c r="K18" s="596"/>
    </row>
    <row r="19" spans="1:11" ht="15" x14ac:dyDescent="0.25">
      <c r="A19" s="594"/>
      <c r="B19" s="1447"/>
      <c r="C19" s="1447"/>
      <c r="D19" s="1447"/>
      <c r="E19" s="1447"/>
      <c r="F19" s="1447"/>
      <c r="G19" s="1446"/>
      <c r="H19" s="1446"/>
      <c r="I19" s="596"/>
      <c r="J19" s="596"/>
      <c r="K19" s="596"/>
    </row>
    <row r="20" spans="1:11" ht="15" x14ac:dyDescent="0.25">
      <c r="A20" s="594"/>
      <c r="B20" s="1447"/>
      <c r="C20" s="1447"/>
      <c r="D20" s="1447"/>
      <c r="E20" s="1447"/>
      <c r="F20" s="1447"/>
      <c r="G20" s="1446"/>
      <c r="H20" s="1446"/>
      <c r="I20" s="596"/>
      <c r="J20" s="596"/>
      <c r="K20" s="596"/>
    </row>
    <row r="21" spans="1:11" ht="15" x14ac:dyDescent="0.25">
      <c r="A21" s="594"/>
      <c r="B21" s="1447"/>
      <c r="C21" s="1447"/>
      <c r="D21" s="1447"/>
      <c r="E21" s="1447"/>
      <c r="F21" s="1447"/>
      <c r="G21" s="1446"/>
      <c r="H21" s="1446"/>
      <c r="I21" s="596"/>
      <c r="J21" s="596"/>
      <c r="K21" s="596"/>
    </row>
    <row r="22" spans="1:11" ht="15" x14ac:dyDescent="0.25">
      <c r="A22" s="594"/>
      <c r="B22" s="1447"/>
      <c r="C22" s="1447"/>
      <c r="D22" s="1447"/>
      <c r="E22" s="1447"/>
      <c r="F22" s="1447"/>
      <c r="G22" s="1446"/>
      <c r="H22" s="1446"/>
      <c r="I22" s="596"/>
      <c r="J22" s="596"/>
      <c r="K22" s="596"/>
    </row>
    <row r="23" spans="1:11" ht="15" x14ac:dyDescent="0.25">
      <c r="A23" s="594"/>
      <c r="B23" s="1447"/>
      <c r="C23" s="1447"/>
      <c r="D23" s="1447"/>
      <c r="E23" s="1447"/>
      <c r="F23" s="1447"/>
      <c r="G23" s="1446"/>
      <c r="H23" s="1446"/>
      <c r="I23" s="596"/>
      <c r="J23" s="596"/>
      <c r="K23" s="596"/>
    </row>
    <row r="24" spans="1:11" ht="15" x14ac:dyDescent="0.25">
      <c r="A24" s="594"/>
      <c r="B24" s="1447"/>
      <c r="C24" s="1447"/>
      <c r="D24" s="1447"/>
      <c r="E24" s="1447"/>
      <c r="F24" s="1447"/>
      <c r="G24" s="1446"/>
      <c r="H24" s="1446"/>
      <c r="I24" s="596"/>
      <c r="J24" s="596"/>
      <c r="K24" s="596"/>
    </row>
    <row r="25" spans="1:11" ht="15" x14ac:dyDescent="0.25">
      <c r="A25" s="594"/>
      <c r="B25" s="1447"/>
      <c r="C25" s="1447"/>
      <c r="D25" s="1447"/>
      <c r="E25" s="1447"/>
      <c r="F25" s="1447"/>
      <c r="G25" s="1446"/>
      <c r="H25" s="1446"/>
      <c r="I25" s="596"/>
      <c r="J25" s="596"/>
      <c r="K25" s="596"/>
    </row>
    <row r="26" spans="1:11" ht="15" x14ac:dyDescent="0.25">
      <c r="A26" s="594"/>
      <c r="B26" s="1447"/>
      <c r="C26" s="1447"/>
      <c r="D26" s="1447"/>
      <c r="E26" s="1447"/>
      <c r="F26" s="1447"/>
      <c r="G26" s="1446"/>
      <c r="H26" s="1446"/>
      <c r="I26" s="596"/>
      <c r="J26" s="596"/>
      <c r="K26" s="596"/>
    </row>
    <row r="27" spans="1:11" ht="15" x14ac:dyDescent="0.25">
      <c r="A27" s="594"/>
      <c r="B27" s="1447"/>
      <c r="C27" s="1447"/>
      <c r="D27" s="1447"/>
      <c r="E27" s="1447"/>
      <c r="F27" s="1447"/>
      <c r="G27" s="1446"/>
      <c r="H27" s="1446"/>
      <c r="I27" s="596"/>
      <c r="J27" s="596"/>
      <c r="K27" s="596"/>
    </row>
    <row r="28" spans="1:11" ht="15" x14ac:dyDescent="0.25">
      <c r="A28" s="595"/>
      <c r="B28" s="1447"/>
      <c r="C28" s="1447"/>
      <c r="D28" s="1447"/>
      <c r="E28" s="1447"/>
      <c r="F28" s="1447"/>
      <c r="G28" s="1446"/>
      <c r="H28" s="1446"/>
      <c r="I28" s="596"/>
      <c r="J28" s="596"/>
      <c r="K28" s="596"/>
    </row>
    <row r="29" spans="1:11" ht="15" x14ac:dyDescent="0.25">
      <c r="A29" s="595"/>
      <c r="B29" s="1447"/>
      <c r="C29" s="1447"/>
      <c r="D29" s="1447"/>
      <c r="E29" s="1447"/>
      <c r="F29" s="1447"/>
      <c r="G29" s="1446"/>
      <c r="H29" s="1446"/>
      <c r="I29" s="596"/>
      <c r="J29" s="596"/>
      <c r="K29" s="596"/>
    </row>
    <row r="30" spans="1:11" ht="15" x14ac:dyDescent="0.25">
      <c r="A30" s="595"/>
      <c r="B30" s="1446"/>
      <c r="C30" s="1446"/>
      <c r="D30" s="1446"/>
      <c r="E30" s="1446"/>
      <c r="F30" s="1446"/>
      <c r="G30" s="1446"/>
      <c r="H30" s="1446"/>
      <c r="I30" s="596"/>
      <c r="J30" s="596"/>
      <c r="K30" s="596"/>
    </row>
    <row r="31" spans="1:11" ht="15" x14ac:dyDescent="0.25">
      <c r="A31" s="595"/>
      <c r="B31" s="1446"/>
      <c r="C31" s="1446"/>
      <c r="D31" s="1446"/>
      <c r="E31" s="1446"/>
      <c r="F31" s="1446"/>
      <c r="G31" s="1446"/>
      <c r="H31" s="1446"/>
      <c r="I31" s="596"/>
      <c r="J31" s="596"/>
      <c r="K31" s="596"/>
    </row>
    <row r="32" spans="1:11" ht="15" x14ac:dyDescent="0.25">
      <c r="A32" s="595"/>
      <c r="B32" s="1446"/>
      <c r="C32" s="1446"/>
      <c r="D32" s="1446"/>
      <c r="E32" s="1446"/>
      <c r="F32" s="1446"/>
      <c r="G32" s="1446"/>
      <c r="H32" s="1446"/>
      <c r="I32" s="596"/>
      <c r="J32" s="596"/>
      <c r="K32" s="596"/>
    </row>
    <row r="33" spans="1:11" ht="15" x14ac:dyDescent="0.25">
      <c r="A33" s="595"/>
      <c r="B33" s="1446"/>
      <c r="C33" s="1446"/>
      <c r="D33" s="1446"/>
      <c r="E33" s="1446"/>
      <c r="F33" s="1446"/>
      <c r="G33" s="1446"/>
      <c r="H33" s="1446"/>
      <c r="I33" s="596"/>
      <c r="J33" s="596"/>
      <c r="K33" s="596"/>
    </row>
    <row r="34" spans="1:11" ht="15" x14ac:dyDescent="0.25">
      <c r="A34" s="595"/>
      <c r="B34" s="1446"/>
      <c r="C34" s="1446"/>
      <c r="D34" s="1446"/>
      <c r="E34" s="1446"/>
      <c r="F34" s="1446"/>
      <c r="G34" s="1446"/>
      <c r="H34" s="1446"/>
      <c r="I34" s="596"/>
      <c r="J34" s="596"/>
      <c r="K34" s="596"/>
    </row>
    <row r="35" spans="1:11" ht="15" x14ac:dyDescent="0.25">
      <c r="A35" s="595"/>
      <c r="B35" s="1446"/>
      <c r="C35" s="1446"/>
      <c r="D35" s="1446"/>
      <c r="E35" s="1446"/>
      <c r="F35" s="1446"/>
      <c r="G35" s="1446"/>
      <c r="H35" s="1446"/>
      <c r="I35" s="596"/>
      <c r="J35" s="596"/>
      <c r="K35" s="596"/>
    </row>
    <row r="36" spans="1:11" ht="15.6" customHeight="1" x14ac:dyDescent="0.25">
      <c r="A36" s="1443" t="s">
        <v>825</v>
      </c>
      <c r="B36" s="1444"/>
      <c r="C36" s="1444"/>
      <c r="D36" s="1444"/>
      <c r="E36" s="1444"/>
      <c r="F36" s="1444"/>
      <c r="G36" s="1444"/>
      <c r="H36" s="1445"/>
      <c r="I36" s="597"/>
      <c r="J36" s="597"/>
      <c r="K36" s="597"/>
    </row>
    <row r="37" spans="1:11" ht="15" x14ac:dyDescent="0.25"/>
  </sheetData>
  <mergeCells count="83">
    <mergeCell ref="C6:D6"/>
    <mergeCell ref="E6:F6"/>
    <mergeCell ref="H6:I6"/>
    <mergeCell ref="J6:K6"/>
    <mergeCell ref="A1:J1"/>
    <mergeCell ref="C2:K2"/>
    <mergeCell ref="C3:K3"/>
    <mergeCell ref="C4:K4"/>
    <mergeCell ref="C5:K5"/>
    <mergeCell ref="C7:K7"/>
    <mergeCell ref="C8:K8"/>
    <mergeCell ref="C9:K9"/>
    <mergeCell ref="C10:D10"/>
    <mergeCell ref="E10:H10"/>
    <mergeCell ref="I10:K10"/>
    <mergeCell ref="C11:D11"/>
    <mergeCell ref="E11:H11"/>
    <mergeCell ref="I11:K11"/>
    <mergeCell ref="A13:K13"/>
    <mergeCell ref="B15:D15"/>
    <mergeCell ref="E15:F15"/>
    <mergeCell ref="G15:H15"/>
    <mergeCell ref="B16:D16"/>
    <mergeCell ref="E16:F16"/>
    <mergeCell ref="G16:H16"/>
    <mergeCell ref="B17:D17"/>
    <mergeCell ref="E17:F17"/>
    <mergeCell ref="G17:H17"/>
    <mergeCell ref="B18:D18"/>
    <mergeCell ref="E18:F18"/>
    <mergeCell ref="G18:H18"/>
    <mergeCell ref="B19:D19"/>
    <mergeCell ref="E19:F19"/>
    <mergeCell ref="G19:H19"/>
    <mergeCell ref="B20:D20"/>
    <mergeCell ref="E20:F20"/>
    <mergeCell ref="G20:H20"/>
    <mergeCell ref="B21:D21"/>
    <mergeCell ref="E21:F21"/>
    <mergeCell ref="G21:H21"/>
    <mergeCell ref="B22:D22"/>
    <mergeCell ref="E22:F22"/>
    <mergeCell ref="G22:H22"/>
    <mergeCell ref="B23:D23"/>
    <mergeCell ref="E23:F23"/>
    <mergeCell ref="G23:H23"/>
    <mergeCell ref="B24:D24"/>
    <mergeCell ref="E24:F24"/>
    <mergeCell ref="G24:H24"/>
    <mergeCell ref="B25:D25"/>
    <mergeCell ref="E25:F25"/>
    <mergeCell ref="G25:H25"/>
    <mergeCell ref="B26:D26"/>
    <mergeCell ref="E26:F26"/>
    <mergeCell ref="G26:H26"/>
    <mergeCell ref="B27:D27"/>
    <mergeCell ref="E27:F27"/>
    <mergeCell ref="G27:H27"/>
    <mergeCell ref="B28:D28"/>
    <mergeCell ref="E28:F28"/>
    <mergeCell ref="G28:H28"/>
    <mergeCell ref="B29:D29"/>
    <mergeCell ref="E29:F29"/>
    <mergeCell ref="G29:H29"/>
    <mergeCell ref="B30:D30"/>
    <mergeCell ref="E30:F30"/>
    <mergeCell ref="G30:H30"/>
    <mergeCell ref="B31:D31"/>
    <mergeCell ref="E31:F31"/>
    <mergeCell ref="G31:H31"/>
    <mergeCell ref="B32:D32"/>
    <mergeCell ref="E32:F32"/>
    <mergeCell ref="G32:H32"/>
    <mergeCell ref="B33:D33"/>
    <mergeCell ref="E33:F33"/>
    <mergeCell ref="G33:H33"/>
    <mergeCell ref="A36:H36"/>
    <mergeCell ref="B34:D34"/>
    <mergeCell ref="E34:F34"/>
    <mergeCell ref="G34:H34"/>
    <mergeCell ref="B35:D35"/>
    <mergeCell ref="E35:F35"/>
    <mergeCell ref="G35:H35"/>
  </mergeCell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57110-7C78-420D-BC1A-DE754603F384}">
  <dimension ref="A1:K38"/>
  <sheetViews>
    <sheetView workbookViewId="0">
      <selection activeCell="F17" sqref="F17:G17"/>
    </sheetView>
  </sheetViews>
  <sheetFormatPr baseColWidth="10" defaultColWidth="11.42578125" defaultRowHeight="13.9" customHeight="1" x14ac:dyDescent="0.25"/>
  <cols>
    <col min="1" max="1" width="16.42578125" style="376" customWidth="1"/>
    <col min="2" max="2" width="13.42578125" style="376" customWidth="1"/>
    <col min="3" max="3" width="11.5703125" style="376" customWidth="1"/>
    <col min="4" max="4" width="6.5703125" style="376" customWidth="1"/>
    <col min="5" max="5" width="11.85546875" style="376" customWidth="1"/>
    <col min="6" max="6" width="12.5703125" style="376" customWidth="1"/>
    <col min="7" max="7" width="13.28515625" style="376" customWidth="1"/>
    <col min="8" max="8" width="14.5703125" style="376" customWidth="1"/>
    <col min="9" max="9" width="12" style="376" customWidth="1"/>
    <col min="10" max="10" width="7.7109375" style="376" customWidth="1"/>
    <col min="11" max="11" width="13.7109375" style="376" customWidth="1"/>
    <col min="12" max="12" width="5.140625" style="376" customWidth="1"/>
    <col min="13" max="16384" width="11.42578125" style="376"/>
  </cols>
  <sheetData>
    <row r="1" spans="1:11" ht="6.75" customHeight="1" x14ac:dyDescent="0.25">
      <c r="A1" s="617"/>
      <c r="B1" s="617"/>
      <c r="C1" s="618"/>
      <c r="D1" s="618"/>
      <c r="E1" s="618"/>
      <c r="F1" s="618"/>
      <c r="G1" s="618"/>
      <c r="H1" s="618"/>
      <c r="I1" s="618"/>
      <c r="J1" s="618"/>
    </row>
    <row r="2" spans="1:11" ht="15" customHeight="1" x14ac:dyDescent="0.25">
      <c r="A2" s="200" t="s">
        <v>363</v>
      </c>
      <c r="B2" s="200"/>
      <c r="C2" s="619">
        <v>4444444444</v>
      </c>
      <c r="D2" s="619"/>
      <c r="E2" s="619"/>
      <c r="F2" s="619"/>
      <c r="G2" s="619"/>
      <c r="H2" s="619"/>
      <c r="I2" s="619"/>
      <c r="J2" s="619"/>
      <c r="K2" s="598"/>
    </row>
    <row r="3" spans="1:11" ht="15" customHeight="1" x14ac:dyDescent="0.25">
      <c r="A3" s="200"/>
      <c r="B3" s="200"/>
      <c r="C3" s="620">
        <v>56565665</v>
      </c>
      <c r="D3" s="620"/>
      <c r="E3" s="620"/>
      <c r="F3" s="620"/>
      <c r="G3" s="620"/>
      <c r="H3" s="620"/>
      <c r="I3" s="620"/>
      <c r="J3" s="620"/>
      <c r="K3" s="598"/>
    </row>
    <row r="4" spans="1:11" ht="15" customHeight="1" x14ac:dyDescent="0.25">
      <c r="A4" s="200" t="s">
        <v>364</v>
      </c>
      <c r="B4" s="200"/>
      <c r="C4" s="620" t="s">
        <v>6</v>
      </c>
      <c r="D4" s="620"/>
      <c r="E4" s="620"/>
      <c r="F4" s="620"/>
      <c r="G4" s="620"/>
      <c r="H4" s="620"/>
      <c r="I4" s="620"/>
      <c r="J4" s="620"/>
      <c r="K4" s="598"/>
    </row>
    <row r="5" spans="1:11" ht="15" customHeight="1" x14ac:dyDescent="0.25">
      <c r="A5" s="200" t="s">
        <v>365</v>
      </c>
      <c r="B5" s="200"/>
      <c r="C5" s="621" t="s">
        <v>699</v>
      </c>
      <c r="D5" s="621"/>
      <c r="E5" s="621"/>
      <c r="F5" s="621"/>
      <c r="G5" s="621"/>
      <c r="H5" s="621"/>
      <c r="I5" s="621"/>
      <c r="J5" s="621"/>
      <c r="K5" s="599"/>
    </row>
    <row r="6" spans="1:11" ht="15" x14ac:dyDescent="0.25">
      <c r="A6" s="200" t="s">
        <v>366</v>
      </c>
      <c r="B6" s="200"/>
      <c r="C6" s="620">
        <v>125545</v>
      </c>
      <c r="D6" s="620"/>
      <c r="E6" s="622" t="s">
        <v>367</v>
      </c>
      <c r="F6" s="622"/>
      <c r="G6" s="240">
        <v>46022</v>
      </c>
      <c r="H6" s="611" t="s">
        <v>467</v>
      </c>
      <c r="I6" s="611"/>
      <c r="J6" s="241">
        <v>12</v>
      </c>
      <c r="K6" s="600"/>
    </row>
    <row r="7" spans="1:11" ht="15" x14ac:dyDescent="0.25">
      <c r="A7" s="198" t="s">
        <v>369</v>
      </c>
      <c r="B7" s="24"/>
      <c r="C7" s="615" t="s">
        <v>8</v>
      </c>
      <c r="D7" s="615"/>
      <c r="E7" s="615"/>
      <c r="F7" s="615"/>
      <c r="G7" s="615"/>
      <c r="H7" s="615"/>
      <c r="I7" s="615"/>
      <c r="J7" s="615"/>
      <c r="K7" s="600"/>
    </row>
    <row r="8" spans="1:11" ht="16.149999999999999" customHeight="1" x14ac:dyDescent="0.25">
      <c r="A8" s="200" t="s">
        <v>468</v>
      </c>
      <c r="B8" s="24"/>
      <c r="C8" s="616" t="s">
        <v>35</v>
      </c>
      <c r="D8" s="616"/>
      <c r="E8" s="616"/>
      <c r="F8" s="616"/>
      <c r="G8" s="616"/>
      <c r="H8" s="616"/>
      <c r="I8" s="616"/>
      <c r="J8" s="616"/>
    </row>
    <row r="9" spans="1:11" ht="16.149999999999999" customHeight="1" x14ac:dyDescent="0.25">
      <c r="A9" s="200"/>
      <c r="B9" s="24"/>
      <c r="C9" s="611" t="s">
        <v>36</v>
      </c>
      <c r="D9" s="611"/>
      <c r="E9" s="611"/>
      <c r="F9" s="611"/>
      <c r="G9" s="611"/>
      <c r="H9" s="611"/>
      <c r="I9" s="611"/>
      <c r="J9" s="611"/>
    </row>
    <row r="10" spans="1:11" ht="16.149999999999999" customHeight="1" x14ac:dyDescent="0.25">
      <c r="A10" s="200" t="s">
        <v>469</v>
      </c>
      <c r="B10" s="24"/>
      <c r="C10" s="611" t="s">
        <v>40</v>
      </c>
      <c r="D10" s="611"/>
      <c r="E10" s="611"/>
      <c r="F10" s="611" t="s">
        <v>470</v>
      </c>
      <c r="G10" s="611"/>
      <c r="H10" s="611" t="s">
        <v>38</v>
      </c>
      <c r="I10" s="611"/>
      <c r="J10" s="611"/>
    </row>
    <row r="11" spans="1:11" ht="16.149999999999999" customHeight="1" x14ac:dyDescent="0.25">
      <c r="A11" s="200" t="s">
        <v>471</v>
      </c>
      <c r="B11" s="24"/>
      <c r="C11" s="610">
        <v>44713</v>
      </c>
      <c r="D11" s="610"/>
      <c r="E11" s="610"/>
      <c r="F11" s="611" t="s">
        <v>472</v>
      </c>
      <c r="G11" s="611"/>
      <c r="H11" s="610">
        <v>45991</v>
      </c>
      <c r="I11" s="610"/>
      <c r="J11" s="610"/>
    </row>
    <row r="12" spans="1:11" ht="15.75" thickBot="1" x14ac:dyDescent="0.3">
      <c r="A12" s="24"/>
      <c r="B12" s="24"/>
      <c r="C12" s="24"/>
      <c r="D12" s="24"/>
      <c r="E12" s="24"/>
      <c r="F12" s="24"/>
      <c r="G12" s="24"/>
      <c r="H12" s="24"/>
      <c r="I12" s="24"/>
      <c r="J12" s="24"/>
    </row>
    <row r="13" spans="1:11" ht="16.5" thickBot="1" x14ac:dyDescent="0.3">
      <c r="A13" s="612" t="s">
        <v>1652</v>
      </c>
      <c r="B13" s="613"/>
      <c r="C13" s="613"/>
      <c r="D13" s="613"/>
      <c r="E13" s="613"/>
      <c r="F13" s="613"/>
      <c r="G13" s="613"/>
      <c r="H13" s="613"/>
      <c r="I13" s="613"/>
      <c r="J13" s="613"/>
      <c r="K13" s="601"/>
    </row>
    <row r="14" spans="1:11" ht="8.25" customHeight="1" x14ac:dyDescent="0.25">
      <c r="A14" s="28"/>
      <c r="B14" s="28"/>
      <c r="C14" s="555"/>
      <c r="D14" s="555"/>
      <c r="E14" s="555"/>
      <c r="F14" s="555"/>
      <c r="G14" s="555"/>
      <c r="H14" s="555"/>
      <c r="I14" s="555"/>
      <c r="J14" s="28"/>
    </row>
    <row r="15" spans="1:11" ht="21" x14ac:dyDescent="0.25">
      <c r="A15" s="591" t="s">
        <v>1653</v>
      </c>
      <c r="B15" s="614" t="s">
        <v>1654</v>
      </c>
      <c r="C15" s="614"/>
      <c r="D15" s="614"/>
      <c r="E15" s="591" t="s">
        <v>1655</v>
      </c>
      <c r="F15" s="614" t="s">
        <v>1656</v>
      </c>
      <c r="G15" s="614"/>
      <c r="H15" s="591" t="s">
        <v>1657</v>
      </c>
      <c r="I15" s="614" t="s">
        <v>1658</v>
      </c>
      <c r="J15" s="614"/>
    </row>
    <row r="16" spans="1:11" ht="15" x14ac:dyDescent="0.25">
      <c r="A16" s="592"/>
      <c r="B16" s="1448"/>
      <c r="C16" s="1448"/>
      <c r="D16" s="1448"/>
      <c r="E16" s="592"/>
      <c r="F16" s="1448"/>
      <c r="G16" s="1448"/>
      <c r="H16" s="593"/>
      <c r="I16" s="1455"/>
      <c r="J16" s="1455"/>
    </row>
    <row r="17" spans="1:10" ht="15" x14ac:dyDescent="0.25">
      <c r="A17" s="594"/>
      <c r="B17" s="1447"/>
      <c r="C17" s="1447"/>
      <c r="D17" s="1447"/>
      <c r="E17" s="595"/>
      <c r="F17" s="1446"/>
      <c r="G17" s="1446"/>
      <c r="H17" s="596"/>
      <c r="I17" s="1450"/>
      <c r="J17" s="1450"/>
    </row>
    <row r="18" spans="1:10" ht="15" x14ac:dyDescent="0.25">
      <c r="A18" s="594"/>
      <c r="B18" s="1447"/>
      <c r="C18" s="1447"/>
      <c r="D18" s="1447"/>
      <c r="E18" s="595"/>
      <c r="F18" s="1446"/>
      <c r="G18" s="1446"/>
      <c r="H18" s="596"/>
      <c r="I18" s="1450"/>
      <c r="J18" s="1450"/>
    </row>
    <row r="19" spans="1:10" ht="15" x14ac:dyDescent="0.25">
      <c r="A19" s="594"/>
      <c r="B19" s="1447"/>
      <c r="C19" s="1447"/>
      <c r="D19" s="1447"/>
      <c r="E19" s="595"/>
      <c r="F19" s="1446"/>
      <c r="G19" s="1446"/>
      <c r="H19" s="596"/>
      <c r="I19" s="1450"/>
      <c r="J19" s="1450"/>
    </row>
    <row r="20" spans="1:10" ht="15" x14ac:dyDescent="0.25">
      <c r="A20" s="594"/>
      <c r="B20" s="1447"/>
      <c r="C20" s="1447"/>
      <c r="D20" s="1447"/>
      <c r="E20" s="595"/>
      <c r="F20" s="1446"/>
      <c r="G20" s="1446"/>
      <c r="H20" s="596"/>
      <c r="I20" s="1450"/>
      <c r="J20" s="1450"/>
    </row>
    <row r="21" spans="1:10" ht="15" x14ac:dyDescent="0.25">
      <c r="A21" s="594"/>
      <c r="B21" s="1447"/>
      <c r="C21" s="1447"/>
      <c r="D21" s="1447"/>
      <c r="E21" s="595"/>
      <c r="F21" s="1446"/>
      <c r="G21" s="1446"/>
      <c r="H21" s="596"/>
      <c r="I21" s="1450"/>
      <c r="J21" s="1450"/>
    </row>
    <row r="22" spans="1:10" ht="15" x14ac:dyDescent="0.25">
      <c r="A22" s="594"/>
      <c r="B22" s="1447"/>
      <c r="C22" s="1447"/>
      <c r="D22" s="1447"/>
      <c r="E22" s="595"/>
      <c r="F22" s="1446"/>
      <c r="G22" s="1446"/>
      <c r="H22" s="596"/>
      <c r="I22" s="1450"/>
      <c r="J22" s="1450"/>
    </row>
    <row r="23" spans="1:10" ht="15" x14ac:dyDescent="0.25">
      <c r="A23" s="594"/>
      <c r="B23" s="1447"/>
      <c r="C23" s="1447"/>
      <c r="D23" s="1447"/>
      <c r="E23" s="595"/>
      <c r="F23" s="1446"/>
      <c r="G23" s="1446"/>
      <c r="H23" s="596"/>
      <c r="I23" s="1450"/>
      <c r="J23" s="1450"/>
    </row>
    <row r="24" spans="1:10" ht="15" x14ac:dyDescent="0.25">
      <c r="A24" s="594"/>
      <c r="B24" s="1447"/>
      <c r="C24" s="1447"/>
      <c r="D24" s="1447"/>
      <c r="E24" s="595"/>
      <c r="F24" s="1446"/>
      <c r="G24" s="1446"/>
      <c r="H24" s="596"/>
      <c r="I24" s="1450"/>
      <c r="J24" s="1450"/>
    </row>
    <row r="25" spans="1:10" ht="15" x14ac:dyDescent="0.25">
      <c r="A25" s="594"/>
      <c r="B25" s="1447"/>
      <c r="C25" s="1447"/>
      <c r="D25" s="1447"/>
      <c r="E25" s="595"/>
      <c r="F25" s="1446"/>
      <c r="G25" s="1446"/>
      <c r="H25" s="596"/>
      <c r="I25" s="1450"/>
      <c r="J25" s="1450"/>
    </row>
    <row r="26" spans="1:10" ht="15" x14ac:dyDescent="0.25">
      <c r="A26" s="594"/>
      <c r="B26" s="1447"/>
      <c r="C26" s="1447"/>
      <c r="D26" s="1447"/>
      <c r="E26" s="595"/>
      <c r="F26" s="1446"/>
      <c r="G26" s="1446"/>
      <c r="H26" s="596"/>
      <c r="I26" s="1450"/>
      <c r="J26" s="1450"/>
    </row>
    <row r="27" spans="1:10" ht="15" x14ac:dyDescent="0.25">
      <c r="A27" s="594"/>
      <c r="B27" s="1447"/>
      <c r="C27" s="1447"/>
      <c r="D27" s="1447"/>
      <c r="E27" s="595"/>
      <c r="F27" s="1446"/>
      <c r="G27" s="1446"/>
      <c r="H27" s="596"/>
      <c r="I27" s="1450"/>
      <c r="J27" s="1450"/>
    </row>
    <row r="28" spans="1:10" ht="15" x14ac:dyDescent="0.25">
      <c r="A28" s="594"/>
      <c r="B28" s="1447"/>
      <c r="C28" s="1447"/>
      <c r="D28" s="1447"/>
      <c r="E28" s="595"/>
      <c r="F28" s="1446"/>
      <c r="G28" s="1446"/>
      <c r="H28" s="596"/>
      <c r="I28" s="1450"/>
      <c r="J28" s="1450"/>
    </row>
    <row r="29" spans="1:10" ht="15" x14ac:dyDescent="0.25">
      <c r="A29" s="595"/>
      <c r="B29" s="1447"/>
      <c r="C29" s="1447"/>
      <c r="D29" s="1447"/>
      <c r="E29" s="595"/>
      <c r="F29" s="1446"/>
      <c r="G29" s="1446"/>
      <c r="H29" s="596"/>
      <c r="I29" s="1450"/>
      <c r="J29" s="1450"/>
    </row>
    <row r="30" spans="1:10" ht="15" x14ac:dyDescent="0.25">
      <c r="A30" s="595"/>
      <c r="B30" s="1447"/>
      <c r="C30" s="1447"/>
      <c r="D30" s="1447"/>
      <c r="E30" s="595"/>
      <c r="F30" s="1446"/>
      <c r="G30" s="1446"/>
      <c r="H30" s="596"/>
      <c r="I30" s="1450"/>
      <c r="J30" s="1450"/>
    </row>
    <row r="31" spans="1:10" ht="15" x14ac:dyDescent="0.25">
      <c r="A31" s="595"/>
      <c r="B31" s="1446"/>
      <c r="C31" s="1446"/>
      <c r="D31" s="1446"/>
      <c r="E31" s="595"/>
      <c r="F31" s="1446"/>
      <c r="G31" s="1446"/>
      <c r="H31" s="596"/>
      <c r="I31" s="1450"/>
      <c r="J31" s="1450"/>
    </row>
    <row r="32" spans="1:10" ht="15" x14ac:dyDescent="0.25">
      <c r="A32" s="595"/>
      <c r="B32" s="1446"/>
      <c r="C32" s="1446"/>
      <c r="D32" s="1446"/>
      <c r="E32" s="595"/>
      <c r="F32" s="1446"/>
      <c r="G32" s="1446"/>
      <c r="H32" s="596"/>
      <c r="I32" s="1450"/>
      <c r="J32" s="1450"/>
    </row>
    <row r="33" spans="1:10" ht="15" x14ac:dyDescent="0.25">
      <c r="A33" s="595"/>
      <c r="B33" s="1446"/>
      <c r="C33" s="1446"/>
      <c r="D33" s="1446"/>
      <c r="E33" s="595"/>
      <c r="F33" s="1446"/>
      <c r="G33" s="1446"/>
      <c r="H33" s="596"/>
      <c r="I33" s="1450"/>
      <c r="J33" s="1450"/>
    </row>
    <row r="34" spans="1:10" ht="15" x14ac:dyDescent="0.25">
      <c r="A34" s="595"/>
      <c r="B34" s="1446"/>
      <c r="C34" s="1446"/>
      <c r="D34" s="1446"/>
      <c r="E34" s="595"/>
      <c r="F34" s="1446"/>
      <c r="G34" s="1446"/>
      <c r="H34" s="596"/>
      <c r="I34" s="1450"/>
      <c r="J34" s="1450"/>
    </row>
    <row r="35" spans="1:10" ht="15" x14ac:dyDescent="0.25">
      <c r="A35" s="595"/>
      <c r="B35" s="1446"/>
      <c r="C35" s="1446"/>
      <c r="D35" s="1446"/>
      <c r="E35" s="595"/>
      <c r="F35" s="1446"/>
      <c r="G35" s="1446"/>
      <c r="H35" s="596"/>
      <c r="I35" s="1450"/>
      <c r="J35" s="1450"/>
    </row>
    <row r="36" spans="1:10" ht="15" x14ac:dyDescent="0.25">
      <c r="A36" s="595"/>
      <c r="B36" s="1446"/>
      <c r="C36" s="1446"/>
      <c r="D36" s="1446"/>
      <c r="E36" s="595"/>
      <c r="F36" s="1446"/>
      <c r="G36" s="1446"/>
      <c r="H36" s="596"/>
      <c r="I36" s="1450"/>
      <c r="J36" s="1450"/>
    </row>
    <row r="37" spans="1:10" ht="15" x14ac:dyDescent="0.25">
      <c r="A37" s="1451" t="s">
        <v>825</v>
      </c>
      <c r="B37" s="1452"/>
      <c r="C37" s="1452"/>
      <c r="D37" s="1452"/>
      <c r="E37" s="1452"/>
      <c r="F37" s="1452"/>
      <c r="G37" s="1452"/>
      <c r="H37" s="1453"/>
      <c r="I37" s="1454"/>
      <c r="J37" s="1454"/>
    </row>
    <row r="38" spans="1:10" ht="15" x14ac:dyDescent="0.25"/>
  </sheetData>
  <mergeCells count="86">
    <mergeCell ref="C6:D6"/>
    <mergeCell ref="E6:F6"/>
    <mergeCell ref="H6:I6"/>
    <mergeCell ref="A1:J1"/>
    <mergeCell ref="C2:J2"/>
    <mergeCell ref="C3:J3"/>
    <mergeCell ref="C4:J4"/>
    <mergeCell ref="C5:J5"/>
    <mergeCell ref="C7:J7"/>
    <mergeCell ref="C8:J8"/>
    <mergeCell ref="C9:J9"/>
    <mergeCell ref="C10:E10"/>
    <mergeCell ref="F10:G10"/>
    <mergeCell ref="H10:J10"/>
    <mergeCell ref="C11:E11"/>
    <mergeCell ref="F11:G11"/>
    <mergeCell ref="H11:J11"/>
    <mergeCell ref="A13:J13"/>
    <mergeCell ref="B15:D15"/>
    <mergeCell ref="F15:G15"/>
    <mergeCell ref="I15:J15"/>
    <mergeCell ref="B16:D16"/>
    <mergeCell ref="F16:G16"/>
    <mergeCell ref="I16:J16"/>
    <mergeCell ref="B17:D17"/>
    <mergeCell ref="F17:G17"/>
    <mergeCell ref="I17:J17"/>
    <mergeCell ref="B18:D18"/>
    <mergeCell ref="F18:G18"/>
    <mergeCell ref="I18:J18"/>
    <mergeCell ref="B19:D19"/>
    <mergeCell ref="F19:G19"/>
    <mergeCell ref="I19:J19"/>
    <mergeCell ref="B20:D20"/>
    <mergeCell ref="F20:G20"/>
    <mergeCell ref="I20:J20"/>
    <mergeCell ref="B21:D21"/>
    <mergeCell ref="F21:G21"/>
    <mergeCell ref="I21:J21"/>
    <mergeCell ref="B22:D22"/>
    <mergeCell ref="F22:G22"/>
    <mergeCell ref="I22:J22"/>
    <mergeCell ref="B23:D23"/>
    <mergeCell ref="F23:G23"/>
    <mergeCell ref="I23:J23"/>
    <mergeCell ref="B24:D24"/>
    <mergeCell ref="F24:G24"/>
    <mergeCell ref="I24:J24"/>
    <mergeCell ref="B25:D25"/>
    <mergeCell ref="F25:G25"/>
    <mergeCell ref="I25:J25"/>
    <mergeCell ref="B26:D26"/>
    <mergeCell ref="F26:G26"/>
    <mergeCell ref="I26:J26"/>
    <mergeCell ref="B27:D27"/>
    <mergeCell ref="F27:G27"/>
    <mergeCell ref="I27:J27"/>
    <mergeCell ref="B28:D28"/>
    <mergeCell ref="F28:G28"/>
    <mergeCell ref="I28:J28"/>
    <mergeCell ref="B29:D29"/>
    <mergeCell ref="F29:G29"/>
    <mergeCell ref="I29:J29"/>
    <mergeCell ref="B30:D30"/>
    <mergeCell ref="F30:G30"/>
    <mergeCell ref="I30:J30"/>
    <mergeCell ref="B31:D31"/>
    <mergeCell ref="F31:G31"/>
    <mergeCell ref="I31:J31"/>
    <mergeCell ref="B32:D32"/>
    <mergeCell ref="F32:G32"/>
    <mergeCell ref="I32:J32"/>
    <mergeCell ref="B33:D33"/>
    <mergeCell ref="F33:G33"/>
    <mergeCell ref="I33:J33"/>
    <mergeCell ref="B34:D34"/>
    <mergeCell ref="F34:G34"/>
    <mergeCell ref="I34:J34"/>
    <mergeCell ref="B35:D35"/>
    <mergeCell ref="F35:G35"/>
    <mergeCell ref="I35:J35"/>
    <mergeCell ref="B36:D36"/>
    <mergeCell ref="F36:G36"/>
    <mergeCell ref="I36:J36"/>
    <mergeCell ref="A37:H37"/>
    <mergeCell ref="I37:J37"/>
  </mergeCell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4EDD0-D6C5-402D-80F9-8CD96A6D276F}">
  <dimension ref="A1:K36"/>
  <sheetViews>
    <sheetView workbookViewId="0">
      <selection sqref="A1:XFD1048576"/>
    </sheetView>
  </sheetViews>
  <sheetFormatPr baseColWidth="10" defaultColWidth="11.42578125" defaultRowHeight="13.9" customHeight="1" x14ac:dyDescent="0.25"/>
  <cols>
    <col min="1" max="1" width="12.5703125" style="376" customWidth="1"/>
    <col min="2" max="2" width="18.7109375" style="376" customWidth="1"/>
    <col min="3" max="3" width="8.85546875" style="376" customWidth="1"/>
    <col min="4" max="4" width="8" style="376" customWidth="1"/>
    <col min="5" max="5" width="12.28515625" style="376" customWidth="1"/>
    <col min="6" max="6" width="9.85546875" style="376" customWidth="1"/>
    <col min="7" max="7" width="15.5703125" style="376" customWidth="1"/>
    <col min="8" max="8" width="16" style="376" customWidth="1"/>
    <col min="9" max="9" width="15.28515625" style="376" customWidth="1"/>
    <col min="10" max="10" width="16" style="376" customWidth="1"/>
    <col min="11" max="11" width="14" style="376" customWidth="1"/>
    <col min="12" max="16384" width="11.42578125" style="376"/>
  </cols>
  <sheetData>
    <row r="1" spans="1:11" ht="10.5" customHeight="1" x14ac:dyDescent="0.25">
      <c r="A1" s="617"/>
      <c r="B1" s="617"/>
      <c r="C1" s="618"/>
      <c r="D1" s="618"/>
      <c r="E1" s="618"/>
      <c r="F1" s="618"/>
      <c r="G1" s="618"/>
      <c r="H1" s="618"/>
      <c r="I1" s="618"/>
      <c r="J1" s="618"/>
    </row>
    <row r="2" spans="1:11" ht="15" customHeight="1" x14ac:dyDescent="0.25">
      <c r="A2" s="200" t="s">
        <v>363</v>
      </c>
      <c r="B2" s="200"/>
      <c r="C2" s="619">
        <v>4444444444</v>
      </c>
      <c r="D2" s="619"/>
      <c r="E2" s="619"/>
      <c r="F2" s="619"/>
      <c r="G2" s="619"/>
      <c r="H2" s="619"/>
      <c r="I2" s="619"/>
      <c r="J2" s="619"/>
      <c r="K2" s="598"/>
    </row>
    <row r="3" spans="1:11" ht="15" customHeight="1" x14ac:dyDescent="0.25">
      <c r="A3" s="200"/>
      <c r="B3" s="200"/>
      <c r="C3" s="620">
        <v>56565665</v>
      </c>
      <c r="D3" s="620"/>
      <c r="E3" s="620"/>
      <c r="F3" s="620"/>
      <c r="G3" s="620"/>
      <c r="H3" s="620"/>
      <c r="I3" s="620"/>
      <c r="J3" s="620"/>
      <c r="K3" s="598"/>
    </row>
    <row r="4" spans="1:11" ht="15" customHeight="1" x14ac:dyDescent="0.25">
      <c r="A4" s="200" t="s">
        <v>364</v>
      </c>
      <c r="B4" s="200"/>
      <c r="C4" s="620" t="s">
        <v>6</v>
      </c>
      <c r="D4" s="620"/>
      <c r="E4" s="620"/>
      <c r="F4" s="620"/>
      <c r="G4" s="620"/>
      <c r="H4" s="620"/>
      <c r="I4" s="620"/>
      <c r="J4" s="620"/>
      <c r="K4" s="598"/>
    </row>
    <row r="5" spans="1:11" ht="15" customHeight="1" x14ac:dyDescent="0.25">
      <c r="A5" s="200" t="s">
        <v>365</v>
      </c>
      <c r="B5" s="200"/>
      <c r="C5" s="621" t="s">
        <v>699</v>
      </c>
      <c r="D5" s="621"/>
      <c r="E5" s="621"/>
      <c r="F5" s="621"/>
      <c r="G5" s="621"/>
      <c r="H5" s="621"/>
      <c r="I5" s="621"/>
      <c r="J5" s="621"/>
      <c r="K5" s="599"/>
    </row>
    <row r="6" spans="1:11" ht="15" x14ac:dyDescent="0.25">
      <c r="A6" s="200" t="s">
        <v>366</v>
      </c>
      <c r="B6" s="200"/>
      <c r="C6" s="620">
        <v>125545</v>
      </c>
      <c r="D6" s="620"/>
      <c r="E6" s="622" t="s">
        <v>367</v>
      </c>
      <c r="F6" s="622"/>
      <c r="G6" s="240">
        <v>46022</v>
      </c>
      <c r="H6" s="611" t="s">
        <v>467</v>
      </c>
      <c r="I6" s="611"/>
      <c r="J6" s="241">
        <v>12</v>
      </c>
      <c r="K6" s="600"/>
    </row>
    <row r="7" spans="1:11" ht="15" customHeight="1" x14ac:dyDescent="0.25">
      <c r="A7" s="198" t="s">
        <v>369</v>
      </c>
      <c r="B7" s="24"/>
      <c r="C7" s="615" t="s">
        <v>8</v>
      </c>
      <c r="D7" s="615"/>
      <c r="E7" s="615"/>
      <c r="F7" s="615"/>
      <c r="G7" s="615"/>
      <c r="H7" s="615"/>
      <c r="I7" s="615"/>
      <c r="J7" s="615"/>
      <c r="K7" s="600"/>
    </row>
    <row r="8" spans="1:11" ht="15.6" customHeight="1" x14ac:dyDescent="0.25">
      <c r="A8" s="200" t="s">
        <v>468</v>
      </c>
      <c r="B8" s="24"/>
      <c r="C8" s="616" t="s">
        <v>35</v>
      </c>
      <c r="D8" s="616"/>
      <c r="E8" s="616"/>
      <c r="F8" s="616"/>
      <c r="G8" s="616"/>
      <c r="H8" s="616"/>
      <c r="I8" s="616"/>
      <c r="J8" s="616"/>
    </row>
    <row r="9" spans="1:11" ht="15.6" customHeight="1" x14ac:dyDescent="0.25">
      <c r="A9" s="200"/>
      <c r="B9" s="24"/>
      <c r="C9" s="611" t="s">
        <v>36</v>
      </c>
      <c r="D9" s="611"/>
      <c r="E9" s="611"/>
      <c r="F9" s="611"/>
      <c r="G9" s="611"/>
      <c r="H9" s="611"/>
      <c r="I9" s="611"/>
      <c r="J9" s="611"/>
    </row>
    <row r="10" spans="1:11" ht="15.6" customHeight="1" x14ac:dyDescent="0.25">
      <c r="A10" s="200" t="s">
        <v>469</v>
      </c>
      <c r="B10" s="24"/>
      <c r="C10" s="611" t="s">
        <v>40</v>
      </c>
      <c r="D10" s="611"/>
      <c r="E10" s="611"/>
      <c r="F10" s="611" t="s">
        <v>470</v>
      </c>
      <c r="G10" s="611"/>
      <c r="H10" s="611" t="s">
        <v>38</v>
      </c>
      <c r="I10" s="611"/>
      <c r="J10" s="611"/>
    </row>
    <row r="11" spans="1:11" ht="15.6" customHeight="1" x14ac:dyDescent="0.25">
      <c r="A11" s="200" t="s">
        <v>471</v>
      </c>
      <c r="B11" s="24"/>
      <c r="C11" s="610">
        <v>44713</v>
      </c>
      <c r="D11" s="610"/>
      <c r="E11" s="610"/>
      <c r="F11" s="611" t="s">
        <v>472</v>
      </c>
      <c r="G11" s="611"/>
      <c r="H11" s="610">
        <v>45991</v>
      </c>
      <c r="I11" s="610"/>
      <c r="J11" s="610"/>
    </row>
    <row r="12" spans="1:11" ht="15.75" thickBot="1" x14ac:dyDescent="0.3">
      <c r="A12" s="24"/>
      <c r="B12" s="24"/>
      <c r="C12" s="24"/>
      <c r="D12" s="24"/>
      <c r="E12" s="24"/>
      <c r="F12" s="24"/>
      <c r="G12" s="24"/>
      <c r="H12" s="24"/>
      <c r="I12" s="24"/>
      <c r="J12" s="24"/>
    </row>
    <row r="13" spans="1:11" ht="16.5" thickBot="1" x14ac:dyDescent="0.3">
      <c r="A13" s="1456" t="s">
        <v>1659</v>
      </c>
      <c r="B13" s="1457"/>
      <c r="C13" s="1457"/>
      <c r="D13" s="1457"/>
      <c r="E13" s="1457"/>
      <c r="F13" s="1457"/>
      <c r="G13" s="1457"/>
      <c r="H13" s="1457"/>
      <c r="I13" s="1457"/>
      <c r="J13" s="1457"/>
      <c r="K13" s="601"/>
    </row>
    <row r="14" spans="1:11" ht="7.5" customHeight="1" x14ac:dyDescent="0.25">
      <c r="A14" s="28"/>
      <c r="B14" s="28"/>
      <c r="C14" s="555"/>
      <c r="D14" s="555"/>
      <c r="E14" s="555"/>
      <c r="F14" s="555"/>
      <c r="G14" s="555"/>
      <c r="H14" s="555"/>
      <c r="I14" s="555"/>
      <c r="J14" s="28"/>
    </row>
    <row r="15" spans="1:11" ht="31.5" x14ac:dyDescent="0.25">
      <c r="A15" s="591" t="s">
        <v>1660</v>
      </c>
      <c r="B15" s="614" t="s">
        <v>1647</v>
      </c>
      <c r="C15" s="614"/>
      <c r="D15" s="614"/>
      <c r="E15" s="591" t="s">
        <v>409</v>
      </c>
      <c r="F15" s="591" t="s">
        <v>1648</v>
      </c>
      <c r="G15" s="591" t="s">
        <v>1661</v>
      </c>
      <c r="H15" s="591" t="s">
        <v>1650</v>
      </c>
      <c r="I15" s="591" t="s">
        <v>1159</v>
      </c>
      <c r="J15" s="591" t="s">
        <v>1651</v>
      </c>
    </row>
    <row r="16" spans="1:11" ht="15" x14ac:dyDescent="0.25">
      <c r="A16" s="602"/>
      <c r="B16" s="606"/>
      <c r="C16" s="606"/>
      <c r="D16" s="606"/>
      <c r="E16" s="603"/>
      <c r="F16" s="604"/>
      <c r="G16" s="604"/>
      <c r="H16" s="568"/>
      <c r="I16" s="568"/>
      <c r="J16" s="568"/>
    </row>
    <row r="17" spans="1:10" ht="15" x14ac:dyDescent="0.25">
      <c r="A17" s="602"/>
      <c r="B17" s="606"/>
      <c r="C17" s="606"/>
      <c r="D17" s="606"/>
      <c r="E17" s="603"/>
      <c r="F17" s="604"/>
      <c r="G17" s="604"/>
      <c r="H17" s="568"/>
      <c r="I17" s="568"/>
      <c r="J17" s="568"/>
    </row>
    <row r="18" spans="1:10" ht="15" x14ac:dyDescent="0.25">
      <c r="A18" s="602"/>
      <c r="B18" s="606"/>
      <c r="C18" s="606"/>
      <c r="D18" s="606"/>
      <c r="E18" s="603"/>
      <c r="F18" s="604"/>
      <c r="G18" s="604"/>
      <c r="H18" s="568"/>
      <c r="I18" s="568"/>
      <c r="J18" s="568"/>
    </row>
    <row r="19" spans="1:10" ht="15" x14ac:dyDescent="0.25">
      <c r="A19" s="602"/>
      <c r="B19" s="606"/>
      <c r="C19" s="606"/>
      <c r="D19" s="606"/>
      <c r="E19" s="603"/>
      <c r="F19" s="604"/>
      <c r="G19" s="604"/>
      <c r="H19" s="568"/>
      <c r="I19" s="568"/>
      <c r="J19" s="568"/>
    </row>
    <row r="20" spans="1:10" ht="15" x14ac:dyDescent="0.25">
      <c r="A20" s="602"/>
      <c r="B20" s="606"/>
      <c r="C20" s="606"/>
      <c r="D20" s="606"/>
      <c r="E20" s="603"/>
      <c r="F20" s="604"/>
      <c r="G20" s="604"/>
      <c r="H20" s="568"/>
      <c r="I20" s="568"/>
      <c r="J20" s="568"/>
    </row>
    <row r="21" spans="1:10" ht="15" x14ac:dyDescent="0.25">
      <c r="A21" s="602"/>
      <c r="B21" s="606"/>
      <c r="C21" s="606"/>
      <c r="D21" s="606"/>
      <c r="E21" s="603"/>
      <c r="F21" s="604"/>
      <c r="G21" s="604"/>
      <c r="H21" s="568"/>
      <c r="I21" s="568"/>
      <c r="J21" s="568"/>
    </row>
    <row r="22" spans="1:10" ht="15" x14ac:dyDescent="0.25">
      <c r="A22" s="602"/>
      <c r="B22" s="606"/>
      <c r="C22" s="606"/>
      <c r="D22" s="606"/>
      <c r="E22" s="603"/>
      <c r="F22" s="604"/>
      <c r="G22" s="604"/>
      <c r="H22" s="568"/>
      <c r="I22" s="568"/>
      <c r="J22" s="568"/>
    </row>
    <row r="23" spans="1:10" ht="15" x14ac:dyDescent="0.25">
      <c r="A23" s="602"/>
      <c r="B23" s="606"/>
      <c r="C23" s="606"/>
      <c r="D23" s="606"/>
      <c r="E23" s="603"/>
      <c r="F23" s="604"/>
      <c r="G23" s="604"/>
      <c r="H23" s="568"/>
      <c r="I23" s="568"/>
      <c r="J23" s="568"/>
    </row>
    <row r="24" spans="1:10" ht="15" x14ac:dyDescent="0.25">
      <c r="A24" s="602"/>
      <c r="B24" s="606"/>
      <c r="C24" s="606"/>
      <c r="D24" s="606"/>
      <c r="E24" s="603"/>
      <c r="F24" s="604"/>
      <c r="G24" s="604"/>
      <c r="H24" s="568"/>
      <c r="I24" s="568"/>
      <c r="J24" s="568"/>
    </row>
    <row r="25" spans="1:10" ht="15" x14ac:dyDescent="0.25">
      <c r="A25" s="602"/>
      <c r="B25" s="606"/>
      <c r="C25" s="606"/>
      <c r="D25" s="606"/>
      <c r="E25" s="603"/>
      <c r="F25" s="604"/>
      <c r="G25" s="604"/>
      <c r="H25" s="568"/>
      <c r="I25" s="568"/>
      <c r="J25" s="568"/>
    </row>
    <row r="26" spans="1:10" ht="15" x14ac:dyDescent="0.25">
      <c r="A26" s="602"/>
      <c r="B26" s="606"/>
      <c r="C26" s="606"/>
      <c r="D26" s="606"/>
      <c r="E26" s="603"/>
      <c r="F26" s="604"/>
      <c r="G26" s="604"/>
      <c r="H26" s="568"/>
      <c r="I26" s="568"/>
      <c r="J26" s="568"/>
    </row>
    <row r="27" spans="1:10" ht="15" x14ac:dyDescent="0.25">
      <c r="A27" s="602"/>
      <c r="B27" s="606"/>
      <c r="C27" s="606"/>
      <c r="D27" s="606"/>
      <c r="E27" s="603"/>
      <c r="F27" s="604"/>
      <c r="G27" s="604"/>
      <c r="H27" s="568"/>
      <c r="I27" s="568"/>
      <c r="J27" s="568"/>
    </row>
    <row r="28" spans="1:10" ht="15" x14ac:dyDescent="0.25">
      <c r="A28" s="602"/>
      <c r="B28" s="606"/>
      <c r="C28" s="606"/>
      <c r="D28" s="606"/>
      <c r="E28" s="603"/>
      <c r="F28" s="604"/>
      <c r="G28" s="604"/>
      <c r="H28" s="568"/>
      <c r="I28" s="568"/>
      <c r="J28" s="568"/>
    </row>
    <row r="29" spans="1:10" ht="15" x14ac:dyDescent="0.25">
      <c r="A29" s="602"/>
      <c r="B29" s="606"/>
      <c r="C29" s="606"/>
      <c r="D29" s="606"/>
      <c r="E29" s="603"/>
      <c r="F29" s="604"/>
      <c r="G29" s="604"/>
      <c r="H29" s="568"/>
      <c r="I29" s="568"/>
      <c r="J29" s="568"/>
    </row>
    <row r="30" spans="1:10" ht="15" x14ac:dyDescent="0.25">
      <c r="A30" s="602"/>
      <c r="B30" s="606"/>
      <c r="C30" s="606"/>
      <c r="D30" s="606"/>
      <c r="E30" s="603"/>
      <c r="F30" s="604"/>
      <c r="G30" s="604"/>
      <c r="H30" s="568"/>
      <c r="I30" s="568"/>
      <c r="J30" s="568"/>
    </row>
    <row r="31" spans="1:10" ht="15" x14ac:dyDescent="0.25">
      <c r="A31" s="602"/>
      <c r="B31" s="606"/>
      <c r="C31" s="606"/>
      <c r="D31" s="606"/>
      <c r="E31" s="603"/>
      <c r="F31" s="604"/>
      <c r="G31" s="604"/>
      <c r="H31" s="568"/>
      <c r="I31" s="568"/>
      <c r="J31" s="568"/>
    </row>
    <row r="32" spans="1:10" ht="15" x14ac:dyDescent="0.25">
      <c r="A32" s="602"/>
      <c r="B32" s="606"/>
      <c r="C32" s="606"/>
      <c r="D32" s="606"/>
      <c r="E32" s="603"/>
      <c r="F32" s="604"/>
      <c r="G32" s="604"/>
      <c r="H32" s="568"/>
      <c r="I32" s="568"/>
      <c r="J32" s="568"/>
    </row>
    <row r="33" spans="1:10" ht="15" x14ac:dyDescent="0.25">
      <c r="A33" s="602"/>
      <c r="B33" s="606"/>
      <c r="C33" s="606"/>
      <c r="D33" s="606"/>
      <c r="E33" s="603"/>
      <c r="F33" s="604"/>
      <c r="G33" s="604"/>
      <c r="H33" s="568"/>
      <c r="I33" s="568"/>
      <c r="J33" s="568"/>
    </row>
    <row r="34" spans="1:10" ht="15" x14ac:dyDescent="0.25">
      <c r="A34" s="602"/>
      <c r="B34" s="606"/>
      <c r="C34" s="606"/>
      <c r="D34" s="606"/>
      <c r="E34" s="603"/>
      <c r="F34" s="604"/>
      <c r="G34" s="604"/>
      <c r="H34" s="568"/>
      <c r="I34" s="568"/>
      <c r="J34" s="568"/>
    </row>
    <row r="35" spans="1:10" ht="15" x14ac:dyDescent="0.25">
      <c r="A35" s="607" t="s">
        <v>825</v>
      </c>
      <c r="B35" s="608"/>
      <c r="C35" s="608"/>
      <c r="D35" s="608"/>
      <c r="E35" s="608"/>
      <c r="F35" s="608"/>
      <c r="G35" s="609"/>
      <c r="H35" s="605"/>
      <c r="I35" s="605"/>
      <c r="J35" s="605"/>
    </row>
    <row r="36" spans="1:10" ht="15" x14ac:dyDescent="0.25"/>
  </sheetData>
  <mergeCells count="39">
    <mergeCell ref="C6:D6"/>
    <mergeCell ref="E6:F6"/>
    <mergeCell ref="H6:I6"/>
    <mergeCell ref="A1:J1"/>
    <mergeCell ref="C2:J2"/>
    <mergeCell ref="C3:J3"/>
    <mergeCell ref="C4:J4"/>
    <mergeCell ref="C5:J5"/>
    <mergeCell ref="B16:D16"/>
    <mergeCell ref="C7:J7"/>
    <mergeCell ref="C8:J8"/>
    <mergeCell ref="C9:J9"/>
    <mergeCell ref="C10:E10"/>
    <mergeCell ref="F10:G10"/>
    <mergeCell ref="H10:J10"/>
    <mergeCell ref="C11:E11"/>
    <mergeCell ref="F11:G11"/>
    <mergeCell ref="H11:J11"/>
    <mergeCell ref="A13:J13"/>
    <mergeCell ref="B15:D15"/>
    <mergeCell ref="B28:D28"/>
    <mergeCell ref="B17:D17"/>
    <mergeCell ref="B18:D18"/>
    <mergeCell ref="B19:D19"/>
    <mergeCell ref="B20:D20"/>
    <mergeCell ref="B21:D21"/>
    <mergeCell ref="B22:D22"/>
    <mergeCell ref="B23:D23"/>
    <mergeCell ref="B24:D24"/>
    <mergeCell ref="B25:D25"/>
    <mergeCell ref="B26:D26"/>
    <mergeCell ref="B27:D27"/>
    <mergeCell ref="A35:G35"/>
    <mergeCell ref="B29:D29"/>
    <mergeCell ref="B30:D30"/>
    <mergeCell ref="B31:D31"/>
    <mergeCell ref="B32:D32"/>
    <mergeCell ref="B33:D33"/>
    <mergeCell ref="B34:D34"/>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E1002-53FC-406B-8DE4-15DA76D49099}">
  <dimension ref="A1:K38"/>
  <sheetViews>
    <sheetView workbookViewId="0">
      <selection sqref="A1:XFD1048576"/>
    </sheetView>
  </sheetViews>
  <sheetFormatPr baseColWidth="10" defaultColWidth="11.42578125" defaultRowHeight="13.9" customHeight="1" x14ac:dyDescent="0.25"/>
  <cols>
    <col min="1" max="1" width="13.42578125" style="376" customWidth="1"/>
    <col min="2" max="2" width="20.42578125" style="376" customWidth="1"/>
    <col min="3" max="3" width="8.85546875" style="376" customWidth="1"/>
    <col min="4" max="4" width="9.140625" style="376" customWidth="1"/>
    <col min="5" max="5" width="10" style="376" customWidth="1"/>
    <col min="6" max="6" width="9.85546875" style="376" customWidth="1"/>
    <col min="7" max="7" width="15.5703125" style="376" customWidth="1"/>
    <col min="8" max="10" width="16.140625" style="376" customWidth="1"/>
    <col min="11" max="11" width="14" style="376" customWidth="1"/>
    <col min="12" max="12" width="6.42578125" style="376" customWidth="1"/>
    <col min="13" max="16384" width="11.42578125" style="376"/>
  </cols>
  <sheetData>
    <row r="1" spans="1:11" ht="10.5" customHeight="1" x14ac:dyDescent="0.25">
      <c r="A1" s="617"/>
      <c r="B1" s="617"/>
      <c r="C1" s="618"/>
      <c r="D1" s="618"/>
      <c r="E1" s="618"/>
      <c r="F1" s="618"/>
      <c r="G1" s="618"/>
      <c r="H1" s="618"/>
      <c r="I1" s="618"/>
      <c r="J1" s="618"/>
    </row>
    <row r="2" spans="1:11" ht="15" customHeight="1" x14ac:dyDescent="0.25">
      <c r="A2" s="200" t="s">
        <v>363</v>
      </c>
      <c r="B2" s="200"/>
      <c r="C2" s="619">
        <v>4444444444</v>
      </c>
      <c r="D2" s="619"/>
      <c r="E2" s="619"/>
      <c r="F2" s="619"/>
      <c r="G2" s="619"/>
      <c r="H2" s="619"/>
      <c r="I2" s="619"/>
      <c r="J2" s="619"/>
      <c r="K2" s="598"/>
    </row>
    <row r="3" spans="1:11" ht="15" customHeight="1" x14ac:dyDescent="0.25">
      <c r="A3" s="200"/>
      <c r="B3" s="200"/>
      <c r="C3" s="620">
        <v>56565665</v>
      </c>
      <c r="D3" s="620"/>
      <c r="E3" s="620"/>
      <c r="F3" s="620"/>
      <c r="G3" s="620"/>
      <c r="H3" s="620"/>
      <c r="I3" s="620"/>
      <c r="J3" s="620"/>
      <c r="K3" s="598"/>
    </row>
    <row r="4" spans="1:11" ht="15" customHeight="1" x14ac:dyDescent="0.25">
      <c r="A4" s="200" t="s">
        <v>364</v>
      </c>
      <c r="B4" s="200"/>
      <c r="C4" s="620" t="s">
        <v>6</v>
      </c>
      <c r="D4" s="620"/>
      <c r="E4" s="620"/>
      <c r="F4" s="620"/>
      <c r="G4" s="620"/>
      <c r="H4" s="620"/>
      <c r="I4" s="620"/>
      <c r="J4" s="620"/>
      <c r="K4" s="598"/>
    </row>
    <row r="5" spans="1:11" ht="15" customHeight="1" x14ac:dyDescent="0.25">
      <c r="A5" s="200" t="s">
        <v>365</v>
      </c>
      <c r="B5" s="200"/>
      <c r="C5" s="621" t="s">
        <v>699</v>
      </c>
      <c r="D5" s="621"/>
      <c r="E5" s="621"/>
      <c r="F5" s="621"/>
      <c r="G5" s="621"/>
      <c r="H5" s="621"/>
      <c r="I5" s="621"/>
      <c r="J5" s="621"/>
      <c r="K5" s="599"/>
    </row>
    <row r="6" spans="1:11" ht="15" x14ac:dyDescent="0.25">
      <c r="A6" s="200" t="s">
        <v>366</v>
      </c>
      <c r="B6" s="200"/>
      <c r="C6" s="620">
        <v>125545</v>
      </c>
      <c r="D6" s="620"/>
      <c r="E6" s="622" t="s">
        <v>367</v>
      </c>
      <c r="F6" s="622"/>
      <c r="G6" s="240">
        <v>46022</v>
      </c>
      <c r="H6" s="611" t="s">
        <v>467</v>
      </c>
      <c r="I6" s="611"/>
      <c r="J6" s="241">
        <v>12</v>
      </c>
      <c r="K6" s="600"/>
    </row>
    <row r="7" spans="1:11" ht="15" x14ac:dyDescent="0.25">
      <c r="A7" s="198" t="s">
        <v>369</v>
      </c>
      <c r="B7" s="24"/>
      <c r="C7" s="615" t="s">
        <v>8</v>
      </c>
      <c r="D7" s="615"/>
      <c r="E7" s="615"/>
      <c r="F7" s="615"/>
      <c r="G7" s="615"/>
      <c r="H7" s="615"/>
      <c r="I7" s="615"/>
      <c r="J7" s="615"/>
      <c r="K7" s="600"/>
    </row>
    <row r="8" spans="1:11" ht="15" x14ac:dyDescent="0.25">
      <c r="A8" s="200" t="s">
        <v>468</v>
      </c>
      <c r="B8" s="24"/>
      <c r="C8" s="616" t="s">
        <v>35</v>
      </c>
      <c r="D8" s="616"/>
      <c r="E8" s="616"/>
      <c r="F8" s="616"/>
      <c r="G8" s="616"/>
      <c r="H8" s="616"/>
      <c r="I8" s="616"/>
      <c r="J8" s="616"/>
      <c r="K8" s="600"/>
    </row>
    <row r="9" spans="1:11" ht="15" x14ac:dyDescent="0.25">
      <c r="A9" s="200"/>
      <c r="B9" s="24"/>
      <c r="C9" s="611" t="s">
        <v>36</v>
      </c>
      <c r="D9" s="611"/>
      <c r="E9" s="611"/>
      <c r="F9" s="611"/>
      <c r="G9" s="611"/>
      <c r="H9" s="611"/>
      <c r="I9" s="611"/>
      <c r="J9" s="611"/>
      <c r="K9" s="600"/>
    </row>
    <row r="10" spans="1:11" ht="15" x14ac:dyDescent="0.25">
      <c r="A10" s="200" t="s">
        <v>469</v>
      </c>
      <c r="B10" s="24"/>
      <c r="C10" s="611" t="s">
        <v>40</v>
      </c>
      <c r="D10" s="611"/>
      <c r="E10" s="611"/>
      <c r="F10" s="611" t="s">
        <v>470</v>
      </c>
      <c r="G10" s="611"/>
      <c r="H10" s="611" t="s">
        <v>38</v>
      </c>
      <c r="I10" s="611"/>
      <c r="J10" s="611"/>
      <c r="K10" s="600"/>
    </row>
    <row r="11" spans="1:11" ht="15" x14ac:dyDescent="0.25">
      <c r="A11" s="200" t="s">
        <v>471</v>
      </c>
      <c r="B11" s="24"/>
      <c r="C11" s="610">
        <v>44713</v>
      </c>
      <c r="D11" s="610"/>
      <c r="E11" s="610"/>
      <c r="F11" s="611" t="s">
        <v>472</v>
      </c>
      <c r="G11" s="611"/>
      <c r="H11" s="610">
        <v>45991</v>
      </c>
      <c r="I11" s="610"/>
      <c r="J11" s="610"/>
      <c r="K11" s="600"/>
    </row>
    <row r="12" spans="1:11" ht="15.75" thickBot="1" x14ac:dyDescent="0.3">
      <c r="A12" s="200"/>
      <c r="B12" s="200"/>
      <c r="C12" s="512"/>
      <c r="D12" s="204"/>
      <c r="E12" s="204"/>
      <c r="F12" s="204"/>
      <c r="G12" s="204"/>
      <c r="H12" s="204"/>
      <c r="I12" s="204"/>
      <c r="J12" s="204"/>
      <c r="K12" s="600"/>
    </row>
    <row r="13" spans="1:11" ht="16.5" thickBot="1" x14ac:dyDescent="0.3">
      <c r="A13" s="612" t="s">
        <v>1662</v>
      </c>
      <c r="B13" s="613"/>
      <c r="C13" s="613"/>
      <c r="D13" s="613"/>
      <c r="E13" s="613"/>
      <c r="F13" s="613"/>
      <c r="G13" s="613"/>
      <c r="H13" s="613"/>
      <c r="I13" s="613"/>
      <c r="J13" s="613"/>
      <c r="K13" s="601"/>
    </row>
    <row r="14" spans="1:11" ht="8.25" customHeight="1" x14ac:dyDescent="0.25">
      <c r="A14" s="28"/>
      <c r="B14" s="28"/>
      <c r="C14" s="555"/>
      <c r="D14" s="555"/>
      <c r="E14" s="555"/>
      <c r="F14" s="555"/>
      <c r="G14" s="555"/>
      <c r="H14" s="555"/>
      <c r="I14" s="555"/>
      <c r="J14" s="28"/>
    </row>
    <row r="15" spans="1:11" ht="31.5" x14ac:dyDescent="0.25">
      <c r="A15" s="591" t="s">
        <v>1660</v>
      </c>
      <c r="B15" s="614" t="s">
        <v>1663</v>
      </c>
      <c r="C15" s="614"/>
      <c r="D15" s="614"/>
      <c r="E15" s="591" t="s">
        <v>1664</v>
      </c>
      <c r="F15" s="591" t="s">
        <v>1665</v>
      </c>
      <c r="G15" s="591" t="s">
        <v>1661</v>
      </c>
      <c r="H15" s="591" t="s">
        <v>1650</v>
      </c>
      <c r="I15" s="591" t="s">
        <v>1159</v>
      </c>
      <c r="J15" s="591" t="s">
        <v>1651</v>
      </c>
    </row>
    <row r="16" spans="1:11" ht="15" x14ac:dyDescent="0.25">
      <c r="A16" s="602"/>
      <c r="B16" s="606"/>
      <c r="C16" s="606"/>
      <c r="D16" s="606"/>
      <c r="E16" s="603"/>
      <c r="F16" s="604"/>
      <c r="G16" s="604"/>
      <c r="H16" s="568"/>
      <c r="I16" s="568"/>
      <c r="J16" s="568"/>
    </row>
    <row r="17" spans="1:10" ht="15" x14ac:dyDescent="0.25">
      <c r="A17" s="602"/>
      <c r="B17" s="606"/>
      <c r="C17" s="606"/>
      <c r="D17" s="606"/>
      <c r="E17" s="603"/>
      <c r="F17" s="604"/>
      <c r="G17" s="604"/>
      <c r="H17" s="568"/>
      <c r="I17" s="568"/>
      <c r="J17" s="568"/>
    </row>
    <row r="18" spans="1:10" ht="15" x14ac:dyDescent="0.25">
      <c r="A18" s="602"/>
      <c r="B18" s="606"/>
      <c r="C18" s="606"/>
      <c r="D18" s="606"/>
      <c r="E18" s="603"/>
      <c r="F18" s="604"/>
      <c r="G18" s="604"/>
      <c r="H18" s="568"/>
      <c r="I18" s="568"/>
      <c r="J18" s="568"/>
    </row>
    <row r="19" spans="1:10" ht="15" x14ac:dyDescent="0.25">
      <c r="A19" s="602"/>
      <c r="B19" s="606"/>
      <c r="C19" s="606"/>
      <c r="D19" s="606"/>
      <c r="E19" s="603"/>
      <c r="F19" s="604"/>
      <c r="G19" s="604"/>
      <c r="H19" s="568"/>
      <c r="I19" s="568"/>
      <c r="J19" s="568"/>
    </row>
    <row r="20" spans="1:10" ht="15" x14ac:dyDescent="0.25">
      <c r="A20" s="602"/>
      <c r="B20" s="606"/>
      <c r="C20" s="606"/>
      <c r="D20" s="606"/>
      <c r="E20" s="603"/>
      <c r="F20" s="604"/>
      <c r="G20" s="604"/>
      <c r="H20" s="568"/>
      <c r="I20" s="568"/>
      <c r="J20" s="568"/>
    </row>
    <row r="21" spans="1:10" ht="15" x14ac:dyDescent="0.25">
      <c r="A21" s="602"/>
      <c r="B21" s="606"/>
      <c r="C21" s="606"/>
      <c r="D21" s="606"/>
      <c r="E21" s="603"/>
      <c r="F21" s="604"/>
      <c r="G21" s="604"/>
      <c r="H21" s="568"/>
      <c r="I21" s="568"/>
      <c r="J21" s="568"/>
    </row>
    <row r="22" spans="1:10" ht="15" x14ac:dyDescent="0.25">
      <c r="A22" s="602"/>
      <c r="B22" s="606"/>
      <c r="C22" s="606"/>
      <c r="D22" s="606"/>
      <c r="E22" s="603"/>
      <c r="F22" s="604"/>
      <c r="G22" s="604"/>
      <c r="H22" s="568"/>
      <c r="I22" s="568"/>
      <c r="J22" s="568"/>
    </row>
    <row r="23" spans="1:10" ht="15" x14ac:dyDescent="0.25">
      <c r="A23" s="602"/>
      <c r="B23" s="606"/>
      <c r="C23" s="606"/>
      <c r="D23" s="606"/>
      <c r="E23" s="603"/>
      <c r="F23" s="604"/>
      <c r="G23" s="604"/>
      <c r="H23" s="568"/>
      <c r="I23" s="568"/>
      <c r="J23" s="568"/>
    </row>
    <row r="24" spans="1:10" ht="15" x14ac:dyDescent="0.25">
      <c r="A24" s="602"/>
      <c r="B24" s="606"/>
      <c r="C24" s="606"/>
      <c r="D24" s="606"/>
      <c r="E24" s="603"/>
      <c r="F24" s="604"/>
      <c r="G24" s="604"/>
      <c r="H24" s="568"/>
      <c r="I24" s="568"/>
      <c r="J24" s="568"/>
    </row>
    <row r="25" spans="1:10" ht="15" x14ac:dyDescent="0.25">
      <c r="A25" s="602"/>
      <c r="B25" s="606"/>
      <c r="C25" s="606"/>
      <c r="D25" s="606"/>
      <c r="E25" s="603"/>
      <c r="F25" s="604"/>
      <c r="G25" s="604"/>
      <c r="H25" s="568"/>
      <c r="I25" s="568"/>
      <c r="J25" s="568"/>
    </row>
    <row r="26" spans="1:10" ht="15" x14ac:dyDescent="0.25">
      <c r="A26" s="602"/>
      <c r="B26" s="606"/>
      <c r="C26" s="606"/>
      <c r="D26" s="606"/>
      <c r="E26" s="603"/>
      <c r="F26" s="604"/>
      <c r="G26" s="604"/>
      <c r="H26" s="568"/>
      <c r="I26" s="568"/>
      <c r="J26" s="568"/>
    </row>
    <row r="27" spans="1:10" ht="15" x14ac:dyDescent="0.25">
      <c r="A27" s="602"/>
      <c r="B27" s="606"/>
      <c r="C27" s="606"/>
      <c r="D27" s="606"/>
      <c r="E27" s="603"/>
      <c r="F27" s="604"/>
      <c r="G27" s="604"/>
      <c r="H27" s="568"/>
      <c r="I27" s="568"/>
      <c r="J27" s="568"/>
    </row>
    <row r="28" spans="1:10" ht="15" x14ac:dyDescent="0.25">
      <c r="A28" s="602"/>
      <c r="B28" s="606"/>
      <c r="C28" s="606"/>
      <c r="D28" s="606"/>
      <c r="E28" s="603"/>
      <c r="F28" s="604"/>
      <c r="G28" s="604"/>
      <c r="H28" s="568"/>
      <c r="I28" s="568"/>
      <c r="J28" s="568"/>
    </row>
    <row r="29" spans="1:10" ht="15" x14ac:dyDescent="0.25">
      <c r="A29" s="602"/>
      <c r="B29" s="606"/>
      <c r="C29" s="606"/>
      <c r="D29" s="606"/>
      <c r="E29" s="603"/>
      <c r="F29" s="604"/>
      <c r="G29" s="604"/>
      <c r="H29" s="568"/>
      <c r="I29" s="568"/>
      <c r="J29" s="568"/>
    </row>
    <row r="30" spans="1:10" ht="15" x14ac:dyDescent="0.25">
      <c r="A30" s="602"/>
      <c r="B30" s="606"/>
      <c r="C30" s="606"/>
      <c r="D30" s="606"/>
      <c r="E30" s="603"/>
      <c r="F30" s="604"/>
      <c r="G30" s="604"/>
      <c r="H30" s="568"/>
      <c r="I30" s="568"/>
      <c r="J30" s="568"/>
    </row>
    <row r="31" spans="1:10" ht="15" x14ac:dyDescent="0.25">
      <c r="A31" s="602"/>
      <c r="B31" s="606"/>
      <c r="C31" s="606"/>
      <c r="D31" s="606"/>
      <c r="E31" s="603"/>
      <c r="F31" s="604"/>
      <c r="G31" s="604"/>
      <c r="H31" s="568"/>
      <c r="I31" s="568"/>
      <c r="J31" s="568"/>
    </row>
    <row r="32" spans="1:10" ht="15" x14ac:dyDescent="0.25">
      <c r="A32" s="602"/>
      <c r="B32" s="606"/>
      <c r="C32" s="606"/>
      <c r="D32" s="606"/>
      <c r="E32" s="603"/>
      <c r="F32" s="604"/>
      <c r="G32" s="604"/>
      <c r="H32" s="568"/>
      <c r="I32" s="568"/>
      <c r="J32" s="568"/>
    </row>
    <row r="33" spans="1:10" ht="15" x14ac:dyDescent="0.25">
      <c r="A33" s="602"/>
      <c r="B33" s="606"/>
      <c r="C33" s="606"/>
      <c r="D33" s="606"/>
      <c r="E33" s="603"/>
      <c r="F33" s="604"/>
      <c r="G33" s="604"/>
      <c r="H33" s="568"/>
      <c r="I33" s="568"/>
      <c r="J33" s="568"/>
    </row>
    <row r="34" spans="1:10" ht="15" x14ac:dyDescent="0.25">
      <c r="A34" s="602"/>
      <c r="B34" s="606"/>
      <c r="C34" s="606"/>
      <c r="D34" s="606"/>
      <c r="E34" s="603"/>
      <c r="F34" s="604"/>
      <c r="G34" s="604"/>
      <c r="H34" s="568"/>
      <c r="I34" s="568"/>
      <c r="J34" s="568"/>
    </row>
    <row r="35" spans="1:10" ht="15" x14ac:dyDescent="0.25">
      <c r="A35" s="602"/>
      <c r="B35" s="606"/>
      <c r="C35" s="606"/>
      <c r="D35" s="606"/>
      <c r="E35" s="603"/>
      <c r="F35" s="604"/>
      <c r="G35" s="604"/>
      <c r="H35" s="568"/>
      <c r="I35" s="568"/>
      <c r="J35" s="568"/>
    </row>
    <row r="36" spans="1:10" ht="15" x14ac:dyDescent="0.25">
      <c r="A36" s="602"/>
      <c r="B36" s="606"/>
      <c r="C36" s="606"/>
      <c r="D36" s="606"/>
      <c r="E36" s="603"/>
      <c r="F36" s="604"/>
      <c r="G36" s="604"/>
      <c r="H36" s="568"/>
      <c r="I36" s="568"/>
      <c r="J36" s="568"/>
    </row>
    <row r="37" spans="1:10" ht="15" x14ac:dyDescent="0.25">
      <c r="A37" s="607" t="s">
        <v>825</v>
      </c>
      <c r="B37" s="608"/>
      <c r="C37" s="608"/>
      <c r="D37" s="608"/>
      <c r="E37" s="608"/>
      <c r="F37" s="608"/>
      <c r="G37" s="609"/>
      <c r="H37" s="605"/>
      <c r="I37" s="605"/>
      <c r="J37" s="605"/>
    </row>
    <row r="38" spans="1:10" ht="15" x14ac:dyDescent="0.25"/>
  </sheetData>
  <mergeCells count="41">
    <mergeCell ref="C6:D6"/>
    <mergeCell ref="E6:F6"/>
    <mergeCell ref="H6:I6"/>
    <mergeCell ref="A1:J1"/>
    <mergeCell ref="C2:J2"/>
    <mergeCell ref="C3:J3"/>
    <mergeCell ref="C4:J4"/>
    <mergeCell ref="C5:J5"/>
    <mergeCell ref="B16:D16"/>
    <mergeCell ref="C7:J7"/>
    <mergeCell ref="C8:J8"/>
    <mergeCell ref="C9:J9"/>
    <mergeCell ref="C10:E10"/>
    <mergeCell ref="F10:G10"/>
    <mergeCell ref="H10:J10"/>
    <mergeCell ref="C11:E11"/>
    <mergeCell ref="F11:G11"/>
    <mergeCell ref="H11:J11"/>
    <mergeCell ref="A13:J13"/>
    <mergeCell ref="B15:D15"/>
    <mergeCell ref="B28:D28"/>
    <mergeCell ref="B17:D17"/>
    <mergeCell ref="B18:D18"/>
    <mergeCell ref="B19:D19"/>
    <mergeCell ref="B20:D20"/>
    <mergeCell ref="B21:D21"/>
    <mergeCell ref="B22:D22"/>
    <mergeCell ref="B23:D23"/>
    <mergeCell ref="B24:D24"/>
    <mergeCell ref="B25:D25"/>
    <mergeCell ref="B26:D26"/>
    <mergeCell ref="B27:D27"/>
    <mergeCell ref="B35:D35"/>
    <mergeCell ref="B36:D36"/>
    <mergeCell ref="A37:G37"/>
    <mergeCell ref="B29:D29"/>
    <mergeCell ref="B30:D30"/>
    <mergeCell ref="B31:D31"/>
    <mergeCell ref="B32:D32"/>
    <mergeCell ref="B33:D33"/>
    <mergeCell ref="B34:D34"/>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01E40-1240-43B9-B1B9-9E27CE6B3114}">
  <dimension ref="A1:K37"/>
  <sheetViews>
    <sheetView workbookViewId="0">
      <selection activeCell="B15" sqref="B15:D15"/>
    </sheetView>
  </sheetViews>
  <sheetFormatPr baseColWidth="10" defaultColWidth="11.42578125" defaultRowHeight="13.9" customHeight="1" x14ac:dyDescent="0.25"/>
  <cols>
    <col min="1" max="1" width="13.42578125" style="376" customWidth="1"/>
    <col min="2" max="2" width="20.42578125" style="376" customWidth="1"/>
    <col min="3" max="3" width="8.85546875" style="376" customWidth="1"/>
    <col min="4" max="4" width="9.140625" style="376" customWidth="1"/>
    <col min="5" max="5" width="10" style="376" customWidth="1"/>
    <col min="6" max="6" width="9.85546875" style="376" customWidth="1"/>
    <col min="7" max="7" width="15.5703125" style="376" customWidth="1"/>
    <col min="8" max="10" width="16.140625" style="376" customWidth="1"/>
    <col min="11" max="11" width="14" style="376" customWidth="1"/>
    <col min="12" max="12" width="6.42578125" style="376" customWidth="1"/>
    <col min="13" max="16384" width="11.42578125" style="376"/>
  </cols>
  <sheetData>
    <row r="1" spans="1:11" ht="10.5" customHeight="1" x14ac:dyDescent="0.25">
      <c r="A1" s="617"/>
      <c r="B1" s="617"/>
      <c r="C1" s="618"/>
      <c r="D1" s="618"/>
      <c r="E1" s="618"/>
      <c r="F1" s="618"/>
      <c r="G1" s="618"/>
      <c r="H1" s="618"/>
      <c r="I1" s="618"/>
      <c r="J1" s="618"/>
    </row>
    <row r="2" spans="1:11" ht="15" customHeight="1" x14ac:dyDescent="0.25">
      <c r="A2" s="200" t="s">
        <v>363</v>
      </c>
      <c r="B2" s="200"/>
      <c r="C2" s="619">
        <v>4444444444</v>
      </c>
      <c r="D2" s="619"/>
      <c r="E2" s="619"/>
      <c r="F2" s="619"/>
      <c r="G2" s="619"/>
      <c r="H2" s="619"/>
      <c r="I2" s="619"/>
      <c r="J2" s="619"/>
      <c r="K2" s="598"/>
    </row>
    <row r="3" spans="1:11" ht="15" customHeight="1" x14ac:dyDescent="0.25">
      <c r="A3" s="200"/>
      <c r="B3" s="200"/>
      <c r="C3" s="620">
        <v>56565665</v>
      </c>
      <c r="D3" s="620"/>
      <c r="E3" s="620"/>
      <c r="F3" s="620"/>
      <c r="G3" s="620"/>
      <c r="H3" s="620"/>
      <c r="I3" s="620"/>
      <c r="J3" s="620"/>
      <c r="K3" s="598"/>
    </row>
    <row r="4" spans="1:11" ht="15" customHeight="1" x14ac:dyDescent="0.25">
      <c r="A4" s="200" t="s">
        <v>364</v>
      </c>
      <c r="B4" s="200"/>
      <c r="C4" s="620" t="s">
        <v>6</v>
      </c>
      <c r="D4" s="620"/>
      <c r="E4" s="620"/>
      <c r="F4" s="620"/>
      <c r="G4" s="620"/>
      <c r="H4" s="620"/>
      <c r="I4" s="620"/>
      <c r="J4" s="620"/>
      <c r="K4" s="598"/>
    </row>
    <row r="5" spans="1:11" ht="15" customHeight="1" x14ac:dyDescent="0.25">
      <c r="A5" s="200" t="s">
        <v>365</v>
      </c>
      <c r="B5" s="200"/>
      <c r="C5" s="621" t="s">
        <v>699</v>
      </c>
      <c r="D5" s="621"/>
      <c r="E5" s="621"/>
      <c r="F5" s="621"/>
      <c r="G5" s="621"/>
      <c r="H5" s="621"/>
      <c r="I5" s="621"/>
      <c r="J5" s="621"/>
      <c r="K5" s="599"/>
    </row>
    <row r="6" spans="1:11" ht="15" x14ac:dyDescent="0.25">
      <c r="A6" s="200" t="s">
        <v>366</v>
      </c>
      <c r="B6" s="200"/>
      <c r="C6" s="620">
        <v>125545</v>
      </c>
      <c r="D6" s="620"/>
      <c r="E6" s="622" t="s">
        <v>367</v>
      </c>
      <c r="F6" s="622"/>
      <c r="G6" s="240">
        <v>46022</v>
      </c>
      <c r="H6" s="611" t="s">
        <v>467</v>
      </c>
      <c r="I6" s="611"/>
      <c r="J6" s="241">
        <v>12</v>
      </c>
      <c r="K6" s="600"/>
    </row>
    <row r="7" spans="1:11" ht="15" x14ac:dyDescent="0.25">
      <c r="A7" s="198" t="s">
        <v>369</v>
      </c>
      <c r="B7" s="24"/>
      <c r="C7" s="615" t="s">
        <v>8</v>
      </c>
      <c r="D7" s="615"/>
      <c r="E7" s="615"/>
      <c r="F7" s="615"/>
      <c r="G7" s="615"/>
      <c r="H7" s="615"/>
      <c r="I7" s="615"/>
      <c r="J7" s="615"/>
      <c r="K7" s="600"/>
    </row>
    <row r="8" spans="1:11" ht="15" x14ac:dyDescent="0.25">
      <c r="A8" s="200" t="s">
        <v>468</v>
      </c>
      <c r="B8" s="24"/>
      <c r="C8" s="616" t="s">
        <v>35</v>
      </c>
      <c r="D8" s="616"/>
      <c r="E8" s="616"/>
      <c r="F8" s="616"/>
      <c r="G8" s="616"/>
      <c r="H8" s="616"/>
      <c r="I8" s="616"/>
      <c r="J8" s="616"/>
      <c r="K8" s="600"/>
    </row>
    <row r="9" spans="1:11" ht="15" x14ac:dyDescent="0.25">
      <c r="A9" s="200"/>
      <c r="B9" s="24"/>
      <c r="C9" s="611" t="s">
        <v>36</v>
      </c>
      <c r="D9" s="611"/>
      <c r="E9" s="611"/>
      <c r="F9" s="611"/>
      <c r="G9" s="611"/>
      <c r="H9" s="611"/>
      <c r="I9" s="611"/>
      <c r="J9" s="611"/>
      <c r="K9" s="600"/>
    </row>
    <row r="10" spans="1:11" ht="15" x14ac:dyDescent="0.25">
      <c r="A10" s="200" t="s">
        <v>469</v>
      </c>
      <c r="B10" s="24"/>
      <c r="C10" s="611" t="s">
        <v>40</v>
      </c>
      <c r="D10" s="611"/>
      <c r="E10" s="611"/>
      <c r="F10" s="611" t="s">
        <v>470</v>
      </c>
      <c r="G10" s="611"/>
      <c r="H10" s="611" t="s">
        <v>38</v>
      </c>
      <c r="I10" s="611"/>
      <c r="J10" s="611"/>
      <c r="K10" s="600"/>
    </row>
    <row r="11" spans="1:11" ht="15" x14ac:dyDescent="0.25">
      <c r="A11" s="200" t="s">
        <v>471</v>
      </c>
      <c r="B11" s="24"/>
      <c r="C11" s="610">
        <v>44713</v>
      </c>
      <c r="D11" s="610"/>
      <c r="E11" s="610"/>
      <c r="F11" s="611" t="s">
        <v>472</v>
      </c>
      <c r="G11" s="611"/>
      <c r="H11" s="610">
        <v>45991</v>
      </c>
      <c r="I11" s="610"/>
      <c r="J11" s="610"/>
      <c r="K11" s="600"/>
    </row>
    <row r="12" spans="1:11" ht="15.75" thickBot="1" x14ac:dyDescent="0.3">
      <c r="A12" s="200"/>
      <c r="B12" s="200"/>
      <c r="C12" s="512"/>
      <c r="D12" s="204"/>
      <c r="E12" s="204"/>
      <c r="F12" s="204"/>
      <c r="G12" s="204"/>
      <c r="H12" s="204"/>
      <c r="I12" s="204"/>
      <c r="J12" s="204"/>
      <c r="K12" s="600"/>
    </row>
    <row r="13" spans="1:11" ht="16.5" thickBot="1" x14ac:dyDescent="0.3">
      <c r="A13" s="612" t="s">
        <v>1187</v>
      </c>
      <c r="B13" s="613"/>
      <c r="C13" s="613"/>
      <c r="D13" s="613"/>
      <c r="E13" s="613"/>
      <c r="F13" s="613"/>
      <c r="G13" s="613"/>
      <c r="H13" s="613"/>
      <c r="I13" s="613"/>
      <c r="J13" s="613"/>
      <c r="K13" s="601"/>
    </row>
    <row r="14" spans="1:11" ht="8.25" customHeight="1" x14ac:dyDescent="0.25">
      <c r="A14" s="28"/>
      <c r="B14" s="28"/>
      <c r="C14" s="555"/>
      <c r="D14" s="555"/>
      <c r="E14" s="555"/>
      <c r="F14" s="555"/>
      <c r="G14" s="555"/>
      <c r="H14" s="555"/>
      <c r="I14" s="555"/>
      <c r="J14" s="28"/>
    </row>
    <row r="15" spans="1:11" ht="42" x14ac:dyDescent="0.25">
      <c r="A15" s="591" t="s">
        <v>1666</v>
      </c>
      <c r="B15" s="614" t="s">
        <v>1663</v>
      </c>
      <c r="C15" s="614"/>
      <c r="D15" s="614"/>
      <c r="E15" s="591" t="s">
        <v>1664</v>
      </c>
      <c r="F15" s="591" t="s">
        <v>1665</v>
      </c>
      <c r="G15" s="591" t="s">
        <v>1667</v>
      </c>
      <c r="H15" s="591" t="s">
        <v>1668</v>
      </c>
      <c r="I15" s="591" t="s">
        <v>1669</v>
      </c>
      <c r="J15" s="591" t="s">
        <v>1670</v>
      </c>
    </row>
    <row r="16" spans="1:11" ht="15" x14ac:dyDescent="0.25">
      <c r="A16" s="602"/>
      <c r="B16" s="606"/>
      <c r="C16" s="606"/>
      <c r="D16" s="606"/>
      <c r="E16" s="603"/>
      <c r="F16" s="604"/>
      <c r="G16" s="604"/>
      <c r="H16" s="568"/>
      <c r="I16" s="568"/>
      <c r="J16" s="568"/>
    </row>
    <row r="17" spans="1:10" ht="15" x14ac:dyDescent="0.25">
      <c r="A17" s="602"/>
      <c r="B17" s="606"/>
      <c r="C17" s="606"/>
      <c r="D17" s="606"/>
      <c r="E17" s="603"/>
      <c r="F17" s="604"/>
      <c r="G17" s="604"/>
      <c r="H17" s="568"/>
      <c r="I17" s="568"/>
      <c r="J17" s="568"/>
    </row>
    <row r="18" spans="1:10" ht="15" x14ac:dyDescent="0.25">
      <c r="A18" s="602"/>
      <c r="B18" s="606"/>
      <c r="C18" s="606"/>
      <c r="D18" s="606"/>
      <c r="E18" s="603"/>
      <c r="F18" s="604"/>
      <c r="G18" s="604"/>
      <c r="H18" s="568"/>
      <c r="I18" s="568"/>
      <c r="J18" s="568"/>
    </row>
    <row r="19" spans="1:10" ht="15" x14ac:dyDescent="0.25">
      <c r="A19" s="602"/>
      <c r="B19" s="606"/>
      <c r="C19" s="606"/>
      <c r="D19" s="606"/>
      <c r="E19" s="603"/>
      <c r="F19" s="604"/>
      <c r="G19" s="604"/>
      <c r="H19" s="568"/>
      <c r="I19" s="568"/>
      <c r="J19" s="568"/>
    </row>
    <row r="20" spans="1:10" ht="15" x14ac:dyDescent="0.25">
      <c r="A20" s="602"/>
      <c r="B20" s="606"/>
      <c r="C20" s="606"/>
      <c r="D20" s="606"/>
      <c r="E20" s="603"/>
      <c r="F20" s="604"/>
      <c r="G20" s="604"/>
      <c r="H20" s="568"/>
      <c r="I20" s="568"/>
      <c r="J20" s="568"/>
    </row>
    <row r="21" spans="1:10" ht="15" x14ac:dyDescent="0.25">
      <c r="A21" s="602"/>
      <c r="B21" s="606"/>
      <c r="C21" s="606"/>
      <c r="D21" s="606"/>
      <c r="E21" s="603"/>
      <c r="F21" s="604"/>
      <c r="G21" s="604"/>
      <c r="H21" s="568"/>
      <c r="I21" s="568"/>
      <c r="J21" s="568"/>
    </row>
    <row r="22" spans="1:10" ht="15" x14ac:dyDescent="0.25">
      <c r="A22" s="602"/>
      <c r="B22" s="606"/>
      <c r="C22" s="606"/>
      <c r="D22" s="606"/>
      <c r="E22" s="603"/>
      <c r="F22" s="604"/>
      <c r="G22" s="604"/>
      <c r="H22" s="568"/>
      <c r="I22" s="568"/>
      <c r="J22" s="568"/>
    </row>
    <row r="23" spans="1:10" ht="15" x14ac:dyDescent="0.25">
      <c r="A23" s="602"/>
      <c r="B23" s="606"/>
      <c r="C23" s="606"/>
      <c r="D23" s="606"/>
      <c r="E23" s="603"/>
      <c r="F23" s="604"/>
      <c r="G23" s="604"/>
      <c r="H23" s="568"/>
      <c r="I23" s="568"/>
      <c r="J23" s="568"/>
    </row>
    <row r="24" spans="1:10" ht="15" x14ac:dyDescent="0.25">
      <c r="A24" s="602"/>
      <c r="B24" s="606"/>
      <c r="C24" s="606"/>
      <c r="D24" s="606"/>
      <c r="E24" s="603"/>
      <c r="F24" s="604"/>
      <c r="G24" s="604"/>
      <c r="H24" s="568"/>
      <c r="I24" s="568"/>
      <c r="J24" s="568"/>
    </row>
    <row r="25" spans="1:10" ht="15" x14ac:dyDescent="0.25">
      <c r="A25" s="602"/>
      <c r="B25" s="606"/>
      <c r="C25" s="606"/>
      <c r="D25" s="606"/>
      <c r="E25" s="603"/>
      <c r="F25" s="604"/>
      <c r="G25" s="604"/>
      <c r="H25" s="568"/>
      <c r="I25" s="568"/>
      <c r="J25" s="568"/>
    </row>
    <row r="26" spans="1:10" ht="15" x14ac:dyDescent="0.25">
      <c r="A26" s="602"/>
      <c r="B26" s="606"/>
      <c r="C26" s="606"/>
      <c r="D26" s="606"/>
      <c r="E26" s="603"/>
      <c r="F26" s="604"/>
      <c r="G26" s="604"/>
      <c r="H26" s="568"/>
      <c r="I26" s="568"/>
      <c r="J26" s="568"/>
    </row>
    <row r="27" spans="1:10" ht="15" x14ac:dyDescent="0.25">
      <c r="A27" s="602"/>
      <c r="B27" s="606"/>
      <c r="C27" s="606"/>
      <c r="D27" s="606"/>
      <c r="E27" s="603"/>
      <c r="F27" s="604"/>
      <c r="G27" s="604"/>
      <c r="H27" s="568"/>
      <c r="I27" s="568"/>
      <c r="J27" s="568"/>
    </row>
    <row r="28" spans="1:10" ht="15" x14ac:dyDescent="0.25">
      <c r="A28" s="602"/>
      <c r="B28" s="606"/>
      <c r="C28" s="606"/>
      <c r="D28" s="606"/>
      <c r="E28" s="603"/>
      <c r="F28" s="604"/>
      <c r="G28" s="604"/>
      <c r="H28" s="568"/>
      <c r="I28" s="568"/>
      <c r="J28" s="568"/>
    </row>
    <row r="29" spans="1:10" ht="15" x14ac:dyDescent="0.25">
      <c r="A29" s="602"/>
      <c r="B29" s="606"/>
      <c r="C29" s="606"/>
      <c r="D29" s="606"/>
      <c r="E29" s="603"/>
      <c r="F29" s="604"/>
      <c r="G29" s="604"/>
      <c r="H29" s="568"/>
      <c r="I29" s="568"/>
      <c r="J29" s="568"/>
    </row>
    <row r="30" spans="1:10" ht="15" x14ac:dyDescent="0.25">
      <c r="A30" s="602"/>
      <c r="B30" s="606"/>
      <c r="C30" s="606"/>
      <c r="D30" s="606"/>
      <c r="E30" s="603"/>
      <c r="F30" s="604"/>
      <c r="G30" s="604"/>
      <c r="H30" s="568"/>
      <c r="I30" s="568"/>
      <c r="J30" s="568"/>
    </row>
    <row r="31" spans="1:10" ht="15" x14ac:dyDescent="0.25">
      <c r="A31" s="602"/>
      <c r="B31" s="606"/>
      <c r="C31" s="606"/>
      <c r="D31" s="606"/>
      <c r="E31" s="603"/>
      <c r="F31" s="604"/>
      <c r="G31" s="604"/>
      <c r="H31" s="568"/>
      <c r="I31" s="568"/>
      <c r="J31" s="568"/>
    </row>
    <row r="32" spans="1:10" ht="15" x14ac:dyDescent="0.25">
      <c r="A32" s="602"/>
      <c r="B32" s="606"/>
      <c r="C32" s="606"/>
      <c r="D32" s="606"/>
      <c r="E32" s="603"/>
      <c r="F32" s="604"/>
      <c r="G32" s="604"/>
      <c r="H32" s="568"/>
      <c r="I32" s="568"/>
      <c r="J32" s="568"/>
    </row>
    <row r="33" spans="1:10" ht="15" x14ac:dyDescent="0.25">
      <c r="A33" s="602"/>
      <c r="B33" s="606"/>
      <c r="C33" s="606"/>
      <c r="D33" s="606"/>
      <c r="E33" s="603"/>
      <c r="F33" s="604"/>
      <c r="G33" s="604"/>
      <c r="H33" s="568"/>
      <c r="I33" s="568"/>
      <c r="J33" s="568"/>
    </row>
    <row r="34" spans="1:10" ht="15" x14ac:dyDescent="0.25">
      <c r="A34" s="602"/>
      <c r="B34" s="606"/>
      <c r="C34" s="606"/>
      <c r="D34" s="606"/>
      <c r="E34" s="603"/>
      <c r="F34" s="604"/>
      <c r="G34" s="604"/>
      <c r="H34" s="568"/>
      <c r="I34" s="568"/>
      <c r="J34" s="568"/>
    </row>
    <row r="35" spans="1:10" ht="15" x14ac:dyDescent="0.25">
      <c r="A35" s="602"/>
      <c r="B35" s="606"/>
      <c r="C35" s="606"/>
      <c r="D35" s="606"/>
      <c r="E35" s="603"/>
      <c r="F35" s="604"/>
      <c r="G35" s="604"/>
      <c r="H35" s="568"/>
      <c r="I35" s="568"/>
      <c r="J35" s="568"/>
    </row>
    <row r="36" spans="1:10" ht="15" x14ac:dyDescent="0.25">
      <c r="A36" s="607" t="s">
        <v>825</v>
      </c>
      <c r="B36" s="608"/>
      <c r="C36" s="608"/>
      <c r="D36" s="608"/>
      <c r="E36" s="608"/>
      <c r="F36" s="608"/>
      <c r="G36" s="608"/>
      <c r="H36" s="608"/>
      <c r="I36" s="609"/>
      <c r="J36" s="605"/>
    </row>
    <row r="37" spans="1:10" ht="15" x14ac:dyDescent="0.25"/>
  </sheetData>
  <mergeCells count="40">
    <mergeCell ref="C6:D6"/>
    <mergeCell ref="E6:F6"/>
    <mergeCell ref="H6:I6"/>
    <mergeCell ref="A1:J1"/>
    <mergeCell ref="C2:J2"/>
    <mergeCell ref="C3:J3"/>
    <mergeCell ref="C4:J4"/>
    <mergeCell ref="C5:J5"/>
    <mergeCell ref="B16:D16"/>
    <mergeCell ref="C7:J7"/>
    <mergeCell ref="C8:J8"/>
    <mergeCell ref="C9:J9"/>
    <mergeCell ref="C10:E10"/>
    <mergeCell ref="F10:G10"/>
    <mergeCell ref="H10:J10"/>
    <mergeCell ref="C11:E11"/>
    <mergeCell ref="F11:G11"/>
    <mergeCell ref="H11:J11"/>
    <mergeCell ref="A13:J13"/>
    <mergeCell ref="B15:D15"/>
    <mergeCell ref="B28:D28"/>
    <mergeCell ref="B17:D17"/>
    <mergeCell ref="B18:D18"/>
    <mergeCell ref="B19:D19"/>
    <mergeCell ref="B20:D20"/>
    <mergeCell ref="B21:D21"/>
    <mergeCell ref="B22:D22"/>
    <mergeCell ref="B23:D23"/>
    <mergeCell ref="B24:D24"/>
    <mergeCell ref="B25:D25"/>
    <mergeCell ref="B26:D26"/>
    <mergeCell ref="B27:D27"/>
    <mergeCell ref="B35:D35"/>
    <mergeCell ref="A36:I36"/>
    <mergeCell ref="B29:D29"/>
    <mergeCell ref="B30:D30"/>
    <mergeCell ref="B31:D31"/>
    <mergeCell ref="B32:D32"/>
    <mergeCell ref="B33:D33"/>
    <mergeCell ref="B34:D34"/>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6D8C1-834A-44B2-8567-86E39DDA8313}">
  <dimension ref="A1:K38"/>
  <sheetViews>
    <sheetView workbookViewId="0">
      <selection sqref="A1:XFD1048576"/>
    </sheetView>
  </sheetViews>
  <sheetFormatPr baseColWidth="10" defaultColWidth="11.42578125" defaultRowHeight="13.9" customHeight="1" x14ac:dyDescent="0.25"/>
  <cols>
    <col min="1" max="1" width="13.42578125" style="376" customWidth="1"/>
    <col min="2" max="2" width="20.42578125" style="376" customWidth="1"/>
    <col min="3" max="3" width="8.85546875" style="376" customWidth="1"/>
    <col min="4" max="4" width="9.140625" style="376" customWidth="1"/>
    <col min="5" max="5" width="10" style="376" customWidth="1"/>
    <col min="6" max="6" width="9.85546875" style="376" customWidth="1"/>
    <col min="7" max="7" width="15.5703125" style="376" customWidth="1"/>
    <col min="8" max="9" width="16.140625" style="376" customWidth="1"/>
    <col min="10" max="10" width="8.42578125" style="376" customWidth="1"/>
    <col min="11" max="11" width="14" style="376" customWidth="1"/>
    <col min="12" max="12" width="6.42578125" style="376" customWidth="1"/>
    <col min="13" max="16384" width="11.42578125" style="376"/>
  </cols>
  <sheetData>
    <row r="1" spans="1:11" ht="10.5" customHeight="1" x14ac:dyDescent="0.25">
      <c r="A1" s="617"/>
      <c r="B1" s="617"/>
      <c r="C1" s="618"/>
      <c r="D1" s="618"/>
      <c r="E1" s="618"/>
      <c r="F1" s="618"/>
      <c r="G1" s="618"/>
      <c r="H1" s="618"/>
      <c r="I1" s="618"/>
      <c r="J1" s="618"/>
    </row>
    <row r="2" spans="1:11" ht="15" customHeight="1" x14ac:dyDescent="0.25">
      <c r="A2" s="200" t="s">
        <v>363</v>
      </c>
      <c r="B2" s="200"/>
      <c r="C2" s="619">
        <v>4444444444</v>
      </c>
      <c r="D2" s="619"/>
      <c r="E2" s="619"/>
      <c r="F2" s="619"/>
      <c r="G2" s="619"/>
      <c r="H2" s="619"/>
      <c r="I2" s="619"/>
      <c r="J2" s="619"/>
      <c r="K2" s="598"/>
    </row>
    <row r="3" spans="1:11" ht="15" customHeight="1" x14ac:dyDescent="0.25">
      <c r="A3" s="200"/>
      <c r="B3" s="200"/>
      <c r="C3" s="620">
        <v>56565665</v>
      </c>
      <c r="D3" s="620"/>
      <c r="E3" s="620"/>
      <c r="F3" s="620"/>
      <c r="G3" s="620"/>
      <c r="H3" s="620"/>
      <c r="I3" s="620"/>
      <c r="J3" s="620"/>
      <c r="K3" s="598"/>
    </row>
    <row r="4" spans="1:11" ht="15" customHeight="1" x14ac:dyDescent="0.25">
      <c r="A4" s="200" t="s">
        <v>364</v>
      </c>
      <c r="B4" s="200"/>
      <c r="C4" s="620" t="s">
        <v>6</v>
      </c>
      <c r="D4" s="620"/>
      <c r="E4" s="620"/>
      <c r="F4" s="620"/>
      <c r="G4" s="620"/>
      <c r="H4" s="620"/>
      <c r="I4" s="620"/>
      <c r="J4" s="620"/>
      <c r="K4" s="598"/>
    </row>
    <row r="5" spans="1:11" ht="15" customHeight="1" x14ac:dyDescent="0.25">
      <c r="A5" s="200" t="s">
        <v>365</v>
      </c>
      <c r="B5" s="200"/>
      <c r="C5" s="621" t="s">
        <v>699</v>
      </c>
      <c r="D5" s="621"/>
      <c r="E5" s="621"/>
      <c r="F5" s="621"/>
      <c r="G5" s="621"/>
      <c r="H5" s="621"/>
      <c r="I5" s="621"/>
      <c r="J5" s="621"/>
      <c r="K5" s="599"/>
    </row>
    <row r="6" spans="1:11" ht="15" x14ac:dyDescent="0.25">
      <c r="A6" s="200" t="s">
        <v>366</v>
      </c>
      <c r="B6" s="200"/>
      <c r="C6" s="620">
        <v>125545</v>
      </c>
      <c r="D6" s="620"/>
      <c r="E6" s="622" t="s">
        <v>367</v>
      </c>
      <c r="F6" s="622"/>
      <c r="G6" s="240">
        <v>46022</v>
      </c>
      <c r="H6" s="611" t="s">
        <v>467</v>
      </c>
      <c r="I6" s="611"/>
      <c r="J6" s="241">
        <v>12</v>
      </c>
      <c r="K6" s="600"/>
    </row>
    <row r="7" spans="1:11" ht="15" x14ac:dyDescent="0.25">
      <c r="A7" s="198" t="s">
        <v>369</v>
      </c>
      <c r="B7" s="24"/>
      <c r="C7" s="615" t="s">
        <v>8</v>
      </c>
      <c r="D7" s="615"/>
      <c r="E7" s="615"/>
      <c r="F7" s="615"/>
      <c r="G7" s="615"/>
      <c r="H7" s="615"/>
      <c r="I7" s="615"/>
      <c r="J7" s="615"/>
      <c r="K7" s="600"/>
    </row>
    <row r="8" spans="1:11" ht="15" x14ac:dyDescent="0.25">
      <c r="A8" s="200" t="s">
        <v>468</v>
      </c>
      <c r="B8" s="24"/>
      <c r="C8" s="616" t="s">
        <v>35</v>
      </c>
      <c r="D8" s="616"/>
      <c r="E8" s="616"/>
      <c r="F8" s="616"/>
      <c r="G8" s="616"/>
      <c r="H8" s="616"/>
      <c r="I8" s="616"/>
      <c r="J8" s="616"/>
      <c r="K8" s="600"/>
    </row>
    <row r="9" spans="1:11" ht="15" x14ac:dyDescent="0.25">
      <c r="A9" s="200"/>
      <c r="B9" s="24"/>
      <c r="C9" s="611" t="s">
        <v>36</v>
      </c>
      <c r="D9" s="611"/>
      <c r="E9" s="611"/>
      <c r="F9" s="611"/>
      <c r="G9" s="611"/>
      <c r="H9" s="611"/>
      <c r="I9" s="611"/>
      <c r="J9" s="611"/>
      <c r="K9" s="600"/>
    </row>
    <row r="10" spans="1:11" ht="15" x14ac:dyDescent="0.25">
      <c r="A10" s="200" t="s">
        <v>469</v>
      </c>
      <c r="B10" s="24"/>
      <c r="C10" s="611" t="s">
        <v>40</v>
      </c>
      <c r="D10" s="611"/>
      <c r="E10" s="611"/>
      <c r="F10" s="611" t="s">
        <v>470</v>
      </c>
      <c r="G10" s="611"/>
      <c r="H10" s="611" t="s">
        <v>38</v>
      </c>
      <c r="I10" s="611"/>
      <c r="J10" s="611"/>
      <c r="K10" s="600"/>
    </row>
    <row r="11" spans="1:11" ht="15" x14ac:dyDescent="0.25">
      <c r="A11" s="200" t="s">
        <v>471</v>
      </c>
      <c r="B11" s="24"/>
      <c r="C11" s="610">
        <v>44713</v>
      </c>
      <c r="D11" s="610"/>
      <c r="E11" s="610"/>
      <c r="F11" s="611" t="s">
        <v>472</v>
      </c>
      <c r="G11" s="611"/>
      <c r="H11" s="610">
        <v>45991</v>
      </c>
      <c r="I11" s="610"/>
      <c r="J11" s="610"/>
      <c r="K11" s="600"/>
    </row>
    <row r="12" spans="1:11" ht="15.75" thickBot="1" x14ac:dyDescent="0.3">
      <c r="A12" s="200"/>
      <c r="B12" s="200"/>
      <c r="C12" s="512"/>
      <c r="D12" s="204"/>
      <c r="E12" s="204"/>
      <c r="F12" s="204"/>
      <c r="G12" s="204"/>
      <c r="H12" s="204"/>
      <c r="I12" s="204"/>
      <c r="J12" s="204"/>
      <c r="K12" s="600"/>
    </row>
    <row r="13" spans="1:11" ht="16.5" thickBot="1" x14ac:dyDescent="0.3">
      <c r="A13" s="612" t="s">
        <v>1189</v>
      </c>
      <c r="B13" s="613"/>
      <c r="C13" s="613"/>
      <c r="D13" s="613"/>
      <c r="E13" s="613"/>
      <c r="F13" s="613"/>
      <c r="G13" s="613"/>
      <c r="H13" s="613"/>
      <c r="I13" s="613"/>
      <c r="J13" s="613"/>
      <c r="K13" s="601"/>
    </row>
    <row r="14" spans="1:11" ht="8.25" customHeight="1" x14ac:dyDescent="0.25">
      <c r="A14" s="28"/>
      <c r="B14" s="28"/>
      <c r="C14" s="555"/>
      <c r="D14" s="555"/>
      <c r="E14" s="555"/>
      <c r="F14" s="555"/>
      <c r="G14" s="555"/>
      <c r="H14" s="555"/>
      <c r="I14" s="555"/>
      <c r="J14" s="28"/>
    </row>
    <row r="15" spans="1:11" ht="31.5" x14ac:dyDescent="0.25">
      <c r="A15" s="591" t="s">
        <v>1666</v>
      </c>
      <c r="B15" s="1465" t="s">
        <v>1647</v>
      </c>
      <c r="C15" s="1466"/>
      <c r="D15" s="1466"/>
      <c r="E15" s="1466"/>
      <c r="F15" s="1467"/>
      <c r="G15" s="591" t="s">
        <v>1671</v>
      </c>
      <c r="H15" s="591" t="s">
        <v>1672</v>
      </c>
      <c r="I15" s="1465" t="s">
        <v>1673</v>
      </c>
      <c r="J15" s="1467"/>
    </row>
    <row r="16" spans="1:11" ht="15" x14ac:dyDescent="0.25">
      <c r="A16" s="602"/>
      <c r="B16" s="1460"/>
      <c r="C16" s="1461"/>
      <c r="D16" s="1461"/>
      <c r="E16" s="1461"/>
      <c r="F16" s="1462"/>
      <c r="G16" s="604"/>
      <c r="H16" s="568"/>
      <c r="I16" s="1463"/>
      <c r="J16" s="1464"/>
    </row>
    <row r="17" spans="1:10" ht="15" x14ac:dyDescent="0.25">
      <c r="A17" s="602"/>
      <c r="B17" s="1460"/>
      <c r="C17" s="1461"/>
      <c r="D17" s="1461"/>
      <c r="E17" s="1461"/>
      <c r="F17" s="1462"/>
      <c r="G17" s="604"/>
      <c r="H17" s="568"/>
      <c r="I17" s="1463"/>
      <c r="J17" s="1464"/>
    </row>
    <row r="18" spans="1:10" ht="15" x14ac:dyDescent="0.25">
      <c r="A18" s="602"/>
      <c r="B18" s="1460"/>
      <c r="C18" s="1461"/>
      <c r="D18" s="1461"/>
      <c r="E18" s="1461"/>
      <c r="F18" s="1462"/>
      <c r="G18" s="604"/>
      <c r="H18" s="568"/>
      <c r="I18" s="1463"/>
      <c r="J18" s="1464"/>
    </row>
    <row r="19" spans="1:10" ht="15" x14ac:dyDescent="0.25">
      <c r="A19" s="602"/>
      <c r="B19" s="1460"/>
      <c r="C19" s="1461"/>
      <c r="D19" s="1461"/>
      <c r="E19" s="1461"/>
      <c r="F19" s="1462"/>
      <c r="G19" s="604"/>
      <c r="H19" s="568"/>
      <c r="I19" s="1463"/>
      <c r="J19" s="1464"/>
    </row>
    <row r="20" spans="1:10" ht="15" x14ac:dyDescent="0.25">
      <c r="A20" s="602"/>
      <c r="B20" s="1460"/>
      <c r="C20" s="1461"/>
      <c r="D20" s="1461"/>
      <c r="E20" s="1461"/>
      <c r="F20" s="1462"/>
      <c r="G20" s="604"/>
      <c r="H20" s="568"/>
      <c r="I20" s="1463"/>
      <c r="J20" s="1464"/>
    </row>
    <row r="21" spans="1:10" ht="15" x14ac:dyDescent="0.25">
      <c r="A21" s="602"/>
      <c r="B21" s="1460"/>
      <c r="C21" s="1461"/>
      <c r="D21" s="1461"/>
      <c r="E21" s="1461"/>
      <c r="F21" s="1462"/>
      <c r="G21" s="604"/>
      <c r="H21" s="568"/>
      <c r="I21" s="1463"/>
      <c r="J21" s="1464"/>
    </row>
    <row r="22" spans="1:10" ht="15" x14ac:dyDescent="0.25">
      <c r="A22" s="602"/>
      <c r="B22" s="1460"/>
      <c r="C22" s="1461"/>
      <c r="D22" s="1461"/>
      <c r="E22" s="1461"/>
      <c r="F22" s="1462"/>
      <c r="G22" s="604"/>
      <c r="H22" s="568"/>
      <c r="I22" s="1463"/>
      <c r="J22" s="1464"/>
    </row>
    <row r="23" spans="1:10" ht="15" x14ac:dyDescent="0.25">
      <c r="A23" s="602"/>
      <c r="B23" s="1460"/>
      <c r="C23" s="1461"/>
      <c r="D23" s="1461"/>
      <c r="E23" s="1461"/>
      <c r="F23" s="1462"/>
      <c r="G23" s="604"/>
      <c r="H23" s="568"/>
      <c r="I23" s="1463"/>
      <c r="J23" s="1464"/>
    </row>
    <row r="24" spans="1:10" ht="15" x14ac:dyDescent="0.25">
      <c r="A24" s="602"/>
      <c r="B24" s="1460"/>
      <c r="C24" s="1461"/>
      <c r="D24" s="1461"/>
      <c r="E24" s="1461"/>
      <c r="F24" s="1462"/>
      <c r="G24" s="604"/>
      <c r="H24" s="568"/>
      <c r="I24" s="1463"/>
      <c r="J24" s="1464"/>
    </row>
    <row r="25" spans="1:10" ht="15" x14ac:dyDescent="0.25">
      <c r="A25" s="602"/>
      <c r="B25" s="1460"/>
      <c r="C25" s="1461"/>
      <c r="D25" s="1461"/>
      <c r="E25" s="1461"/>
      <c r="F25" s="1462"/>
      <c r="G25" s="604"/>
      <c r="H25" s="568"/>
      <c r="I25" s="1463"/>
      <c r="J25" s="1464"/>
    </row>
    <row r="26" spans="1:10" ht="15" x14ac:dyDescent="0.25">
      <c r="A26" s="602"/>
      <c r="B26" s="1460"/>
      <c r="C26" s="1461"/>
      <c r="D26" s="1461"/>
      <c r="E26" s="1461"/>
      <c r="F26" s="1462"/>
      <c r="G26" s="604"/>
      <c r="H26" s="568"/>
      <c r="I26" s="1463"/>
      <c r="J26" s="1464"/>
    </row>
    <row r="27" spans="1:10" ht="15" x14ac:dyDescent="0.25">
      <c r="A27" s="602"/>
      <c r="B27" s="1460"/>
      <c r="C27" s="1461"/>
      <c r="D27" s="1461"/>
      <c r="E27" s="1461"/>
      <c r="F27" s="1462"/>
      <c r="G27" s="604"/>
      <c r="H27" s="568"/>
      <c r="I27" s="1463"/>
      <c r="J27" s="1464"/>
    </row>
    <row r="28" spans="1:10" ht="15" x14ac:dyDescent="0.25">
      <c r="A28" s="602"/>
      <c r="B28" s="1460"/>
      <c r="C28" s="1461"/>
      <c r="D28" s="1461"/>
      <c r="E28" s="1461"/>
      <c r="F28" s="1462"/>
      <c r="G28" s="604"/>
      <c r="H28" s="568"/>
      <c r="I28" s="1463"/>
      <c r="J28" s="1464"/>
    </row>
    <row r="29" spans="1:10" ht="15" x14ac:dyDescent="0.25">
      <c r="A29" s="602"/>
      <c r="B29" s="1460"/>
      <c r="C29" s="1461"/>
      <c r="D29" s="1461"/>
      <c r="E29" s="1461"/>
      <c r="F29" s="1462"/>
      <c r="G29" s="604"/>
      <c r="H29" s="568"/>
      <c r="I29" s="1463"/>
      <c r="J29" s="1464"/>
    </row>
    <row r="30" spans="1:10" ht="15" x14ac:dyDescent="0.25">
      <c r="A30" s="602"/>
      <c r="B30" s="1460"/>
      <c r="C30" s="1461"/>
      <c r="D30" s="1461"/>
      <c r="E30" s="1461"/>
      <c r="F30" s="1462"/>
      <c r="G30" s="604"/>
      <c r="H30" s="568"/>
      <c r="I30" s="1463"/>
      <c r="J30" s="1464"/>
    </row>
    <row r="31" spans="1:10" ht="15" x14ac:dyDescent="0.25">
      <c r="A31" s="602"/>
      <c r="B31" s="1460"/>
      <c r="C31" s="1461"/>
      <c r="D31" s="1461"/>
      <c r="E31" s="1461"/>
      <c r="F31" s="1462"/>
      <c r="G31" s="604"/>
      <c r="H31" s="568"/>
      <c r="I31" s="1463"/>
      <c r="J31" s="1464"/>
    </row>
    <row r="32" spans="1:10" ht="15" x14ac:dyDescent="0.25">
      <c r="A32" s="602"/>
      <c r="B32" s="1460"/>
      <c r="C32" s="1461"/>
      <c r="D32" s="1461"/>
      <c r="E32" s="1461"/>
      <c r="F32" s="1462"/>
      <c r="G32" s="604"/>
      <c r="H32" s="568"/>
      <c r="I32" s="1463"/>
      <c r="J32" s="1464"/>
    </row>
    <row r="33" spans="1:10" ht="15" x14ac:dyDescent="0.25">
      <c r="A33" s="602"/>
      <c r="B33" s="1460"/>
      <c r="C33" s="1461"/>
      <c r="D33" s="1461"/>
      <c r="E33" s="1461"/>
      <c r="F33" s="1462"/>
      <c r="G33" s="604"/>
      <c r="H33" s="568"/>
      <c r="I33" s="1463"/>
      <c r="J33" s="1464"/>
    </row>
    <row r="34" spans="1:10" ht="15" x14ac:dyDescent="0.25">
      <c r="A34" s="602"/>
      <c r="B34" s="1460"/>
      <c r="C34" s="1461"/>
      <c r="D34" s="1461"/>
      <c r="E34" s="1461"/>
      <c r="F34" s="1462"/>
      <c r="G34" s="604"/>
      <c r="H34" s="568"/>
      <c r="I34" s="1463"/>
      <c r="J34" s="1464"/>
    </row>
    <row r="35" spans="1:10" ht="15" x14ac:dyDescent="0.25">
      <c r="A35" s="602"/>
      <c r="B35" s="1460"/>
      <c r="C35" s="1461"/>
      <c r="D35" s="1461"/>
      <c r="E35" s="1461"/>
      <c r="F35" s="1462"/>
      <c r="G35" s="604"/>
      <c r="H35" s="568"/>
      <c r="I35" s="1463"/>
      <c r="J35" s="1464"/>
    </row>
    <row r="36" spans="1:10" ht="15" x14ac:dyDescent="0.25">
      <c r="A36" s="602"/>
      <c r="B36" s="1460"/>
      <c r="C36" s="1461"/>
      <c r="D36" s="1461"/>
      <c r="E36" s="1461"/>
      <c r="F36" s="1462"/>
      <c r="G36" s="604"/>
      <c r="H36" s="568"/>
      <c r="I36" s="1463"/>
      <c r="J36" s="1464"/>
    </row>
    <row r="37" spans="1:10" ht="15" x14ac:dyDescent="0.25">
      <c r="A37" s="607" t="s">
        <v>825</v>
      </c>
      <c r="B37" s="608"/>
      <c r="C37" s="608"/>
      <c r="D37" s="608"/>
      <c r="E37" s="608"/>
      <c r="F37" s="608"/>
      <c r="G37" s="608"/>
      <c r="H37" s="609"/>
      <c r="I37" s="1458"/>
      <c r="J37" s="1459"/>
    </row>
    <row r="38" spans="1:10" ht="15" x14ac:dyDescent="0.25"/>
  </sheetData>
  <mergeCells count="64">
    <mergeCell ref="C6:D6"/>
    <mergeCell ref="E6:F6"/>
    <mergeCell ref="H6:I6"/>
    <mergeCell ref="A1:J1"/>
    <mergeCell ref="C2:J2"/>
    <mergeCell ref="C3:J3"/>
    <mergeCell ref="C4:J4"/>
    <mergeCell ref="C5:J5"/>
    <mergeCell ref="C7:J7"/>
    <mergeCell ref="C8:J8"/>
    <mergeCell ref="C9:J9"/>
    <mergeCell ref="C10:E10"/>
    <mergeCell ref="F10:G10"/>
    <mergeCell ref="H10:J10"/>
    <mergeCell ref="C11:E11"/>
    <mergeCell ref="F11:G11"/>
    <mergeCell ref="H11:J11"/>
    <mergeCell ref="A13:J13"/>
    <mergeCell ref="B15:F15"/>
    <mergeCell ref="I15:J15"/>
    <mergeCell ref="B16:F16"/>
    <mergeCell ref="I16:J16"/>
    <mergeCell ref="B17:F17"/>
    <mergeCell ref="I17:J17"/>
    <mergeCell ref="B18:F18"/>
    <mergeCell ref="I18:J18"/>
    <mergeCell ref="B19:F19"/>
    <mergeCell ref="I19:J19"/>
    <mergeCell ref="B20:F20"/>
    <mergeCell ref="I20:J20"/>
    <mergeCell ref="B21:F21"/>
    <mergeCell ref="I21:J21"/>
    <mergeCell ref="B22:F22"/>
    <mergeCell ref="I22:J22"/>
    <mergeCell ref="B23:F23"/>
    <mergeCell ref="I23:J23"/>
    <mergeCell ref="B24:F24"/>
    <mergeCell ref="I24:J24"/>
    <mergeCell ref="B25:F25"/>
    <mergeCell ref="I25:J25"/>
    <mergeCell ref="B26:F26"/>
    <mergeCell ref="I26:J26"/>
    <mergeCell ref="B27:F27"/>
    <mergeCell ref="I27:J27"/>
    <mergeCell ref="B28:F28"/>
    <mergeCell ref="I28:J28"/>
    <mergeCell ref="B29:F29"/>
    <mergeCell ref="I29:J29"/>
    <mergeCell ref="B30:F30"/>
    <mergeCell ref="I30:J30"/>
    <mergeCell ref="B31:F31"/>
    <mergeCell ref="I31:J31"/>
    <mergeCell ref="B32:F32"/>
    <mergeCell ref="I32:J32"/>
    <mergeCell ref="B33:F33"/>
    <mergeCell ref="I33:J33"/>
    <mergeCell ref="A37:H37"/>
    <mergeCell ref="I37:J37"/>
    <mergeCell ref="B34:F34"/>
    <mergeCell ref="I34:J34"/>
    <mergeCell ref="B35:F35"/>
    <mergeCell ref="I35:J35"/>
    <mergeCell ref="B36:F36"/>
    <mergeCell ref="I36:J36"/>
  </mergeCell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F4AA6-48D1-4AFE-8CD1-5C812E6CF232}">
  <dimension ref="A1"/>
  <sheetViews>
    <sheetView workbookViewId="0"/>
  </sheetViews>
  <sheetFormatPr baseColWidth="10" defaultRowHeight="15" x14ac:dyDescent="0.25"/>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5ABDA-301F-4262-8026-30A7553145B3}">
  <dimension ref="A1"/>
  <sheetViews>
    <sheetView workbookViewId="0"/>
  </sheetViews>
  <sheetFormatPr baseColWidth="10" defaultRowHeight="15" x14ac:dyDescent="0.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E568D-A9BC-4365-A095-B982E92AFB57}">
  <dimension ref="A1"/>
  <sheetViews>
    <sheetView workbookViewId="0"/>
  </sheetViews>
  <sheetFormatPr baseColWidth="10" defaultRowHeight="15" x14ac:dyDescent="0.25"/>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85317-838E-4ED7-8061-23C1705E19A6}">
  <dimension ref="A1"/>
  <sheetViews>
    <sheetView workbookViewId="0"/>
  </sheetViews>
  <sheetFormatPr baseColWidth="10" defaultRowHeight="15" x14ac:dyDescent="0.25"/>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F1F2D-292F-4DD2-AB2E-DD7947E30935}">
  <dimension ref="A1"/>
  <sheetViews>
    <sheetView workbookViewId="0"/>
  </sheetViews>
  <sheetFormatPr baseColWidth="10" defaultRowHeight="15" x14ac:dyDescent="0.25"/>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E4807-F8B1-4B1C-BC24-2563D538B98F}">
  <dimension ref="A1"/>
  <sheetViews>
    <sheetView workbookViewId="0"/>
  </sheetViews>
  <sheetFormatPr baseColWidth="10" defaultRowHeight="15" x14ac:dyDescent="0.25"/>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9D57A-575A-4A16-8E89-B1B16C7039A2}">
  <dimension ref="A1"/>
  <sheetViews>
    <sheetView workbookViewId="0"/>
  </sheetViews>
  <sheetFormatPr baseColWidth="10" defaultRowHeight="15" x14ac:dyDescent="0.25"/>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14E7E-5A70-402D-B2D5-971020CE3059}">
  <dimension ref="A1"/>
  <sheetViews>
    <sheetView workbookViewId="0"/>
  </sheetViews>
  <sheetFormatPr baseColWidth="10" defaultRowHeight="15" x14ac:dyDescent="0.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A0BE-D597-4658-B9B9-385E599677D6}">
  <dimension ref="A1"/>
  <sheetViews>
    <sheetView workbookViewId="0"/>
  </sheetViews>
  <sheetFormatPr baseColWidth="10" defaultRowHeight="15" x14ac:dyDescent="0.25"/>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87BF4-7D1B-4DA1-A3F9-AE506374B387}">
  <dimension ref="A1"/>
  <sheetViews>
    <sheetView workbookViewId="0"/>
  </sheetViews>
  <sheetFormatPr baseColWidth="10" defaultRowHeight="15" x14ac:dyDescent="0.25"/>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EF7C6-9966-4FCA-A8D6-6B9FDC3EA930}">
  <dimension ref="A1"/>
  <sheetViews>
    <sheetView workbookViewId="0"/>
  </sheetViews>
  <sheetFormatPr baseColWidth="10" defaultRowHeight="15" x14ac:dyDescent="0.25"/>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F2AC-E396-4E6F-ADA1-F66566ED7856}">
  <dimension ref="A1"/>
  <sheetViews>
    <sheetView workbookViewId="0"/>
  </sheetViews>
  <sheetFormatPr baseColWidth="10" defaultRowHeight="15" x14ac:dyDescent="0.25"/>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D8C03-76CB-4FF4-A441-D7B1019D7595}">
  <dimension ref="A1"/>
  <sheetViews>
    <sheetView workbookViewId="0"/>
  </sheetViews>
  <sheetFormatPr baseColWidth="10" defaultRowHeight="15" x14ac:dyDescent="0.25"/>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073E9-0CC3-42E9-96D9-DD9371082EF6}">
  <dimension ref="A1"/>
  <sheetViews>
    <sheetView workbookViewId="0"/>
  </sheetViews>
  <sheetFormatPr baseColWidth="10" defaultRowHeight="15" x14ac:dyDescent="0.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7FB6-04B0-4743-89B5-FF68B577328C}">
  <dimension ref="A1"/>
  <sheetViews>
    <sheetView workbookViewId="0"/>
  </sheetViews>
  <sheetFormatPr baseColWidth="10" defaultRowHeight="15" x14ac:dyDescent="0.25"/>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7378D-71E2-4066-A74A-F5A7061BA1B8}">
  <dimension ref="A1"/>
  <sheetViews>
    <sheetView workbookViewId="0"/>
  </sheetViews>
  <sheetFormatPr baseColWidth="10" defaultRowHeight="15" x14ac:dyDescent="0.25"/>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F4F3-953A-460F-A13A-60397F837017}">
  <dimension ref="A1"/>
  <sheetViews>
    <sheetView workbookViewId="0"/>
  </sheetViews>
  <sheetFormatPr baseColWidth="10" defaultRowHeight="15" x14ac:dyDescent="0.25"/>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D69A-3298-489B-A05E-1C1F375810C2}">
  <dimension ref="A1"/>
  <sheetViews>
    <sheetView workbookViewId="0"/>
  </sheetViews>
  <sheetFormatPr baseColWidth="10" defaultRowHeight="15" x14ac:dyDescent="0.25"/>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BA2F2-8E7F-46E3-B3FA-535424173982}">
  <dimension ref="A1"/>
  <sheetViews>
    <sheetView workbookViewId="0"/>
  </sheetViews>
  <sheetFormatPr baseColWidth="10" defaultRowHeight="15" x14ac:dyDescent="0.25"/>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F1CBA-1AD5-48FC-83F1-57D66BD761D5}">
  <dimension ref="A1"/>
  <sheetViews>
    <sheetView workbookViewId="0"/>
  </sheetViews>
  <sheetFormatPr baseColWidth="10" defaultRowHeight="15" x14ac:dyDescent="0.25"/>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E66F0-92B5-434C-B2DF-F90F0A874FF9}">
  <dimension ref="A1"/>
  <sheetViews>
    <sheetView workbookViewId="0"/>
  </sheetViews>
  <sheetFormatPr baseColWidth="10" defaultRowHeight="15" x14ac:dyDescent="0.25"/>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168A7-6422-47DA-99E7-FECCE2B25694}">
  <dimension ref="A1"/>
  <sheetViews>
    <sheetView workbookViewId="0"/>
  </sheetViews>
  <sheetFormatPr baseColWidth="10" defaultRowHeight="15" x14ac:dyDescent="0.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AC4D5-A2E1-4792-B1AF-7D156319447D}">
  <dimension ref="A1"/>
  <sheetViews>
    <sheetView workbookViewId="0"/>
  </sheetViews>
  <sheetFormatPr baseColWidth="10" defaultRowHeight="15" x14ac:dyDescent="0.25"/>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FDB14-6274-4B5A-88D6-5783C15C77E1}">
  <dimension ref="A1"/>
  <sheetViews>
    <sheetView workbookViewId="0"/>
  </sheetViews>
  <sheetFormatPr baseColWidth="10" defaultRowHeight="15" x14ac:dyDescent="0.25"/>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6CE0-DC15-4323-BE65-676D0670B9C2}">
  <dimension ref="A1"/>
  <sheetViews>
    <sheetView workbookViewId="0"/>
  </sheetViews>
  <sheetFormatPr baseColWidth="10" defaultRowHeight="15" x14ac:dyDescent="0.25"/>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E9ED9-94C8-44C8-A0CC-A27945C26659}">
  <dimension ref="A1"/>
  <sheetViews>
    <sheetView workbookViewId="0"/>
  </sheetViews>
  <sheetFormatPr baseColWidth="10" defaultRowHeight="15" x14ac:dyDescent="0.25"/>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08903-DA8F-4249-B7C7-F7AEC114A0D4}">
  <dimension ref="A1"/>
  <sheetViews>
    <sheetView workbookViewId="0"/>
  </sheetViews>
  <sheetFormatPr baseColWidth="10" defaultRowHeight="15" x14ac:dyDescent="0.25"/>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E193C-5648-4421-B8C9-7A1425D8D732}">
  <dimension ref="A1"/>
  <sheetViews>
    <sheetView workbookViewId="0"/>
  </sheetViews>
  <sheetFormatPr baseColWidth="10" defaultRowHeight="15" x14ac:dyDescent="0.25"/>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87F4-1ABE-49B9-9D79-9D2D533815AE}">
  <dimension ref="A1"/>
  <sheetViews>
    <sheetView workbookViewId="0"/>
  </sheetViews>
  <sheetFormatPr baseColWidth="10" defaultRowHeight="15" x14ac:dyDescent="0.25"/>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9F970-1C98-4A97-906F-2D6B0C6372E5}">
  <dimension ref="A1"/>
  <sheetViews>
    <sheetView workbookViewId="0"/>
  </sheetViews>
  <sheetFormatPr baseColWidth="10" defaultRowHeight="15" x14ac:dyDescent="0.25"/>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1E59F-C39B-4309-A0DE-FD1DE3096548}">
  <dimension ref="A1"/>
  <sheetViews>
    <sheetView workbookViewId="0"/>
  </sheetViews>
  <sheetFormatPr baseColWidth="10" defaultRowHeight="15" x14ac:dyDescent="0.25"/>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8D251-A97B-4E5B-A59F-F59E8D2855F8}">
  <dimension ref="A1"/>
  <sheetViews>
    <sheetView workbookViewId="0"/>
  </sheetViews>
  <sheetFormatPr baseColWidth="10" defaultRowHeight="15" x14ac:dyDescent="0.25"/>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BFAA-DD4B-49A9-B7AA-20005F59532F}">
  <dimension ref="A1"/>
  <sheetViews>
    <sheetView workbookViewId="0"/>
  </sheetViews>
  <sheetFormatPr baseColWidth="10" defaultRowHeight="15" x14ac:dyDescent="0.25"/>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79B24-07A2-4046-81C1-261E256C6EEB}">
  <dimension ref="A1"/>
  <sheetViews>
    <sheetView workbookViewId="0"/>
  </sheetViews>
  <sheetFormatPr baseColWidth="10" defaultRowHeight="15" x14ac:dyDescent="0.25"/>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AE017-3BCA-49C9-BC81-C5CB7D771D5E}">
  <dimension ref="A1"/>
  <sheetViews>
    <sheetView workbookViewId="0"/>
  </sheetViews>
  <sheetFormatPr baseColWidth="10" defaultRowHeight="15" x14ac:dyDescent="0.25"/>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550D-6503-40A0-ABA4-7C602457E7CA}">
  <dimension ref="A1"/>
  <sheetViews>
    <sheetView workbookViewId="0"/>
  </sheetViews>
  <sheetFormatPr baseColWidth="10" defaultRowHeight="15" x14ac:dyDescent="0.25"/>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54F8-6C3B-41EA-BCDC-4DD12A8339F2}">
  <dimension ref="A1"/>
  <sheetViews>
    <sheetView workbookViewId="0"/>
  </sheetViews>
  <sheetFormatPr baseColWidth="10" defaultRowHeight="15" x14ac:dyDescent="0.25"/>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3CA22-5459-44C1-BF3B-4360BAE039E2}">
  <dimension ref="A1"/>
  <sheetViews>
    <sheetView workbookViewId="0"/>
  </sheetViews>
  <sheetFormatPr baseColWidth="10" defaultRowHeight="15" x14ac:dyDescent="0.25"/>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73A0-D6F8-4D7D-9DB0-C814F926B8F1}">
  <dimension ref="A1"/>
  <sheetViews>
    <sheetView workbookViewId="0"/>
  </sheetViews>
  <sheetFormatPr baseColWidth="10" defaultRowHeight="15" x14ac:dyDescent="0.25"/>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EC1B1-FCBD-4F16-AAAE-487D907619AD}">
  <dimension ref="A1"/>
  <sheetViews>
    <sheetView workbookViewId="0"/>
  </sheetViews>
  <sheetFormatPr baseColWidth="10" defaultRowHeight="15" x14ac:dyDescent="0.25"/>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51D0-10E9-4769-8C38-9B10395FBDB5}">
  <dimension ref="A1"/>
  <sheetViews>
    <sheetView workbookViewId="0"/>
  </sheetViews>
  <sheetFormatPr baseColWidth="10" defaultRowHeight="15" x14ac:dyDescent="0.25"/>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EF171-E297-42FF-9D3A-FB217FE37059}">
  <dimension ref="A1"/>
  <sheetViews>
    <sheetView workbookViewId="0"/>
  </sheetViews>
  <sheetFormatPr baseColWidth="10" defaultRowHeight="15" x14ac:dyDescent="0.25"/>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29341-29E0-4A0F-9CA3-C3730CC94B43}">
  <dimension ref="A1"/>
  <sheetViews>
    <sheetView workbookViewId="0"/>
  </sheetViews>
  <sheetFormatPr baseColWidth="10" defaultRowHeight="15" x14ac:dyDescent="0.25"/>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D0875-B5C0-4958-9E1F-AD46A5FA3182}">
  <dimension ref="A1"/>
  <sheetViews>
    <sheetView workbookViewId="0"/>
  </sheetViews>
  <sheetFormatPr baseColWidth="10" defaultRowHeight="15" x14ac:dyDescent="0.25"/>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5FEB9-833A-4339-B398-9D12971D9249}">
  <dimension ref="A1"/>
  <sheetViews>
    <sheetView workbookViewId="0"/>
  </sheetViews>
  <sheetFormatPr baseColWidth="10" defaultRowHeight="15" x14ac:dyDescent="0.25"/>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09671-2556-43BC-813B-F1FCBC216435}">
  <dimension ref="A1"/>
  <sheetViews>
    <sheetView workbookViewId="0"/>
  </sheetViews>
  <sheetFormatPr baseColWidth="10" defaultRowHeight="15" x14ac:dyDescent="0.25"/>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7602-22C5-4F91-AF11-2AA998DA7DF8}">
  <dimension ref="A1"/>
  <sheetViews>
    <sheetView workbookViewId="0"/>
  </sheetViews>
  <sheetFormatPr baseColWidth="10" defaultRowHeight="15" x14ac:dyDescent="0.25"/>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155AC-3527-4097-9F4B-F888641936D8}">
  <dimension ref="A1"/>
  <sheetViews>
    <sheetView workbookViewId="0"/>
  </sheetViews>
  <sheetFormatPr baseColWidth="10" defaultRowHeight="15" x14ac:dyDescent="0.25"/>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2F887-BB69-45B7-ACE5-2A3256D2E0E0}">
  <dimension ref="A1"/>
  <sheetViews>
    <sheetView workbookViewId="0"/>
  </sheetViews>
  <sheetFormatPr baseColWidth="10" defaultRowHeight="15" x14ac:dyDescent="0.25"/>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BABD9-DCFC-49EF-8138-D642A7861C31}">
  <dimension ref="A1"/>
  <sheetViews>
    <sheetView workbookViewId="0"/>
  </sheetViews>
  <sheetFormatPr baseColWidth="10" defaultRowHeight="15" x14ac:dyDescent="0.25"/>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C506-B461-4425-BFFF-D7331DB4BBCE}">
  <dimension ref="A1"/>
  <sheetViews>
    <sheetView workbookViewId="0"/>
  </sheetViews>
  <sheetFormatPr baseColWidth="10" defaultRowHeight="15" x14ac:dyDescent="0.25"/>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1E4CE-BDE4-4337-BEC3-3A39652898CA}">
  <dimension ref="A1"/>
  <sheetViews>
    <sheetView workbookViewId="0"/>
  </sheetViews>
  <sheetFormatPr baseColWidth="10" defaultRowHeight="15" x14ac:dyDescent="0.25"/>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A0A4E-5B6B-4994-B82E-6C3756FCBA3A}">
  <dimension ref="A1"/>
  <sheetViews>
    <sheetView workbookViewId="0"/>
  </sheetViews>
  <sheetFormatPr baseColWidth="10" defaultRowHeight="15" x14ac:dyDescent="0.25"/>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0CCA-706B-4D63-8A08-1CC1181F2A19}">
  <dimension ref="A1"/>
  <sheetViews>
    <sheetView workbookViewId="0"/>
  </sheetViews>
  <sheetFormatPr baseColWidth="10" defaultRowHeight="15" x14ac:dyDescent="0.25"/>
  <sheetData/>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3240A-39AB-4DBC-9E66-F5C360A7F0B6}">
  <dimension ref="A1"/>
  <sheetViews>
    <sheetView workbookViewId="0"/>
  </sheetViews>
  <sheetFormatPr baseColWidth="10" defaultRowHeight="15" x14ac:dyDescent="0.25"/>
  <sheetData/>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0A28-6102-4B2B-86E3-3B238FEC6789}">
  <dimension ref="A1"/>
  <sheetViews>
    <sheetView workbookViewId="0"/>
  </sheetViews>
  <sheetFormatPr baseColWidth="10" defaultRowHeight="15" x14ac:dyDescent="0.25"/>
  <sheetData/>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57EC5-1169-470C-BB08-E80335538FEF}">
  <dimension ref="A1"/>
  <sheetViews>
    <sheetView workbookViewId="0"/>
  </sheetViews>
  <sheetFormatPr baseColWidth="10" defaultRowHeight="15" x14ac:dyDescent="0.25"/>
  <sheetData/>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E87E9-E3DF-42E0-9903-062C5441E1AE}">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127</vt:i4>
      </vt:variant>
    </vt:vector>
  </HeadingPairs>
  <TitlesOfParts>
    <vt:vector size="127" baseType="lpstr">
      <vt:lpstr>IDENTIFICATION</vt:lpstr>
      <vt:lpstr>Navigation</vt:lpstr>
      <vt:lpstr>Impression</vt:lpstr>
      <vt:lpstr>ANNEE N</vt:lpstr>
      <vt:lpstr>ANNEE N-1</vt:lpstr>
      <vt:lpstr>PG</vt:lpstr>
      <vt:lpstr>CONDITIONS</vt:lpstr>
      <vt:lpstr>CODES</vt:lpstr>
      <vt:lpstr>R1</vt:lpstr>
      <vt:lpstr>R2</vt:lpstr>
      <vt:lpstr>R3</vt:lpstr>
      <vt:lpstr>PG BILAN</vt:lpstr>
      <vt:lpstr>BILAN</vt:lpstr>
      <vt:lpstr>PG CPTE EXPLOITATION</vt:lpstr>
      <vt:lpstr>CPTE EXPLOITATION</vt:lpstr>
      <vt:lpstr>TER</vt:lpstr>
      <vt:lpstr>TEB</vt:lpstr>
      <vt:lpstr>TRT</vt:lpstr>
      <vt:lpstr>PG NOTES</vt:lpstr>
      <vt:lpstr>NOTES</vt:lpstr>
      <vt:lpstr>NOTE 1</vt:lpstr>
      <vt:lpstr>NOTE 2</vt:lpstr>
      <vt:lpstr>NOTE 3A</vt:lpstr>
      <vt:lpstr>NOTE 3B</vt:lpstr>
      <vt:lpstr>NOTE 4</vt:lpstr>
      <vt:lpstr>NOTE 5</vt:lpstr>
      <vt:lpstr>NOTE 6</vt:lpstr>
      <vt:lpstr>NOTE 7</vt:lpstr>
      <vt:lpstr>NOTE 8</vt:lpstr>
      <vt:lpstr>NOTE 9</vt:lpstr>
      <vt:lpstr>NOTE 10</vt:lpstr>
      <vt:lpstr>NOTE 11</vt:lpstr>
      <vt:lpstr>NOTE 12</vt:lpstr>
      <vt:lpstr>NOTE 13</vt:lpstr>
      <vt:lpstr>NOTE 14</vt:lpstr>
      <vt:lpstr>NOTE 15</vt:lpstr>
      <vt:lpstr>NOTE 16</vt:lpstr>
      <vt:lpstr>NOTE 17</vt:lpstr>
      <vt:lpstr>NOTE 18</vt:lpstr>
      <vt:lpstr>NOTE 19</vt:lpstr>
      <vt:lpstr>NOTE 20A</vt:lpstr>
      <vt:lpstr>NOTE 20B</vt:lpstr>
      <vt:lpstr>NOTE 21</vt:lpstr>
      <vt:lpstr>NOTE 22</vt:lpstr>
      <vt:lpstr>NOTE 23</vt:lpstr>
      <vt:lpstr>PG DGI</vt:lpstr>
      <vt:lpstr>LISTE DGI</vt:lpstr>
      <vt:lpstr>CHARGES 1</vt:lpstr>
      <vt:lpstr>CHARGES 2</vt:lpstr>
      <vt:lpstr>CHARGES 3</vt:lpstr>
      <vt:lpstr>CHARGES 4</vt:lpstr>
      <vt:lpstr>PRODUITS 1</vt:lpstr>
      <vt:lpstr>PRODUITS 2</vt:lpstr>
      <vt:lpstr>TVA</vt:lpstr>
      <vt:lpstr>STAT UEMOA</vt:lpstr>
      <vt:lpstr>IMMO AMORT</vt:lpstr>
      <vt:lpstr>FRAIS ACCES ACHATS</vt:lpstr>
      <vt:lpstr>AVANT NATURE</vt:lpstr>
      <vt:lpstr>CREANCES</vt:lpstr>
      <vt:lpstr>DEB_MOB_MAT_LOG</vt:lpstr>
      <vt:lpstr>DETTES</vt:lpstr>
      <vt:lpstr>CREDITEURS_DIV_IMPOT</vt:lpstr>
      <vt:lpstr>ETAT SALAIRES</vt:lpstr>
      <vt:lpstr>COMM-VACATIONS</vt:lpstr>
      <vt:lpstr>LOYERS</vt:lpstr>
      <vt:lpstr>PRINCIPAUX CLIENTS</vt:lpstr>
      <vt:lpstr>PRINCIPAUX FRS</vt:lpstr>
      <vt:lpstr>PRINCIPAUX DONATEURS</vt:lpstr>
      <vt:lpstr>SOMMES VERSEES AU CA</vt:lpstr>
      <vt:lpstr>Feuil70</vt:lpstr>
      <vt:lpstr>Feuil71</vt:lpstr>
      <vt:lpstr>Feuil72</vt:lpstr>
      <vt:lpstr>Feuil73</vt:lpstr>
      <vt:lpstr>Feuil74</vt:lpstr>
      <vt:lpstr>Feuil75</vt:lpstr>
      <vt:lpstr>Feuil76</vt:lpstr>
      <vt:lpstr>Feuil77</vt:lpstr>
      <vt:lpstr>Feuil78</vt:lpstr>
      <vt:lpstr>Feuil79</vt:lpstr>
      <vt:lpstr>Feuil80</vt:lpstr>
      <vt:lpstr>Feuil81</vt:lpstr>
      <vt:lpstr>Feuil82</vt:lpstr>
      <vt:lpstr>Feuil83</vt:lpstr>
      <vt:lpstr>Feuil84</vt:lpstr>
      <vt:lpstr>Feuil85</vt:lpstr>
      <vt:lpstr>Feuil86</vt:lpstr>
      <vt:lpstr>Feuil87</vt:lpstr>
      <vt:lpstr>Feuil88</vt:lpstr>
      <vt:lpstr>Feuil89</vt:lpstr>
      <vt:lpstr>Feuil90</vt:lpstr>
      <vt:lpstr>Feuil91</vt:lpstr>
      <vt:lpstr>Feuil92</vt:lpstr>
      <vt:lpstr>Feuil93</vt:lpstr>
      <vt:lpstr>Feuil94</vt:lpstr>
      <vt:lpstr>Feuil95</vt:lpstr>
      <vt:lpstr>Feuil96</vt:lpstr>
      <vt:lpstr>Feuil97</vt:lpstr>
      <vt:lpstr>Feuil98</vt:lpstr>
      <vt:lpstr>Feuil99</vt:lpstr>
      <vt:lpstr>Feuil100</vt:lpstr>
      <vt:lpstr>Feuil101</vt:lpstr>
      <vt:lpstr>Feuil102</vt:lpstr>
      <vt:lpstr>Feuil103</vt:lpstr>
      <vt:lpstr>Feuil104</vt:lpstr>
      <vt:lpstr>Feuil105</vt:lpstr>
      <vt:lpstr>Feuil106</vt:lpstr>
      <vt:lpstr>Feuil107</vt:lpstr>
      <vt:lpstr>Feuil108</vt:lpstr>
      <vt:lpstr>Feuil109</vt:lpstr>
      <vt:lpstr>Feuil110</vt:lpstr>
      <vt:lpstr>Feuil111</vt:lpstr>
      <vt:lpstr>Feuil112</vt:lpstr>
      <vt:lpstr>Feuil113</vt:lpstr>
      <vt:lpstr>Feuil114</vt:lpstr>
      <vt:lpstr>Feuil115</vt:lpstr>
      <vt:lpstr>Feuil116</vt:lpstr>
      <vt:lpstr>Feuil117</vt:lpstr>
      <vt:lpstr>Feuil118</vt:lpstr>
      <vt:lpstr>Feuil119</vt:lpstr>
      <vt:lpstr>Feuil120</vt:lpstr>
      <vt:lpstr>Feuil121</vt:lpstr>
      <vt:lpstr>Feuil122</vt:lpstr>
      <vt:lpstr>Feuil123</vt:lpstr>
      <vt:lpstr>Feuil124</vt:lpstr>
      <vt:lpstr>Feuil125</vt:lpstr>
      <vt:lpstr>Feuil126</vt:lpstr>
      <vt:lpstr>Feuil127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clement Tagnan</cp:lastModifiedBy>
  <dcterms:created xsi:type="dcterms:W3CDTF">2015-06-05T18:19:34Z</dcterms:created>
  <dcterms:modified xsi:type="dcterms:W3CDTF">2026-09-25T13:15:43Z</dcterms:modified>
</cp:coreProperties>
</file>